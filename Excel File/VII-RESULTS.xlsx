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FB3B021C-627C-4369-A661-C03B25D27406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3" i="5"/>
  <c r="B43" i="5"/>
  <c r="A44" i="5"/>
  <c r="B44" i="5"/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P7" i="28" l="1"/>
  <c r="L7" i="28"/>
  <c r="H7" i="28"/>
  <c r="Q7" i="28"/>
  <c r="M7" i="28"/>
  <c r="I7" i="28"/>
  <c r="N7" i="28"/>
  <c r="J7" i="28"/>
  <c r="O7" i="28"/>
  <c r="K7" i="28"/>
  <c r="N13" i="28"/>
  <c r="H13" i="28"/>
  <c r="O13" i="28"/>
  <c r="I13" i="28"/>
  <c r="M13" i="28"/>
  <c r="K13" i="28"/>
  <c r="P13" i="28"/>
  <c r="Q13" i="28"/>
  <c r="J13" i="28"/>
  <c r="L13" i="28"/>
  <c r="P23" i="28"/>
  <c r="L23" i="28"/>
  <c r="H23" i="28"/>
  <c r="Q23" i="28"/>
  <c r="M23" i="28"/>
  <c r="I23" i="28"/>
  <c r="N23" i="28"/>
  <c r="J23" i="28"/>
  <c r="O23" i="28"/>
  <c r="K23" i="28"/>
  <c r="N29" i="28"/>
  <c r="H29" i="28"/>
  <c r="O29" i="28"/>
  <c r="I29" i="28"/>
  <c r="M29" i="28"/>
  <c r="K29" i="28"/>
  <c r="P29" i="28"/>
  <c r="Q29" i="28"/>
  <c r="L29" i="28"/>
  <c r="J29" i="28"/>
  <c r="N37" i="28"/>
  <c r="H37" i="28"/>
  <c r="O37" i="28"/>
  <c r="I37" i="28"/>
  <c r="M37" i="28"/>
  <c r="K37" i="28"/>
  <c r="P37" i="28"/>
  <c r="Q37" i="28"/>
  <c r="L37" i="28"/>
  <c r="J37" i="28"/>
  <c r="N5" i="22"/>
  <c r="G5" i="22"/>
  <c r="K5" i="22"/>
  <c r="O5" i="22"/>
  <c r="H5" i="22"/>
  <c r="I5" i="22"/>
  <c r="J5" i="22"/>
  <c r="N7" i="22"/>
  <c r="I7" i="22"/>
  <c r="O7" i="22"/>
  <c r="J7" i="22"/>
  <c r="G7" i="22"/>
  <c r="K7" i="22"/>
  <c r="H7" i="22"/>
  <c r="N9" i="22"/>
  <c r="G9" i="22"/>
  <c r="K9" i="22"/>
  <c r="O9" i="22"/>
  <c r="H9" i="22"/>
  <c r="I9" i="22"/>
  <c r="J9" i="22"/>
  <c r="N11" i="22"/>
  <c r="I11" i="22"/>
  <c r="O11" i="22"/>
  <c r="J11" i="22"/>
  <c r="G11" i="22"/>
  <c r="K11" i="22"/>
  <c r="H11" i="22"/>
  <c r="N13" i="22"/>
  <c r="G13" i="22"/>
  <c r="K13" i="22"/>
  <c r="O13" i="22"/>
  <c r="H13" i="22"/>
  <c r="I13" i="22"/>
  <c r="J13" i="22"/>
  <c r="N15" i="22"/>
  <c r="I15" i="22"/>
  <c r="O15" i="22"/>
  <c r="J15" i="22"/>
  <c r="G15" i="22"/>
  <c r="K15" i="22"/>
  <c r="H15" i="22"/>
  <c r="N17" i="22"/>
  <c r="G17" i="22"/>
  <c r="K17" i="22"/>
  <c r="O17" i="22"/>
  <c r="H17" i="22"/>
  <c r="I17" i="22"/>
  <c r="J17" i="22"/>
  <c r="N19" i="22"/>
  <c r="I19" i="22"/>
  <c r="O19" i="22"/>
  <c r="J19" i="22"/>
  <c r="G19" i="22"/>
  <c r="K19" i="22"/>
  <c r="H19" i="22"/>
  <c r="N21" i="22"/>
  <c r="G21" i="22"/>
  <c r="K21" i="22"/>
  <c r="O21" i="22"/>
  <c r="H21" i="22"/>
  <c r="I21" i="22"/>
  <c r="J21" i="22"/>
  <c r="N23" i="22"/>
  <c r="I23" i="22"/>
  <c r="O23" i="22"/>
  <c r="J23" i="22"/>
  <c r="G23" i="22"/>
  <c r="K23" i="22"/>
  <c r="H23" i="22"/>
  <c r="N25" i="22"/>
  <c r="G25" i="22"/>
  <c r="K25" i="22"/>
  <c r="O25" i="22"/>
  <c r="H25" i="22"/>
  <c r="I25" i="22"/>
  <c r="J25" i="22"/>
  <c r="N27" i="22"/>
  <c r="I27" i="22"/>
  <c r="O27" i="22"/>
  <c r="J27" i="22"/>
  <c r="G27" i="22"/>
  <c r="K27" i="22"/>
  <c r="H27" i="22"/>
  <c r="N29" i="22"/>
  <c r="G29" i="22"/>
  <c r="K29" i="22"/>
  <c r="O29" i="22"/>
  <c r="H29" i="22"/>
  <c r="I29" i="22"/>
  <c r="J29" i="22"/>
  <c r="N31" i="22"/>
  <c r="I31" i="22"/>
  <c r="O31" i="22"/>
  <c r="J31" i="22"/>
  <c r="G31" i="22"/>
  <c r="K31" i="22"/>
  <c r="H31" i="22"/>
  <c r="N33" i="22"/>
  <c r="G33" i="22"/>
  <c r="K33" i="22"/>
  <c r="O33" i="22"/>
  <c r="H33" i="22"/>
  <c r="I33" i="22"/>
  <c r="J33" i="22"/>
  <c r="N35" i="22"/>
  <c r="I35" i="22"/>
  <c r="O35" i="22"/>
  <c r="J35" i="22"/>
  <c r="G35" i="22"/>
  <c r="K35" i="22"/>
  <c r="H35" i="22"/>
  <c r="N37" i="22"/>
  <c r="G37" i="22"/>
  <c r="K37" i="22"/>
  <c r="O37" i="22"/>
  <c r="H37" i="22"/>
  <c r="I37" i="22"/>
  <c r="J37" i="22"/>
  <c r="N39" i="22"/>
  <c r="I39" i="22"/>
  <c r="O39" i="22"/>
  <c r="J39" i="22"/>
  <c r="G39" i="22"/>
  <c r="K39" i="22"/>
  <c r="H39" i="22"/>
  <c r="N41" i="22"/>
  <c r="G41" i="22"/>
  <c r="K41" i="22"/>
  <c r="O41" i="22"/>
  <c r="H41" i="22"/>
  <c r="I41" i="22"/>
  <c r="J41" i="22"/>
  <c r="Q3" i="28"/>
  <c r="M3" i="28"/>
  <c r="K3" i="28"/>
  <c r="N3" i="28"/>
  <c r="J3" i="28"/>
  <c r="P3" i="28"/>
  <c r="H3" i="28"/>
  <c r="L3" i="28"/>
  <c r="I3" i="28"/>
  <c r="O3" i="28"/>
  <c r="N9" i="28"/>
  <c r="H9" i="28"/>
  <c r="O9" i="28"/>
  <c r="I9" i="28"/>
  <c r="Q9" i="28"/>
  <c r="K9" i="28"/>
  <c r="L9" i="28"/>
  <c r="M9" i="28"/>
  <c r="J9" i="28"/>
  <c r="P9" i="28"/>
  <c r="P15" i="28"/>
  <c r="L15" i="28"/>
  <c r="H15" i="28"/>
  <c r="Q15" i="28"/>
  <c r="M15" i="28"/>
  <c r="I15" i="28"/>
  <c r="N15" i="28"/>
  <c r="J15" i="28"/>
  <c r="O15" i="28"/>
  <c r="K15" i="28"/>
  <c r="N21" i="28"/>
  <c r="H21" i="28"/>
  <c r="O21" i="28"/>
  <c r="I21" i="28"/>
  <c r="M21" i="28"/>
  <c r="K21" i="28"/>
  <c r="P21" i="28"/>
  <c r="Q21" i="28"/>
  <c r="J21" i="28"/>
  <c r="L21" i="28"/>
  <c r="P27" i="28"/>
  <c r="L27" i="28"/>
  <c r="H27" i="28"/>
  <c r="Q27" i="28"/>
  <c r="M27" i="28"/>
  <c r="I27" i="28"/>
  <c r="O27" i="28"/>
  <c r="J27" i="28"/>
  <c r="K27" i="28"/>
  <c r="N27" i="28"/>
  <c r="N33" i="28"/>
  <c r="H33" i="28"/>
  <c r="O33" i="28"/>
  <c r="I33" i="28"/>
  <c r="Q33" i="28"/>
  <c r="K33" i="28"/>
  <c r="L33" i="28"/>
  <c r="M33" i="28"/>
  <c r="P33" i="28"/>
  <c r="J33" i="28"/>
  <c r="P39" i="28"/>
  <c r="L39" i="28"/>
  <c r="H39" i="28"/>
  <c r="Q39" i="28"/>
  <c r="M39" i="28"/>
  <c r="I39" i="28"/>
  <c r="N39" i="28"/>
  <c r="J39" i="28"/>
  <c r="O39" i="28"/>
  <c r="K39" i="28"/>
  <c r="O4" i="28"/>
  <c r="J4" i="28"/>
  <c r="P4" i="28"/>
  <c r="L4" i="28"/>
  <c r="K4" i="28"/>
  <c r="N4" i="28"/>
  <c r="Q4" i="28"/>
  <c r="H4" i="28"/>
  <c r="I4" i="28"/>
  <c r="M4" i="28"/>
  <c r="Q6" i="28"/>
  <c r="M6" i="28"/>
  <c r="J6" i="28"/>
  <c r="N6" i="28"/>
  <c r="K6" i="28"/>
  <c r="L6" i="28"/>
  <c r="I6" i="28"/>
  <c r="O6" i="28"/>
  <c r="P6" i="28"/>
  <c r="H6" i="28"/>
  <c r="O8" i="28"/>
  <c r="J8" i="28"/>
  <c r="P8" i="28"/>
  <c r="L8" i="28"/>
  <c r="K8" i="28"/>
  <c r="M8" i="28"/>
  <c r="H8" i="28"/>
  <c r="N8" i="28"/>
  <c r="I8" i="28"/>
  <c r="Q8" i="28"/>
  <c r="Q10" i="28"/>
  <c r="M10" i="28"/>
  <c r="J10" i="28"/>
  <c r="N10" i="28"/>
  <c r="K10" i="28"/>
  <c r="P10" i="28"/>
  <c r="I10" i="28"/>
  <c r="L10" i="28"/>
  <c r="H10" i="28"/>
  <c r="O10" i="28"/>
  <c r="O12" i="28"/>
  <c r="J12" i="28"/>
  <c r="P12" i="28"/>
  <c r="L12" i="28"/>
  <c r="K12" i="28"/>
  <c r="N12" i="28"/>
  <c r="Q12" i="28"/>
  <c r="H12" i="28"/>
  <c r="I12" i="28"/>
  <c r="M12" i="28"/>
  <c r="Q14" i="28"/>
  <c r="M14" i="28"/>
  <c r="J14" i="28"/>
  <c r="N14" i="28"/>
  <c r="K14" i="28"/>
  <c r="L14" i="28"/>
  <c r="I14" i="28"/>
  <c r="O14" i="28"/>
  <c r="P14" i="28"/>
  <c r="H14" i="28"/>
  <c r="O16" i="28"/>
  <c r="J16" i="28"/>
  <c r="P16" i="28"/>
  <c r="L16" i="28"/>
  <c r="K16" i="28"/>
  <c r="M16" i="28"/>
  <c r="H16" i="28"/>
  <c r="N16" i="28"/>
  <c r="I16" i="28"/>
  <c r="Q16" i="28"/>
  <c r="Q18" i="28"/>
  <c r="M18" i="28"/>
  <c r="J18" i="28"/>
  <c r="N18" i="28"/>
  <c r="K18" i="28"/>
  <c r="P18" i="28"/>
  <c r="I18" i="28"/>
  <c r="L18" i="28"/>
  <c r="O18" i="28"/>
  <c r="H18" i="28"/>
  <c r="O20" i="28"/>
  <c r="J20" i="28"/>
  <c r="P20" i="28"/>
  <c r="L20" i="28"/>
  <c r="K20" i="28"/>
  <c r="N20" i="28"/>
  <c r="Q20" i="28"/>
  <c r="H20" i="28"/>
  <c r="I20" i="28"/>
  <c r="M20" i="28"/>
  <c r="Q22" i="28"/>
  <c r="M22" i="28"/>
  <c r="J22" i="28"/>
  <c r="N22" i="28"/>
  <c r="K22" i="28"/>
  <c r="L22" i="28"/>
  <c r="I22" i="28"/>
  <c r="O22" i="28"/>
  <c r="P22" i="28"/>
  <c r="H22" i="28"/>
  <c r="O24" i="28"/>
  <c r="J24" i="28"/>
  <c r="P24" i="28"/>
  <c r="L24" i="28"/>
  <c r="K24" i="28"/>
  <c r="M24" i="28"/>
  <c r="H24" i="28"/>
  <c r="N24" i="28"/>
  <c r="I24" i="28"/>
  <c r="Q24" i="28"/>
  <c r="Q26" i="28"/>
  <c r="M26" i="28"/>
  <c r="J26" i="28"/>
  <c r="N26" i="28"/>
  <c r="K26" i="28"/>
  <c r="P26" i="28"/>
  <c r="I26" i="28"/>
  <c r="L26" i="28"/>
  <c r="O26" i="28"/>
  <c r="H26" i="28"/>
  <c r="O28" i="28"/>
  <c r="J28" i="28"/>
  <c r="P28" i="28"/>
  <c r="L28" i="28"/>
  <c r="K28" i="28"/>
  <c r="N28" i="28"/>
  <c r="Q28" i="28"/>
  <c r="H28" i="28"/>
  <c r="I28" i="28"/>
  <c r="M28" i="28"/>
  <c r="Q30" i="28"/>
  <c r="M30" i="28"/>
  <c r="J30" i="28"/>
  <c r="N30" i="28"/>
  <c r="K30" i="28"/>
  <c r="L30" i="28"/>
  <c r="I30" i="28"/>
  <c r="O30" i="28"/>
  <c r="P30" i="28"/>
  <c r="H30" i="28"/>
  <c r="O32" i="28"/>
  <c r="J32" i="28"/>
  <c r="P32" i="28"/>
  <c r="L32" i="28"/>
  <c r="K32" i="28"/>
  <c r="M32" i="28"/>
  <c r="H32" i="28"/>
  <c r="N32" i="28"/>
  <c r="I32" i="28"/>
  <c r="Q32" i="28"/>
  <c r="Q34" i="28"/>
  <c r="M34" i="28"/>
  <c r="J34" i="28"/>
  <c r="N34" i="28"/>
  <c r="K34" i="28"/>
  <c r="P34" i="28"/>
  <c r="I34" i="28"/>
  <c r="L34" i="28"/>
  <c r="O34" i="28"/>
  <c r="H34" i="28"/>
  <c r="O36" i="28"/>
  <c r="J36" i="28"/>
  <c r="P36" i="28"/>
  <c r="L36" i="28"/>
  <c r="K36" i="28"/>
  <c r="N36" i="28"/>
  <c r="Q36" i="28"/>
  <c r="H36" i="28"/>
  <c r="I36" i="28"/>
  <c r="M36" i="28"/>
  <c r="Q38" i="28"/>
  <c r="M38" i="28"/>
  <c r="J38" i="28"/>
  <c r="N38" i="28"/>
  <c r="K38" i="28"/>
  <c r="L38" i="28"/>
  <c r="I38" i="28"/>
  <c r="O38" i="28"/>
  <c r="P38" i="28"/>
  <c r="H38" i="28"/>
  <c r="O40" i="28"/>
  <c r="J40" i="28"/>
  <c r="P40" i="28"/>
  <c r="L40" i="28"/>
  <c r="K40" i="28"/>
  <c r="M40" i="28"/>
  <c r="H40" i="28"/>
  <c r="N40" i="28"/>
  <c r="I40" i="28"/>
  <c r="Q40" i="28"/>
  <c r="N5" i="28"/>
  <c r="H5" i="28"/>
  <c r="O5" i="28"/>
  <c r="I5" i="28"/>
  <c r="M5" i="28"/>
  <c r="K5" i="28"/>
  <c r="P5" i="28"/>
  <c r="Q5" i="28"/>
  <c r="L5" i="28"/>
  <c r="J5" i="28"/>
  <c r="P11" i="28"/>
  <c r="L11" i="28"/>
  <c r="H11" i="28"/>
  <c r="Q11" i="28"/>
  <c r="M11" i="28"/>
  <c r="I11" i="28"/>
  <c r="O11" i="28"/>
  <c r="J11" i="28"/>
  <c r="K11" i="28"/>
  <c r="N11" i="28"/>
  <c r="N17" i="28"/>
  <c r="H17" i="28"/>
  <c r="O17" i="28"/>
  <c r="I17" i="28"/>
  <c r="Q17" i="28"/>
  <c r="K17" i="28"/>
  <c r="L17" i="28"/>
  <c r="M17" i="28"/>
  <c r="J17" i="28"/>
  <c r="P17" i="28"/>
  <c r="P19" i="28"/>
  <c r="L19" i="28"/>
  <c r="H19" i="28"/>
  <c r="Q19" i="28"/>
  <c r="M19" i="28"/>
  <c r="I19" i="28"/>
  <c r="O19" i="28"/>
  <c r="J19" i="28"/>
  <c r="K19" i="28"/>
  <c r="N19" i="28"/>
  <c r="N25" i="28"/>
  <c r="H25" i="28"/>
  <c r="O25" i="28"/>
  <c r="I25" i="28"/>
  <c r="Q25" i="28"/>
  <c r="K25" i="28"/>
  <c r="L25" i="28"/>
  <c r="M25" i="28"/>
  <c r="P25" i="28"/>
  <c r="J25" i="28"/>
  <c r="P31" i="28"/>
  <c r="L31" i="28"/>
  <c r="H31" i="28"/>
  <c r="Q31" i="28"/>
  <c r="M31" i="28"/>
  <c r="I31" i="28"/>
  <c r="N31" i="28"/>
  <c r="J31" i="28"/>
  <c r="O31" i="28"/>
  <c r="K31" i="28"/>
  <c r="P35" i="28"/>
  <c r="L35" i="28"/>
  <c r="H35" i="28"/>
  <c r="Q35" i="28"/>
  <c r="M35" i="28"/>
  <c r="I35" i="28"/>
  <c r="O35" i="28"/>
  <c r="J35" i="28"/>
  <c r="K35" i="28"/>
  <c r="N35" i="28"/>
  <c r="N41" i="28"/>
  <c r="H41" i="28"/>
  <c r="O41" i="28"/>
  <c r="I41" i="28"/>
  <c r="Q41" i="28"/>
  <c r="K41" i="28"/>
  <c r="L41" i="28"/>
  <c r="M41" i="28"/>
  <c r="J41" i="28"/>
  <c r="P41" i="28"/>
  <c r="K4" i="22"/>
  <c r="G4" i="22"/>
  <c r="J4" i="22"/>
  <c r="F4" i="22"/>
  <c r="O4" i="22"/>
  <c r="I4" i="22"/>
  <c r="H4" i="22"/>
  <c r="N4" i="22"/>
  <c r="J6" i="22"/>
  <c r="G6" i="22"/>
  <c r="K6" i="22"/>
  <c r="N6" i="22"/>
  <c r="H6" i="22"/>
  <c r="O6" i="22"/>
  <c r="I6" i="22"/>
  <c r="H8" i="22"/>
  <c r="I8" i="22"/>
  <c r="N8" i="22"/>
  <c r="J8" i="22"/>
  <c r="K8" i="22"/>
  <c r="O8" i="22"/>
  <c r="G8" i="22"/>
  <c r="J10" i="22"/>
  <c r="G10" i="22"/>
  <c r="K10" i="22"/>
  <c r="N10" i="22"/>
  <c r="H10" i="22"/>
  <c r="I10" i="22"/>
  <c r="O10" i="22"/>
  <c r="H12" i="22"/>
  <c r="I12" i="22"/>
  <c r="N12" i="22"/>
  <c r="J12" i="22"/>
  <c r="O12" i="22"/>
  <c r="G12" i="22"/>
  <c r="K12" i="22"/>
  <c r="J14" i="22"/>
  <c r="G14" i="22"/>
  <c r="K14" i="22"/>
  <c r="N14" i="22"/>
  <c r="H14" i="22"/>
  <c r="O14" i="22"/>
  <c r="I14" i="22"/>
  <c r="H16" i="22"/>
  <c r="I16" i="22"/>
  <c r="N16" i="22"/>
  <c r="J16" i="22"/>
  <c r="G16" i="22"/>
  <c r="O16" i="22"/>
  <c r="K16" i="22"/>
  <c r="J18" i="22"/>
  <c r="G18" i="22"/>
  <c r="K18" i="22"/>
  <c r="N18" i="22"/>
  <c r="H18" i="22"/>
  <c r="I18" i="22"/>
  <c r="O18" i="22"/>
  <c r="H20" i="22"/>
  <c r="I20" i="22"/>
  <c r="N20" i="22"/>
  <c r="J20" i="22"/>
  <c r="O20" i="22"/>
  <c r="K20" i="22"/>
  <c r="G20" i="22"/>
  <c r="J22" i="22"/>
  <c r="G22" i="22"/>
  <c r="K22" i="22"/>
  <c r="N22" i="22"/>
  <c r="H22" i="22"/>
  <c r="O22" i="22"/>
  <c r="I22" i="22"/>
  <c r="H24" i="22"/>
  <c r="I24" i="22"/>
  <c r="N24" i="22"/>
  <c r="J24" i="22"/>
  <c r="K24" i="22"/>
  <c r="G24" i="22"/>
  <c r="O24" i="22"/>
  <c r="J26" i="22"/>
  <c r="G26" i="22"/>
  <c r="K26" i="22"/>
  <c r="N26" i="22"/>
  <c r="H26" i="22"/>
  <c r="I26" i="22"/>
  <c r="O26" i="22"/>
  <c r="H28" i="22"/>
  <c r="I28" i="22"/>
  <c r="N28" i="22"/>
  <c r="J28" i="22"/>
  <c r="O28" i="22"/>
  <c r="G28" i="22"/>
  <c r="K28" i="22"/>
  <c r="J30" i="22"/>
  <c r="G30" i="22"/>
  <c r="K30" i="22"/>
  <c r="N30" i="22"/>
  <c r="H30" i="22"/>
  <c r="I30" i="22"/>
  <c r="O30" i="22"/>
  <c r="H32" i="22"/>
  <c r="I32" i="22"/>
  <c r="N32" i="22"/>
  <c r="J32" i="22"/>
  <c r="G32" i="22"/>
  <c r="O32" i="22"/>
  <c r="K32" i="22"/>
  <c r="J34" i="22"/>
  <c r="G34" i="22"/>
  <c r="K34" i="22"/>
  <c r="N34" i="22"/>
  <c r="H34" i="22"/>
  <c r="I34" i="22"/>
  <c r="O34" i="22"/>
  <c r="H36" i="22"/>
  <c r="I36" i="22"/>
  <c r="N36" i="22"/>
  <c r="J36" i="22"/>
  <c r="O36" i="22"/>
  <c r="G36" i="22"/>
  <c r="K36" i="22"/>
  <c r="J38" i="22"/>
  <c r="G38" i="22"/>
  <c r="K38" i="22"/>
  <c r="N38" i="22"/>
  <c r="H38" i="22"/>
  <c r="O38" i="22"/>
  <c r="I38" i="22"/>
  <c r="H40" i="22"/>
  <c r="I40" i="22"/>
  <c r="N40" i="22"/>
  <c r="J40" i="22"/>
  <c r="K40" i="22"/>
  <c r="G40" i="22"/>
  <c r="O40" i="22"/>
  <c r="J42" i="22"/>
  <c r="G42" i="22"/>
  <c r="K42" i="22"/>
  <c r="N42" i="22"/>
  <c r="H42" i="22"/>
  <c r="O42" i="22"/>
  <c r="I42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15" i="28" l="1"/>
  <c r="S15" i="28" s="1"/>
  <c r="R11" i="28"/>
  <c r="S11" i="28" s="1"/>
  <c r="R7" i="28"/>
  <c r="S7" i="28" s="1"/>
  <c r="R3" i="28"/>
  <c r="S3" i="28" s="1"/>
  <c r="R26" i="28"/>
  <c r="S26" i="28" s="1"/>
  <c r="O5" i="19"/>
  <c r="I5" i="19"/>
  <c r="AG5" i="24" s="1"/>
  <c r="J5" i="19"/>
  <c r="K5" i="19"/>
  <c r="N5" i="19"/>
  <c r="H5" i="19"/>
  <c r="AB5" i="24" s="1"/>
  <c r="G5" i="19"/>
  <c r="W5" i="24" s="1"/>
  <c r="O9" i="19"/>
  <c r="I9" i="19"/>
  <c r="AG9" i="24" s="1"/>
  <c r="N9" i="19"/>
  <c r="H9" i="19"/>
  <c r="AB9" i="24" s="1"/>
  <c r="G9" i="19"/>
  <c r="W9" i="24" s="1"/>
  <c r="J9" i="19"/>
  <c r="K9" i="19"/>
  <c r="O13" i="19"/>
  <c r="I13" i="19"/>
  <c r="J13" i="19"/>
  <c r="K13" i="19"/>
  <c r="N13" i="19"/>
  <c r="H13" i="19"/>
  <c r="G13" i="19"/>
  <c r="O17" i="19"/>
  <c r="I17" i="19"/>
  <c r="N17" i="19"/>
  <c r="H17" i="19"/>
  <c r="AB17" i="24" s="1"/>
  <c r="G17" i="19"/>
  <c r="J17" i="19"/>
  <c r="K17" i="19"/>
  <c r="O21" i="19"/>
  <c r="I21" i="19"/>
  <c r="J21" i="19"/>
  <c r="K21" i="19"/>
  <c r="N21" i="19"/>
  <c r="H21" i="19"/>
  <c r="AB21" i="24" s="1"/>
  <c r="G21" i="19"/>
  <c r="K23" i="19"/>
  <c r="N23" i="19"/>
  <c r="H23" i="19"/>
  <c r="AB23" i="24" s="1"/>
  <c r="G23" i="19"/>
  <c r="O23" i="19"/>
  <c r="I23" i="19"/>
  <c r="J23" i="19"/>
  <c r="K27" i="19"/>
  <c r="J27" i="19"/>
  <c r="N27" i="19"/>
  <c r="H27" i="19"/>
  <c r="G27" i="19"/>
  <c r="O27" i="19"/>
  <c r="I27" i="19"/>
  <c r="O29" i="19"/>
  <c r="I29" i="19"/>
  <c r="N29" i="19"/>
  <c r="G29" i="19"/>
  <c r="J29" i="19"/>
  <c r="K29" i="19"/>
  <c r="H29" i="19"/>
  <c r="AB29" i="24" s="1"/>
  <c r="R12" i="28"/>
  <c r="S12" i="28" s="1"/>
  <c r="R4" i="28"/>
  <c r="S4" i="28" s="1"/>
  <c r="R36" i="28"/>
  <c r="S36" i="28" s="1"/>
  <c r="R28" i="28"/>
  <c r="S28" i="28" s="1"/>
  <c r="R20" i="28"/>
  <c r="S20" i="28" s="1"/>
  <c r="R34" i="28"/>
  <c r="S34" i="28" s="1"/>
  <c r="R18" i="28"/>
  <c r="S18" i="28" s="1"/>
  <c r="R13" i="28"/>
  <c r="S13" i="28" s="1"/>
  <c r="R9" i="28"/>
  <c r="S9" i="28" s="1"/>
  <c r="R5" i="28"/>
  <c r="S5" i="28" s="1"/>
  <c r="K7" i="19"/>
  <c r="J7" i="19"/>
  <c r="N7" i="19"/>
  <c r="H7" i="19"/>
  <c r="AB7" i="24" s="1"/>
  <c r="G7" i="19"/>
  <c r="W7" i="24" s="1"/>
  <c r="O7" i="19"/>
  <c r="I7" i="19"/>
  <c r="AG7" i="24" s="1"/>
  <c r="K11" i="19"/>
  <c r="I11" i="19"/>
  <c r="AG11" i="24" s="1"/>
  <c r="N11" i="19"/>
  <c r="H11" i="19"/>
  <c r="AB11" i="24" s="1"/>
  <c r="G11" i="19"/>
  <c r="W11" i="24" s="1"/>
  <c r="O11" i="19"/>
  <c r="J11" i="19"/>
  <c r="K15" i="19"/>
  <c r="J15" i="19"/>
  <c r="N15" i="19"/>
  <c r="H15" i="19"/>
  <c r="G15" i="19"/>
  <c r="W15" i="24" s="1"/>
  <c r="O15" i="19"/>
  <c r="I15" i="19"/>
  <c r="K19" i="19"/>
  <c r="N19" i="19"/>
  <c r="H19" i="19"/>
  <c r="G19" i="19"/>
  <c r="O19" i="19"/>
  <c r="I19" i="19"/>
  <c r="AG19" i="24" s="1"/>
  <c r="J19" i="19"/>
  <c r="O25" i="19"/>
  <c r="I25" i="19"/>
  <c r="H25" i="19"/>
  <c r="G25" i="19"/>
  <c r="J25" i="19"/>
  <c r="K25" i="19"/>
  <c r="N25" i="19"/>
  <c r="R8" i="28"/>
  <c r="S8" i="28" s="1"/>
  <c r="R40" i="28"/>
  <c r="S40" i="28" s="1"/>
  <c r="R32" i="28"/>
  <c r="S32" i="28" s="1"/>
  <c r="R24" i="28"/>
  <c r="S24" i="28" s="1"/>
  <c r="R16" i="28"/>
  <c r="S16" i="28" s="1"/>
  <c r="R38" i="28"/>
  <c r="S38" i="28" s="1"/>
  <c r="R30" i="28"/>
  <c r="S30" i="28" s="1"/>
  <c r="R22" i="28"/>
  <c r="S22" i="28" s="1"/>
  <c r="R10" i="28"/>
  <c r="S10" i="28" s="1"/>
  <c r="R14" i="28"/>
  <c r="S14" i="28" s="1"/>
  <c r="R6" i="28"/>
  <c r="S6" i="28" s="1"/>
  <c r="K4" i="19"/>
  <c r="G4" i="19"/>
  <c r="W4" i="24" s="1"/>
  <c r="N4" i="19"/>
  <c r="H4" i="19"/>
  <c r="AB4" i="24" s="1"/>
  <c r="O4" i="19"/>
  <c r="I4" i="19"/>
  <c r="AG4" i="24" s="1"/>
  <c r="C21" i="23" s="1"/>
  <c r="J4" i="19"/>
  <c r="N6" i="19"/>
  <c r="H6" i="19"/>
  <c r="AB6" i="24" s="1"/>
  <c r="G6" i="19"/>
  <c r="W6" i="24" s="1"/>
  <c r="K6" i="19"/>
  <c r="O6" i="19"/>
  <c r="I6" i="19"/>
  <c r="AG6" i="24" s="1"/>
  <c r="J6" i="19"/>
  <c r="J8" i="19"/>
  <c r="H8" i="19"/>
  <c r="AB8" i="24" s="1"/>
  <c r="O8" i="19"/>
  <c r="I8" i="19"/>
  <c r="AG8" i="24" s="1"/>
  <c r="K8" i="19"/>
  <c r="N8" i="19"/>
  <c r="G8" i="19"/>
  <c r="W8" i="24" s="1"/>
  <c r="N10" i="19"/>
  <c r="H10" i="19"/>
  <c r="AB10" i="24" s="1"/>
  <c r="G10" i="19"/>
  <c r="W10" i="24" s="1"/>
  <c r="O10" i="19"/>
  <c r="I10" i="19"/>
  <c r="AG10" i="24" s="1"/>
  <c r="J10" i="19"/>
  <c r="K10" i="19"/>
  <c r="J12" i="19"/>
  <c r="G12" i="19"/>
  <c r="W12" i="24" s="1"/>
  <c r="K12" i="19"/>
  <c r="N12" i="19"/>
  <c r="H12" i="19"/>
  <c r="O12" i="19"/>
  <c r="I12" i="19"/>
  <c r="N14" i="19"/>
  <c r="H14" i="19"/>
  <c r="AB14" i="24" s="1"/>
  <c r="G14" i="19"/>
  <c r="W14" i="24" s="1"/>
  <c r="K14" i="19"/>
  <c r="O14" i="19"/>
  <c r="I14" i="19"/>
  <c r="J14" i="19"/>
  <c r="J16" i="19"/>
  <c r="I16" i="19"/>
  <c r="K16" i="19"/>
  <c r="N16" i="19"/>
  <c r="H16" i="19"/>
  <c r="G16" i="19"/>
  <c r="O16" i="19"/>
  <c r="N18" i="19"/>
  <c r="H18" i="19"/>
  <c r="G18" i="19"/>
  <c r="O18" i="19"/>
  <c r="I18" i="19"/>
  <c r="J18" i="19"/>
  <c r="K18" i="19"/>
  <c r="J20" i="19"/>
  <c r="G20" i="19"/>
  <c r="W20" i="24" s="1"/>
  <c r="K20" i="19"/>
  <c r="N20" i="19"/>
  <c r="H20" i="19"/>
  <c r="O20" i="19"/>
  <c r="I20" i="19"/>
  <c r="N22" i="19"/>
  <c r="H22" i="19"/>
  <c r="G22" i="19"/>
  <c r="K22" i="19"/>
  <c r="O22" i="19"/>
  <c r="I22" i="19"/>
  <c r="J22" i="19"/>
  <c r="J24" i="19"/>
  <c r="H24" i="19"/>
  <c r="I24" i="19"/>
  <c r="K24" i="19"/>
  <c r="N24" i="19"/>
  <c r="G24" i="19"/>
  <c r="O24" i="19"/>
  <c r="N26" i="19"/>
  <c r="H26" i="19"/>
  <c r="G26" i="19"/>
  <c r="W26" i="24" s="1"/>
  <c r="O26" i="19"/>
  <c r="I26" i="19"/>
  <c r="J26" i="19"/>
  <c r="K26" i="19"/>
  <c r="J28" i="19"/>
  <c r="G28" i="19"/>
  <c r="K28" i="19"/>
  <c r="N28" i="19"/>
  <c r="H28" i="19"/>
  <c r="AB28" i="24" s="1"/>
  <c r="O28" i="19"/>
  <c r="I28" i="19"/>
  <c r="R39" i="28"/>
  <c r="S39" i="28" s="1"/>
  <c r="R35" i="28"/>
  <c r="S35" i="28" s="1"/>
  <c r="R31" i="28"/>
  <c r="S31" i="28" s="1"/>
  <c r="R27" i="28"/>
  <c r="S27" i="28" s="1"/>
  <c r="R23" i="28"/>
  <c r="S23" i="28" s="1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AB13" i="24"/>
  <c r="AG23" i="24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B40" i="18"/>
  <c r="A41" i="18"/>
  <c r="R41" i="18" s="1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B24" i="24" l="1"/>
  <c r="AG15" i="24"/>
  <c r="AB12" i="24"/>
  <c r="AG28" i="24"/>
  <c r="AB26" i="24"/>
  <c r="AG24" i="24"/>
  <c r="AG20" i="24"/>
  <c r="AG29" i="24"/>
  <c r="AG14" i="24"/>
  <c r="W16" i="24"/>
  <c r="C19" i="23"/>
  <c r="W13" i="24"/>
  <c r="W28" i="24"/>
  <c r="AG25" i="24"/>
  <c r="W21" i="24"/>
  <c r="W23" i="24"/>
  <c r="W17" i="24"/>
  <c r="W25" i="24"/>
  <c r="AG17" i="24"/>
  <c r="AG12" i="24"/>
  <c r="BU42" i="18"/>
  <c r="BY42" i="18"/>
  <c r="BW42" i="18"/>
  <c r="CA42" i="18"/>
  <c r="BZ42" i="18"/>
  <c r="BP42" i="18"/>
  <c r="CB42" i="18"/>
  <c r="BQ42" i="18"/>
  <c r="BV42" i="18"/>
  <c r="BI42" i="18"/>
  <c r="AY42" i="18"/>
  <c r="BF42" i="18"/>
  <c r="BX42" i="18"/>
  <c r="BS42" i="18"/>
  <c r="AW42" i="18"/>
  <c r="BG42" i="18"/>
  <c r="AV42" i="18"/>
  <c r="BK42" i="18"/>
  <c r="AQ42" i="18"/>
  <c r="BA42" i="18"/>
  <c r="R40" i="18"/>
  <c r="BU40" i="18"/>
  <c r="BY40" i="18"/>
  <c r="BW40" i="18"/>
  <c r="CA40" i="18"/>
  <c r="BZ40" i="18"/>
  <c r="BP40" i="18"/>
  <c r="CB40" i="18"/>
  <c r="BQ40" i="18"/>
  <c r="BV40" i="18"/>
  <c r="BG40" i="18"/>
  <c r="AW40" i="18"/>
  <c r="AV40" i="18"/>
  <c r="BX40" i="18"/>
  <c r="BS40" i="18"/>
  <c r="BI40" i="18"/>
  <c r="BF40" i="18"/>
  <c r="AY40" i="18"/>
  <c r="H40" i="18"/>
  <c r="AG27" i="24"/>
  <c r="AB15" i="24"/>
  <c r="AB25" i="24"/>
  <c r="AB18" i="24"/>
  <c r="W22" i="24"/>
  <c r="AG26" i="24"/>
  <c r="AG21" i="24"/>
  <c r="AB27" i="24"/>
  <c r="W19" i="24"/>
  <c r="AG16" i="24"/>
  <c r="AG18" i="24"/>
  <c r="BU41" i="18"/>
  <c r="BY41" i="18"/>
  <c r="BW41" i="18"/>
  <c r="CA41" i="18"/>
  <c r="BZ41" i="18"/>
  <c r="BP41" i="18"/>
  <c r="CB41" i="18"/>
  <c r="BQ41" i="18"/>
  <c r="BI41" i="18"/>
  <c r="AY41" i="18"/>
  <c r="AV41" i="18"/>
  <c r="BS41" i="18"/>
  <c r="BG41" i="18"/>
  <c r="BF41" i="18"/>
  <c r="BV41" i="18"/>
  <c r="BX41" i="18"/>
  <c r="AW41" i="18"/>
  <c r="W24" i="24"/>
  <c r="AB22" i="24"/>
  <c r="C20" i="23"/>
  <c r="W27" i="24"/>
  <c r="AB19" i="24"/>
  <c r="AG13" i="24"/>
  <c r="AG22" i="24"/>
  <c r="AB20" i="24"/>
  <c r="W18" i="24"/>
  <c r="W29" i="24"/>
  <c r="AB16" i="24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U26" i="18" l="1"/>
  <c r="BY26" i="18"/>
  <c r="BW26" i="18"/>
  <c r="CA26" i="18"/>
  <c r="BZ26" i="18"/>
  <c r="BP26" i="18"/>
  <c r="CB26" i="18"/>
  <c r="BQ26" i="18"/>
  <c r="BV26" i="18"/>
  <c r="BI26" i="18"/>
  <c r="AY26" i="18"/>
  <c r="BF26" i="18"/>
  <c r="BS26" i="18"/>
  <c r="AW26" i="18"/>
  <c r="BX26" i="18"/>
  <c r="BG26" i="18"/>
  <c r="AV26" i="18"/>
  <c r="AQ26" i="18"/>
  <c r="BA26" i="18"/>
  <c r="BK26" i="18"/>
  <c r="BU39" i="18"/>
  <c r="BY39" i="18"/>
  <c r="BW39" i="18"/>
  <c r="CA39" i="18"/>
  <c r="BZ39" i="18"/>
  <c r="BP39" i="18"/>
  <c r="CB39" i="18"/>
  <c r="BQ39" i="18"/>
  <c r="BG39" i="18"/>
  <c r="AW39" i="18"/>
  <c r="BF39" i="18"/>
  <c r="BV39" i="18"/>
  <c r="BX39" i="18"/>
  <c r="AY39" i="18"/>
  <c r="AV39" i="18"/>
  <c r="BS39" i="18"/>
  <c r="BI39" i="18"/>
  <c r="BU38" i="18"/>
  <c r="BY38" i="18"/>
  <c r="BW38" i="18"/>
  <c r="CA38" i="18"/>
  <c r="BZ38" i="18"/>
  <c r="BP38" i="18"/>
  <c r="CB38" i="18"/>
  <c r="BQ38" i="18"/>
  <c r="BV38" i="18"/>
  <c r="BI38" i="18"/>
  <c r="AY38" i="18"/>
  <c r="BF38" i="18"/>
  <c r="BX38" i="18"/>
  <c r="BS38" i="18"/>
  <c r="BG38" i="18"/>
  <c r="AV38" i="18"/>
  <c r="AW38" i="18"/>
  <c r="BU34" i="18"/>
  <c r="BY34" i="18"/>
  <c r="BW34" i="18"/>
  <c r="CA34" i="18"/>
  <c r="BZ34" i="18"/>
  <c r="BP34" i="18"/>
  <c r="CB34" i="18"/>
  <c r="BQ34" i="18"/>
  <c r="BV34" i="18"/>
  <c r="BI34" i="18"/>
  <c r="AY34" i="18"/>
  <c r="BF34" i="18"/>
  <c r="BX34" i="18"/>
  <c r="BS34" i="18"/>
  <c r="AW34" i="18"/>
  <c r="BG34" i="18"/>
  <c r="AV34" i="18"/>
  <c r="BU30" i="18"/>
  <c r="BY30" i="18"/>
  <c r="BW30" i="18"/>
  <c r="CA30" i="18"/>
  <c r="BZ30" i="18"/>
  <c r="BP30" i="18"/>
  <c r="CB30" i="18"/>
  <c r="BQ30" i="18"/>
  <c r="BV30" i="18"/>
  <c r="BI30" i="18"/>
  <c r="AY30" i="18"/>
  <c r="BF30" i="18"/>
  <c r="BS30" i="18"/>
  <c r="BX30" i="18"/>
  <c r="BG30" i="18"/>
  <c r="AV30" i="18"/>
  <c r="AW30" i="18"/>
  <c r="BU24" i="18"/>
  <c r="BY24" i="18"/>
  <c r="BW24" i="18"/>
  <c r="CA24" i="18"/>
  <c r="BZ24" i="18"/>
  <c r="BP24" i="18"/>
  <c r="CB24" i="18"/>
  <c r="BQ24" i="18"/>
  <c r="BV24" i="18"/>
  <c r="BX24" i="18"/>
  <c r="BG24" i="18"/>
  <c r="AW24" i="18"/>
  <c r="AV24" i="18"/>
  <c r="BS24" i="18"/>
  <c r="BI24" i="18"/>
  <c r="BF24" i="18"/>
  <c r="AY24" i="18"/>
  <c r="BA24" i="18"/>
  <c r="BK24" i="18"/>
  <c r="AQ24" i="18"/>
  <c r="BU18" i="18"/>
  <c r="BY18" i="18"/>
  <c r="BW18" i="18"/>
  <c r="CA18" i="18"/>
  <c r="BZ18" i="18"/>
  <c r="BP18" i="18"/>
  <c r="CB18" i="18"/>
  <c r="BQ18" i="18"/>
  <c r="BV18" i="18"/>
  <c r="BI18" i="18"/>
  <c r="AY18" i="18"/>
  <c r="BF18" i="18"/>
  <c r="BS18" i="18"/>
  <c r="AW18" i="18"/>
  <c r="BX18" i="18"/>
  <c r="BG18" i="18"/>
  <c r="AV18" i="18"/>
  <c r="AQ18" i="18"/>
  <c r="BK18" i="18"/>
  <c r="BA18" i="18"/>
  <c r="BU10" i="18"/>
  <c r="BY10" i="18"/>
  <c r="BW10" i="18"/>
  <c r="CA10" i="18"/>
  <c r="BZ10" i="18"/>
  <c r="BP10" i="18"/>
  <c r="CB10" i="18"/>
  <c r="BQ10" i="18"/>
  <c r="BV10" i="18"/>
  <c r="BI10" i="18"/>
  <c r="AY10" i="18"/>
  <c r="BF10" i="18"/>
  <c r="BS10" i="18"/>
  <c r="AW10" i="18"/>
  <c r="BX10" i="18"/>
  <c r="BG10" i="18"/>
  <c r="AV10" i="18"/>
  <c r="AQ10" i="18"/>
  <c r="BA10" i="18"/>
  <c r="BK10" i="18"/>
  <c r="BU36" i="18"/>
  <c r="BY36" i="18"/>
  <c r="BW36" i="18"/>
  <c r="CA36" i="18"/>
  <c r="BZ36" i="18"/>
  <c r="BP36" i="18"/>
  <c r="CB36" i="18"/>
  <c r="BQ36" i="18"/>
  <c r="BV36" i="18"/>
  <c r="BG36" i="18"/>
  <c r="AW36" i="18"/>
  <c r="AV36" i="18"/>
  <c r="BX36" i="18"/>
  <c r="BS36" i="18"/>
  <c r="AY36" i="18"/>
  <c r="BI36" i="18"/>
  <c r="BF36" i="18"/>
  <c r="BU32" i="18"/>
  <c r="BY32" i="18"/>
  <c r="BW32" i="18"/>
  <c r="CA32" i="18"/>
  <c r="BZ32" i="18"/>
  <c r="BP32" i="18"/>
  <c r="CB32" i="18"/>
  <c r="BQ32" i="18"/>
  <c r="BV32" i="18"/>
  <c r="BG32" i="18"/>
  <c r="AW32" i="18"/>
  <c r="AV32" i="18"/>
  <c r="BX32" i="18"/>
  <c r="BS32" i="18"/>
  <c r="BI32" i="18"/>
  <c r="BF32" i="18"/>
  <c r="AY32" i="18"/>
  <c r="BU28" i="18"/>
  <c r="BY28" i="18"/>
  <c r="BW28" i="18"/>
  <c r="CA28" i="18"/>
  <c r="BZ28" i="18"/>
  <c r="BP28" i="18"/>
  <c r="CB28" i="18"/>
  <c r="BQ28" i="18"/>
  <c r="BV28" i="18"/>
  <c r="BX28" i="18"/>
  <c r="BG28" i="18"/>
  <c r="AW28" i="18"/>
  <c r="AV28" i="18"/>
  <c r="BS28" i="18"/>
  <c r="AY28" i="18"/>
  <c r="BI28" i="18"/>
  <c r="BF28" i="18"/>
  <c r="BA28" i="18"/>
  <c r="BK28" i="18"/>
  <c r="AQ28" i="18"/>
  <c r="BU22" i="18"/>
  <c r="BY22" i="18"/>
  <c r="BW22" i="18"/>
  <c r="CA22" i="18"/>
  <c r="BZ22" i="18"/>
  <c r="BP22" i="18"/>
  <c r="CB22" i="18"/>
  <c r="BQ22" i="18"/>
  <c r="BV22" i="18"/>
  <c r="BI22" i="18"/>
  <c r="AY22" i="18"/>
  <c r="BF22" i="18"/>
  <c r="BS22" i="18"/>
  <c r="BX22" i="18"/>
  <c r="BG22" i="18"/>
  <c r="AV22" i="18"/>
  <c r="AW22" i="18"/>
  <c r="AQ22" i="18"/>
  <c r="BA22" i="18"/>
  <c r="BK22" i="18"/>
  <c r="BU20" i="18"/>
  <c r="BY20" i="18"/>
  <c r="BW20" i="18"/>
  <c r="CA20" i="18"/>
  <c r="BZ20" i="18"/>
  <c r="BP20" i="18"/>
  <c r="CB20" i="18"/>
  <c r="BQ20" i="18"/>
  <c r="BV20" i="18"/>
  <c r="BX20" i="18"/>
  <c r="BG20" i="18"/>
  <c r="AW20" i="18"/>
  <c r="AV20" i="18"/>
  <c r="BS20" i="18"/>
  <c r="AY20" i="18"/>
  <c r="BI20" i="18"/>
  <c r="BF20" i="18"/>
  <c r="BA20" i="18"/>
  <c r="AQ20" i="18"/>
  <c r="BK20" i="18"/>
  <c r="BU16" i="18"/>
  <c r="BY16" i="18"/>
  <c r="BW16" i="18"/>
  <c r="CA16" i="18"/>
  <c r="BZ16" i="18"/>
  <c r="BP16" i="18"/>
  <c r="CB16" i="18"/>
  <c r="BQ16" i="18"/>
  <c r="BV16" i="18"/>
  <c r="BX16" i="18"/>
  <c r="BG16" i="18"/>
  <c r="AW16" i="18"/>
  <c r="AV16" i="18"/>
  <c r="BS16" i="18"/>
  <c r="BI16" i="18"/>
  <c r="BF16" i="18"/>
  <c r="AY16" i="18"/>
  <c r="AQ16" i="18"/>
  <c r="BA16" i="18"/>
  <c r="BK16" i="18"/>
  <c r="BU14" i="18"/>
  <c r="BY14" i="18"/>
  <c r="BW14" i="18"/>
  <c r="CA14" i="18"/>
  <c r="BZ14" i="18"/>
  <c r="BP14" i="18"/>
  <c r="CB14" i="18"/>
  <c r="BQ14" i="18"/>
  <c r="BV14" i="18"/>
  <c r="BI14" i="18"/>
  <c r="AY14" i="18"/>
  <c r="BF14" i="18"/>
  <c r="BS14" i="18"/>
  <c r="BX14" i="18"/>
  <c r="BG14" i="18"/>
  <c r="AV14" i="18"/>
  <c r="AW14" i="18"/>
  <c r="AQ14" i="18"/>
  <c r="BA14" i="18"/>
  <c r="BK14" i="18"/>
  <c r="BU12" i="18"/>
  <c r="BY12" i="18"/>
  <c r="BW12" i="18"/>
  <c r="CA12" i="18"/>
  <c r="BZ12" i="18"/>
  <c r="BP12" i="18"/>
  <c r="CB12" i="18"/>
  <c r="BQ12" i="18"/>
  <c r="BV12" i="18"/>
  <c r="BX12" i="18"/>
  <c r="BG12" i="18"/>
  <c r="AW12" i="18"/>
  <c r="AV12" i="18"/>
  <c r="BS12" i="18"/>
  <c r="AY12" i="18"/>
  <c r="BI12" i="18"/>
  <c r="BF12" i="18"/>
  <c r="BA12" i="18"/>
  <c r="BK12" i="18"/>
  <c r="AQ12" i="18"/>
  <c r="BU8" i="18"/>
  <c r="BY8" i="18"/>
  <c r="BP8" i="18"/>
  <c r="BW8" i="18"/>
  <c r="CA8" i="18"/>
  <c r="BZ8" i="18"/>
  <c r="CB8" i="18"/>
  <c r="BQ8" i="18"/>
  <c r="BV8" i="18"/>
  <c r="BX8" i="18"/>
  <c r="BG8" i="18"/>
  <c r="AW8" i="18"/>
  <c r="AV8" i="18"/>
  <c r="BS8" i="18"/>
  <c r="BI8" i="18"/>
  <c r="BF8" i="18"/>
  <c r="AY8" i="18"/>
  <c r="AQ8" i="18"/>
  <c r="BA8" i="18"/>
  <c r="BK8" i="18"/>
  <c r="BU6" i="18"/>
  <c r="BY6" i="18"/>
  <c r="BP6" i="18"/>
  <c r="BW6" i="18"/>
  <c r="CA6" i="18"/>
  <c r="BZ6" i="18"/>
  <c r="BQ6" i="18"/>
  <c r="CB6" i="18"/>
  <c r="BS6" i="18"/>
  <c r="BV6" i="18"/>
  <c r="BI6" i="18"/>
  <c r="AY6" i="18"/>
  <c r="BF6" i="18"/>
  <c r="BX6" i="18"/>
  <c r="BG6" i="18"/>
  <c r="AV6" i="18"/>
  <c r="AW6" i="18"/>
  <c r="AQ6" i="18"/>
  <c r="BA6" i="18"/>
  <c r="BK6" i="18"/>
  <c r="CB4" i="18"/>
  <c r="B38" i="3" s="1"/>
  <c r="BX4" i="18"/>
  <c r="K31" i="3" s="1"/>
  <c r="BZ4" i="18"/>
  <c r="C23" i="3" s="1"/>
  <c r="BV4" i="18"/>
  <c r="K29" i="3" s="1"/>
  <c r="BW4" i="18"/>
  <c r="K30" i="3" s="1"/>
  <c r="BS4" i="18"/>
  <c r="K21" i="3" s="1"/>
  <c r="BU4" i="18"/>
  <c r="K28" i="3" s="1"/>
  <c r="BP4" i="18"/>
  <c r="H21" i="3" s="1"/>
  <c r="BI4" i="18"/>
  <c r="K20" i="3" s="1"/>
  <c r="AY4" i="18"/>
  <c r="K19" i="3" s="1"/>
  <c r="BF4" i="18"/>
  <c r="H20" i="3" s="1"/>
  <c r="CA4" i="18"/>
  <c r="D23" i="3" s="1"/>
  <c r="BY4" i="18"/>
  <c r="K32" i="3" s="1"/>
  <c r="BG4" i="18"/>
  <c r="I20" i="3" s="1"/>
  <c r="BQ4" i="18"/>
  <c r="I21" i="3" s="1"/>
  <c r="AV4" i="18"/>
  <c r="H19" i="3" s="1"/>
  <c r="AW4" i="18"/>
  <c r="I19" i="3" s="1"/>
  <c r="BA4" i="18"/>
  <c r="BK4" i="18"/>
  <c r="C21" i="3" s="1"/>
  <c r="AQ4" i="18"/>
  <c r="BU37" i="18"/>
  <c r="BY37" i="18"/>
  <c r="BW37" i="18"/>
  <c r="CA37" i="18"/>
  <c r="BZ37" i="18"/>
  <c r="BP37" i="18"/>
  <c r="CB37" i="18"/>
  <c r="BQ37" i="18"/>
  <c r="BI37" i="18"/>
  <c r="AY37" i="18"/>
  <c r="AV37" i="18"/>
  <c r="BS37" i="18"/>
  <c r="AW37" i="18"/>
  <c r="BV37" i="18"/>
  <c r="BX37" i="18"/>
  <c r="BG37" i="18"/>
  <c r="BF37" i="18"/>
  <c r="BU35" i="18"/>
  <c r="BY35" i="18"/>
  <c r="BW35" i="18"/>
  <c r="CA35" i="18"/>
  <c r="BZ35" i="18"/>
  <c r="BP35" i="18"/>
  <c r="CB35" i="18"/>
  <c r="BQ35" i="18"/>
  <c r="BG35" i="18"/>
  <c r="AW35" i="18"/>
  <c r="BF35" i="18"/>
  <c r="BV35" i="18"/>
  <c r="BX35" i="18"/>
  <c r="BI35" i="18"/>
  <c r="BS35" i="18"/>
  <c r="AV35" i="18"/>
  <c r="AY35" i="18"/>
  <c r="BU33" i="18"/>
  <c r="BY33" i="18"/>
  <c r="BW33" i="18"/>
  <c r="CA33" i="18"/>
  <c r="BZ33" i="18"/>
  <c r="BP33" i="18"/>
  <c r="CB33" i="18"/>
  <c r="BQ33" i="18"/>
  <c r="BI33" i="18"/>
  <c r="AY33" i="18"/>
  <c r="AV33" i="18"/>
  <c r="BS33" i="18"/>
  <c r="BG33" i="18"/>
  <c r="BF33" i="18"/>
  <c r="BV33" i="18"/>
  <c r="AW33" i="18"/>
  <c r="BX33" i="18"/>
  <c r="BU31" i="18"/>
  <c r="BY31" i="18"/>
  <c r="BW31" i="18"/>
  <c r="CA31" i="18"/>
  <c r="BZ31" i="18"/>
  <c r="BP31" i="18"/>
  <c r="CB31" i="18"/>
  <c r="BQ31" i="18"/>
  <c r="BV31" i="18"/>
  <c r="BG31" i="18"/>
  <c r="AW31" i="18"/>
  <c r="BF31" i="18"/>
  <c r="BX31" i="18"/>
  <c r="AY31" i="18"/>
  <c r="AV31" i="18"/>
  <c r="BS31" i="18"/>
  <c r="BI31" i="18"/>
  <c r="BU29" i="18"/>
  <c r="BY29" i="18"/>
  <c r="BW29" i="18"/>
  <c r="CA29" i="18"/>
  <c r="BZ29" i="18"/>
  <c r="BP29" i="18"/>
  <c r="CB29" i="18"/>
  <c r="BQ29" i="18"/>
  <c r="BV29" i="18"/>
  <c r="BX29" i="18"/>
  <c r="BI29" i="18"/>
  <c r="AY29" i="18"/>
  <c r="AV29" i="18"/>
  <c r="BS29" i="18"/>
  <c r="AW29" i="18"/>
  <c r="BG29" i="18"/>
  <c r="BF29" i="18"/>
  <c r="BK29" i="18"/>
  <c r="BA29" i="18"/>
  <c r="AQ29" i="18"/>
  <c r="BU27" i="18"/>
  <c r="BY27" i="18"/>
  <c r="BW27" i="18"/>
  <c r="CA27" i="18"/>
  <c r="BZ27" i="18"/>
  <c r="BP27" i="18"/>
  <c r="CB27" i="18"/>
  <c r="BQ27" i="18"/>
  <c r="BV27" i="18"/>
  <c r="BG27" i="18"/>
  <c r="AW27" i="18"/>
  <c r="BF27" i="18"/>
  <c r="BI27" i="18"/>
  <c r="AY27" i="18"/>
  <c r="AV27" i="18"/>
  <c r="BX27" i="18"/>
  <c r="BS27" i="18"/>
  <c r="AQ27" i="18"/>
  <c r="BA27" i="18"/>
  <c r="BK27" i="18"/>
  <c r="BU25" i="18"/>
  <c r="BY25" i="18"/>
  <c r="BW25" i="18"/>
  <c r="CA25" i="18"/>
  <c r="BZ25" i="18"/>
  <c r="BP25" i="18"/>
  <c r="CB25" i="18"/>
  <c r="BQ25" i="18"/>
  <c r="BV25" i="18"/>
  <c r="BX25" i="18"/>
  <c r="BI25" i="18"/>
  <c r="AY25" i="18"/>
  <c r="AV25" i="18"/>
  <c r="BS25" i="18"/>
  <c r="BG25" i="18"/>
  <c r="BF25" i="18"/>
  <c r="AW25" i="18"/>
  <c r="AQ25" i="18"/>
  <c r="BA25" i="18"/>
  <c r="BK25" i="18"/>
  <c r="BU23" i="18"/>
  <c r="BY23" i="18"/>
  <c r="BW23" i="18"/>
  <c r="CA23" i="18"/>
  <c r="BZ23" i="18"/>
  <c r="BP23" i="18"/>
  <c r="CB23" i="18"/>
  <c r="BQ23" i="18"/>
  <c r="BV23" i="18"/>
  <c r="BG23" i="18"/>
  <c r="AW23" i="18"/>
  <c r="BF23" i="18"/>
  <c r="BX23" i="18"/>
  <c r="AY23" i="18"/>
  <c r="AV23" i="18"/>
  <c r="BI23" i="18"/>
  <c r="BS23" i="18"/>
  <c r="BK23" i="18"/>
  <c r="BA23" i="18"/>
  <c r="AQ23" i="18"/>
  <c r="BU21" i="18"/>
  <c r="BY21" i="18"/>
  <c r="BW21" i="18"/>
  <c r="CA21" i="18"/>
  <c r="BZ21" i="18"/>
  <c r="BP21" i="18"/>
  <c r="CB21" i="18"/>
  <c r="BQ21" i="18"/>
  <c r="BV21" i="18"/>
  <c r="BX21" i="18"/>
  <c r="BI21" i="18"/>
  <c r="AY21" i="18"/>
  <c r="AV21" i="18"/>
  <c r="BS21" i="18"/>
  <c r="AW21" i="18"/>
  <c r="BF21" i="18"/>
  <c r="BG21" i="18"/>
  <c r="AQ21" i="18"/>
  <c r="BK21" i="18"/>
  <c r="BA21" i="18"/>
  <c r="BU19" i="18"/>
  <c r="BY19" i="18"/>
  <c r="BW19" i="18"/>
  <c r="CA19" i="18"/>
  <c r="BZ19" i="18"/>
  <c r="BP19" i="18"/>
  <c r="CB19" i="18"/>
  <c r="BQ19" i="18"/>
  <c r="BV19" i="18"/>
  <c r="BG19" i="18"/>
  <c r="AW19" i="18"/>
  <c r="BF19" i="18"/>
  <c r="BI19" i="18"/>
  <c r="AV19" i="18"/>
  <c r="BX19" i="18"/>
  <c r="BS19" i="18"/>
  <c r="AY19" i="18"/>
  <c r="AQ19" i="18"/>
  <c r="BK19" i="18"/>
  <c r="BA19" i="18"/>
  <c r="BU17" i="18"/>
  <c r="BY17" i="18"/>
  <c r="BW17" i="18"/>
  <c r="CA17" i="18"/>
  <c r="BZ17" i="18"/>
  <c r="BP17" i="18"/>
  <c r="CB17" i="18"/>
  <c r="BQ17" i="18"/>
  <c r="BV17" i="18"/>
  <c r="BX17" i="18"/>
  <c r="BI17" i="18"/>
  <c r="AY17" i="18"/>
  <c r="AV17" i="18"/>
  <c r="BS17" i="18"/>
  <c r="BG17" i="18"/>
  <c r="BF17" i="18"/>
  <c r="AW17" i="18"/>
  <c r="BK17" i="18"/>
  <c r="AQ17" i="18"/>
  <c r="BA17" i="18"/>
  <c r="BU15" i="18"/>
  <c r="BY15" i="18"/>
  <c r="BW15" i="18"/>
  <c r="CA15" i="18"/>
  <c r="BZ15" i="18"/>
  <c r="BP15" i="18"/>
  <c r="CB15" i="18"/>
  <c r="BQ15" i="18"/>
  <c r="BV15" i="18"/>
  <c r="BG15" i="18"/>
  <c r="AW15" i="18"/>
  <c r="BF15" i="18"/>
  <c r="BX15" i="18"/>
  <c r="AY15" i="18"/>
  <c r="AV15" i="18"/>
  <c r="BS15" i="18"/>
  <c r="BI15" i="18"/>
  <c r="BK15" i="18"/>
  <c r="AQ15" i="18"/>
  <c r="BA15" i="18"/>
  <c r="BU13" i="18"/>
  <c r="BY13" i="18"/>
  <c r="BW13" i="18"/>
  <c r="CA13" i="18"/>
  <c r="BZ13" i="18"/>
  <c r="BP13" i="18"/>
  <c r="CB13" i="18"/>
  <c r="BQ13" i="18"/>
  <c r="BV13" i="18"/>
  <c r="BX13" i="18"/>
  <c r="BI13" i="18"/>
  <c r="AY13" i="18"/>
  <c r="AV13" i="18"/>
  <c r="BS13" i="18"/>
  <c r="AW13" i="18"/>
  <c r="BG13" i="18"/>
  <c r="BF13" i="18"/>
  <c r="BA13" i="18"/>
  <c r="BK13" i="18"/>
  <c r="AQ13" i="18"/>
  <c r="BU11" i="18"/>
  <c r="BY11" i="18"/>
  <c r="BW11" i="18"/>
  <c r="CA11" i="18"/>
  <c r="BZ11" i="18"/>
  <c r="BP11" i="18"/>
  <c r="CB11" i="18"/>
  <c r="BQ11" i="18"/>
  <c r="BV11" i="18"/>
  <c r="BG11" i="18"/>
  <c r="AW11" i="18"/>
  <c r="BF11" i="18"/>
  <c r="BI11" i="18"/>
  <c r="BX11" i="18"/>
  <c r="AY11" i="18"/>
  <c r="BS11" i="18"/>
  <c r="AV11" i="18"/>
  <c r="BA11" i="18"/>
  <c r="AQ11" i="18"/>
  <c r="BK11" i="18"/>
  <c r="BU9" i="18"/>
  <c r="BY9" i="18"/>
  <c r="BW9" i="18"/>
  <c r="CA9" i="18"/>
  <c r="BZ9" i="18"/>
  <c r="BP9" i="18"/>
  <c r="CB9" i="18"/>
  <c r="BQ9" i="18"/>
  <c r="BV9" i="18"/>
  <c r="BX9" i="18"/>
  <c r="BI9" i="18"/>
  <c r="AY9" i="18"/>
  <c r="AV9" i="18"/>
  <c r="BS9" i="18"/>
  <c r="BG9" i="18"/>
  <c r="BF9" i="18"/>
  <c r="AW9" i="18"/>
  <c r="AQ9" i="18"/>
  <c r="BA9" i="18"/>
  <c r="BK9" i="18"/>
  <c r="BU7" i="18"/>
  <c r="BY7" i="18"/>
  <c r="BP7" i="18"/>
  <c r="BW7" i="18"/>
  <c r="CA7" i="18"/>
  <c r="BZ7" i="18"/>
  <c r="BS7" i="18"/>
  <c r="CB7" i="18"/>
  <c r="BV7" i="18"/>
  <c r="BG7" i="18"/>
  <c r="AW7" i="18"/>
  <c r="BF7" i="18"/>
  <c r="BX7" i="18"/>
  <c r="AY7" i="18"/>
  <c r="AV7" i="18"/>
  <c r="BQ7" i="18"/>
  <c r="BI7" i="18"/>
  <c r="BA7" i="18"/>
  <c r="AQ7" i="18"/>
  <c r="BK7" i="18"/>
  <c r="BU5" i="18"/>
  <c r="BY5" i="18"/>
  <c r="BP5" i="18"/>
  <c r="BW5" i="18"/>
  <c r="CA5" i="18"/>
  <c r="BZ5" i="18"/>
  <c r="CB5" i="18"/>
  <c r="BV5" i="18"/>
  <c r="BQ5" i="18"/>
  <c r="BX5" i="18"/>
  <c r="BS5" i="18"/>
  <c r="BI5" i="18"/>
  <c r="AY5" i="18"/>
  <c r="AV5" i="18"/>
  <c r="AW5" i="18"/>
  <c r="BG5" i="18"/>
  <c r="BF5" i="18"/>
  <c r="AQ5" i="18"/>
  <c r="BA5" i="18"/>
  <c r="BK5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I16" i="3" s="1"/>
  <c r="M19" i="18"/>
  <c r="AC19" i="18"/>
  <c r="H15" i="3"/>
  <c r="W19" i="18"/>
  <c r="AM19" i="18"/>
  <c r="I18" i="3" s="1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AX5" i="18" s="1"/>
  <c r="AC39" i="24" l="1"/>
  <c r="X39" i="24"/>
  <c r="AH33" i="24"/>
  <c r="AC33" i="24"/>
  <c r="AH27" i="24"/>
  <c r="X21" i="24"/>
  <c r="AC15" i="24"/>
  <c r="X11" i="24"/>
  <c r="X41" i="24"/>
  <c r="AC35" i="24"/>
  <c r="X35" i="24"/>
  <c r="AH29" i="24"/>
  <c r="AH23" i="24"/>
  <c r="X17" i="24"/>
  <c r="X40" i="24"/>
  <c r="X38" i="24"/>
  <c r="AC38" i="24"/>
  <c r="X36" i="24"/>
  <c r="AH34" i="24"/>
  <c r="AH32" i="24"/>
  <c r="AC28" i="24"/>
  <c r="AH26" i="24"/>
  <c r="AC22" i="24"/>
  <c r="AH18" i="24"/>
  <c r="X14" i="24"/>
  <c r="AC14" i="24"/>
  <c r="AC12" i="24"/>
  <c r="AH8" i="24"/>
  <c r="BL8" i="18" s="1"/>
  <c r="X6" i="24"/>
  <c r="AC6" i="24"/>
  <c r="AC37" i="24"/>
  <c r="AH7" i="24"/>
  <c r="BL7" i="18" s="1"/>
  <c r="AH15" i="24"/>
  <c r="AC11" i="24"/>
  <c r="AH5" i="24"/>
  <c r="BL5" i="18" s="1"/>
  <c r="AC5" i="24"/>
  <c r="AH4" i="24"/>
  <c r="AC4" i="24"/>
  <c r="AC41" i="24"/>
  <c r="AC29" i="24"/>
  <c r="X9" i="24"/>
  <c r="X34" i="24"/>
  <c r="AC32" i="24"/>
  <c r="AH30" i="24"/>
  <c r="X28" i="24"/>
  <c r="AC26" i="24"/>
  <c r="X26" i="24"/>
  <c r="X24" i="24"/>
  <c r="X20" i="24"/>
  <c r="AC18" i="24"/>
  <c r="AH16" i="24"/>
  <c r="AC16" i="24"/>
  <c r="X12" i="24"/>
  <c r="AH10" i="24"/>
  <c r="BL10" i="18" s="1"/>
  <c r="AH37" i="24"/>
  <c r="AH31" i="24"/>
  <c r="X25" i="24"/>
  <c r="AC19" i="24"/>
  <c r="X19" i="24"/>
  <c r="AH13" i="24"/>
  <c r="AC13" i="24"/>
  <c r="AH39" i="24"/>
  <c r="X33" i="24"/>
  <c r="AC27" i="24"/>
  <c r="X27" i="24"/>
  <c r="AH21" i="24"/>
  <c r="AC21" i="24"/>
  <c r="AH11" i="24"/>
  <c r="BL11" i="18" s="1"/>
  <c r="AH41" i="24"/>
  <c r="AH35" i="24"/>
  <c r="X29" i="24"/>
  <c r="AC23" i="24"/>
  <c r="X23" i="24"/>
  <c r="AH17" i="24"/>
  <c r="AH40" i="24"/>
  <c r="AH36" i="24"/>
  <c r="AC36" i="24"/>
  <c r="AC34" i="24"/>
  <c r="X32" i="24"/>
  <c r="AC30" i="24"/>
  <c r="AH22" i="24"/>
  <c r="AC20" i="24"/>
  <c r="X10" i="24"/>
  <c r="AC10" i="24"/>
  <c r="X8" i="24"/>
  <c r="AC8" i="24"/>
  <c r="X7" i="24"/>
  <c r="AH28" i="24"/>
  <c r="AC24" i="24"/>
  <c r="AH14" i="24"/>
  <c r="X5" i="24"/>
  <c r="X22" i="24"/>
  <c r="X13" i="24"/>
  <c r="X15" i="24"/>
  <c r="X4" i="24"/>
  <c r="AH38" i="24"/>
  <c r="AH24" i="24"/>
  <c r="AH20" i="24"/>
  <c r="AH6" i="24"/>
  <c r="BL6" i="18" s="1"/>
  <c r="X31" i="24"/>
  <c r="AC25" i="24"/>
  <c r="AH19" i="24"/>
  <c r="AC17" i="24"/>
  <c r="AC9" i="24"/>
  <c r="AC40" i="24"/>
  <c r="X30" i="24"/>
  <c r="X18" i="24"/>
  <c r="X16" i="24"/>
  <c r="AH12" i="24"/>
  <c r="X37" i="24"/>
  <c r="AC31" i="24"/>
  <c r="AH25" i="24"/>
  <c r="AH9" i="24"/>
  <c r="BL9" i="18" s="1"/>
  <c r="AC7" i="24"/>
  <c r="AX9" i="18"/>
  <c r="AZ9" i="18" s="1"/>
  <c r="AX11" i="18"/>
  <c r="AZ11" i="18" s="1"/>
  <c r="BR15" i="18"/>
  <c r="BR23" i="18"/>
  <c r="BR5" i="18"/>
  <c r="AX19" i="18"/>
  <c r="AZ19" i="18" s="1"/>
  <c r="AX42" i="18"/>
  <c r="AZ42" i="18" s="1"/>
  <c r="BR40" i="18"/>
  <c r="AX41" i="18"/>
  <c r="AZ41" i="18" s="1"/>
  <c r="BH42" i="18"/>
  <c r="BJ42" i="18" s="1"/>
  <c r="AX40" i="18"/>
  <c r="AZ40" i="18" s="1"/>
  <c r="BH41" i="18"/>
  <c r="BJ41" i="18" s="1"/>
  <c r="BR41" i="18"/>
  <c r="BR42" i="18"/>
  <c r="BT42" i="18" s="1"/>
  <c r="BH40" i="18"/>
  <c r="BJ40" i="18" s="1"/>
  <c r="BH24" i="18"/>
  <c r="AX10" i="18"/>
  <c r="BH36" i="18"/>
  <c r="BJ36" i="18" s="1"/>
  <c r="BH32" i="18"/>
  <c r="BH28" i="18"/>
  <c r="BH20" i="18"/>
  <c r="BH16" i="18"/>
  <c r="BJ16" i="18" s="1"/>
  <c r="AX14" i="18"/>
  <c r="BR12" i="18"/>
  <c r="BR8" i="18"/>
  <c r="AX8" i="18"/>
  <c r="AZ8" i="18" s="1"/>
  <c r="BH4" i="18"/>
  <c r="J20" i="3" s="1"/>
  <c r="AX35" i="18"/>
  <c r="BH29" i="18"/>
  <c r="BJ29" i="18" s="1"/>
  <c r="BH25" i="18"/>
  <c r="BJ25" i="18" s="1"/>
  <c r="BH21" i="18"/>
  <c r="BJ21" i="18" s="1"/>
  <c r="BH17" i="18"/>
  <c r="BR26" i="18"/>
  <c r="AX26" i="18"/>
  <c r="AZ26" i="18" s="1"/>
  <c r="BR39" i="18"/>
  <c r="BR38" i="18"/>
  <c r="BR34" i="18"/>
  <c r="BR30" i="18"/>
  <c r="BT30" i="18" s="1"/>
  <c r="BR18" i="18"/>
  <c r="BT18" i="18" s="1"/>
  <c r="AX18" i="18"/>
  <c r="BR36" i="18"/>
  <c r="BR32" i="18"/>
  <c r="BT32" i="18" s="1"/>
  <c r="BR22" i="18"/>
  <c r="BH12" i="18"/>
  <c r="BR6" i="18"/>
  <c r="BR4" i="18"/>
  <c r="J21" i="3" s="1"/>
  <c r="AX37" i="18"/>
  <c r="BH35" i="18"/>
  <c r="AX33" i="18"/>
  <c r="AX31" i="18"/>
  <c r="AZ31" i="18" s="1"/>
  <c r="BH31" i="18"/>
  <c r="BJ31" i="18" s="1"/>
  <c r="BR29" i="18"/>
  <c r="BH27" i="18"/>
  <c r="BJ27" i="18" s="1"/>
  <c r="BR27" i="18"/>
  <c r="BT27" i="18" s="1"/>
  <c r="BR25" i="18"/>
  <c r="AX23" i="18"/>
  <c r="BH23" i="18"/>
  <c r="BR21" i="18"/>
  <c r="BT21" i="18" s="1"/>
  <c r="BH19" i="18"/>
  <c r="BJ19" i="18" s="1"/>
  <c r="BR19" i="18"/>
  <c r="BR17" i="18"/>
  <c r="AX15" i="18"/>
  <c r="AZ15" i="18" s="1"/>
  <c r="BH15" i="18"/>
  <c r="BH13" i="18"/>
  <c r="BR13" i="18"/>
  <c r="BR11" i="18"/>
  <c r="BT11" i="18" s="1"/>
  <c r="BH9" i="18"/>
  <c r="AX38" i="18"/>
  <c r="AX34" i="18"/>
  <c r="AZ34" i="18" s="1"/>
  <c r="BH34" i="18"/>
  <c r="BJ34" i="18" s="1"/>
  <c r="AX30" i="18"/>
  <c r="AZ30" i="18" s="1"/>
  <c r="BR24" i="18"/>
  <c r="AX24" i="18"/>
  <c r="BR10" i="18"/>
  <c r="BT10" i="18" s="1"/>
  <c r="AX36" i="18"/>
  <c r="AZ36" i="18" s="1"/>
  <c r="AX32" i="18"/>
  <c r="BR28" i="18"/>
  <c r="AX28" i="18"/>
  <c r="AZ28" i="18" s="1"/>
  <c r="BR20" i="18"/>
  <c r="AX20" i="18"/>
  <c r="BR16" i="18"/>
  <c r="AX16" i="18"/>
  <c r="AZ16" i="18" s="1"/>
  <c r="BR14" i="18"/>
  <c r="BH8" i="18"/>
  <c r="AX6" i="18"/>
  <c r="AZ6" i="18" s="1"/>
  <c r="BR35" i="18"/>
  <c r="BT35" i="18" s="1"/>
  <c r="AX29" i="18"/>
  <c r="AZ29" i="18" s="1"/>
  <c r="AX25" i="18"/>
  <c r="AZ25" i="18" s="1"/>
  <c r="AX21" i="18"/>
  <c r="AZ21" i="18" s="1"/>
  <c r="AX17" i="18"/>
  <c r="AZ17" i="18" s="1"/>
  <c r="BH11" i="18"/>
  <c r="BJ11" i="18" s="1"/>
  <c r="BR9" i="18"/>
  <c r="AX7" i="18"/>
  <c r="AZ7" i="18" s="1"/>
  <c r="BH7" i="18"/>
  <c r="BJ7" i="18" s="1"/>
  <c r="BH5" i="18"/>
  <c r="BJ5" i="18" s="1"/>
  <c r="BH26" i="18"/>
  <c r="AX39" i="18"/>
  <c r="AZ39" i="18" s="1"/>
  <c r="BH39" i="18"/>
  <c r="BJ39" i="18" s="1"/>
  <c r="BH38" i="18"/>
  <c r="BH30" i="18"/>
  <c r="BH18" i="18"/>
  <c r="BJ18" i="18" s="1"/>
  <c r="BH10" i="18"/>
  <c r="BJ10" i="18" s="1"/>
  <c r="BH22" i="18"/>
  <c r="AX22" i="18"/>
  <c r="BH14" i="18"/>
  <c r="BJ14" i="18" s="1"/>
  <c r="AX12" i="18"/>
  <c r="AZ12" i="18" s="1"/>
  <c r="BH6" i="18"/>
  <c r="BJ6" i="18" s="1"/>
  <c r="AX4" i="18"/>
  <c r="J19" i="3" s="1"/>
  <c r="BH37" i="18"/>
  <c r="BJ37" i="18" s="1"/>
  <c r="BR37" i="18"/>
  <c r="BT37" i="18" s="1"/>
  <c r="BH33" i="18"/>
  <c r="BJ33" i="18" s="1"/>
  <c r="BR33" i="18"/>
  <c r="BT33" i="18" s="1"/>
  <c r="BR31" i="18"/>
  <c r="AX27" i="18"/>
  <c r="AZ27" i="18" s="1"/>
  <c r="AI27" i="24"/>
  <c r="AI21" i="24"/>
  <c r="AD21" i="24"/>
  <c r="AD15" i="24"/>
  <c r="AI4" i="24"/>
  <c r="AD4" i="24"/>
  <c r="AI41" i="24"/>
  <c r="AD41" i="24"/>
  <c r="AI23" i="24"/>
  <c r="AD40" i="24"/>
  <c r="AI40" i="24"/>
  <c r="Y34" i="24"/>
  <c r="AD32" i="24"/>
  <c r="AI32" i="24"/>
  <c r="Y26" i="24"/>
  <c r="AD24" i="24"/>
  <c r="AD22" i="24"/>
  <c r="Y18" i="24"/>
  <c r="AD16" i="24"/>
  <c r="Y10" i="24"/>
  <c r="AS10" i="18" s="1"/>
  <c r="AD8" i="24"/>
  <c r="BC8" i="18" s="1"/>
  <c r="Y8" i="24"/>
  <c r="AS8" i="18" s="1"/>
  <c r="AI19" i="24"/>
  <c r="AD13" i="24"/>
  <c r="Y13" i="24"/>
  <c r="Y7" i="24"/>
  <c r="AS7" i="18" s="1"/>
  <c r="AD39" i="24"/>
  <c r="Y39" i="24"/>
  <c r="Y27" i="24"/>
  <c r="Y21" i="24"/>
  <c r="Y15" i="24"/>
  <c r="AD11" i="24"/>
  <c r="BC11" i="18" s="1"/>
  <c r="AD5" i="24"/>
  <c r="BC5" i="18" s="1"/>
  <c r="Y4" i="24"/>
  <c r="Y41" i="24"/>
  <c r="Y35" i="24"/>
  <c r="AD29" i="24"/>
  <c r="Y23" i="24"/>
  <c r="AI17" i="24"/>
  <c r="AI9" i="24"/>
  <c r="BM9" i="18" s="1"/>
  <c r="Y40" i="24"/>
  <c r="AI38" i="24"/>
  <c r="AD38" i="24"/>
  <c r="Y32" i="24"/>
  <c r="AI30" i="24"/>
  <c r="AI28" i="24"/>
  <c r="AI24" i="24"/>
  <c r="AI22" i="24"/>
  <c r="AI20" i="24"/>
  <c r="AI14" i="24"/>
  <c r="AD14" i="24"/>
  <c r="AI6" i="24"/>
  <c r="BM6" i="18" s="1"/>
  <c r="AD6" i="24"/>
  <c r="BC6" i="18" s="1"/>
  <c r="AD31" i="24"/>
  <c r="AI25" i="24"/>
  <c r="AI7" i="24"/>
  <c r="BM7" i="18" s="1"/>
  <c r="AI33" i="24"/>
  <c r="AD33" i="24"/>
  <c r="AI15" i="24"/>
  <c r="Y11" i="24"/>
  <c r="AS11" i="18" s="1"/>
  <c r="AI5" i="24"/>
  <c r="BM5" i="18" s="1"/>
  <c r="AD35" i="24"/>
  <c r="AI29" i="24"/>
  <c r="AD23" i="24"/>
  <c r="AD17" i="24"/>
  <c r="Y17" i="24"/>
  <c r="Y9" i="24"/>
  <c r="AS9" i="18" s="1"/>
  <c r="Y38" i="24"/>
  <c r="AD36" i="24"/>
  <c r="AI36" i="24"/>
  <c r="AD34" i="24"/>
  <c r="Y30" i="24"/>
  <c r="AD28" i="24"/>
  <c r="Y28" i="24"/>
  <c r="AD26" i="24"/>
  <c r="Y24" i="24"/>
  <c r="Y22" i="24"/>
  <c r="AD20" i="24"/>
  <c r="Y20" i="24"/>
  <c r="AD18" i="24"/>
  <c r="AI16" i="24"/>
  <c r="Y14" i="24"/>
  <c r="AD12" i="24"/>
  <c r="AI12" i="24"/>
  <c r="Y6" i="24"/>
  <c r="AS6" i="18" s="1"/>
  <c r="AI37" i="24"/>
  <c r="AI31" i="24"/>
  <c r="Y31" i="24"/>
  <c r="Y25" i="24"/>
  <c r="AD19" i="24"/>
  <c r="AI39" i="24"/>
  <c r="AI11" i="24"/>
  <c r="BM11" i="18" s="1"/>
  <c r="Y5" i="24"/>
  <c r="AS5" i="18" s="1"/>
  <c r="Y29" i="24"/>
  <c r="AI18" i="24"/>
  <c r="Y12" i="24"/>
  <c r="AD10" i="24"/>
  <c r="BC10" i="18" s="1"/>
  <c r="AI8" i="24"/>
  <c r="BM8" i="18" s="1"/>
  <c r="AD25" i="24"/>
  <c r="AI13" i="24"/>
  <c r="AD7" i="24"/>
  <c r="BC7" i="18" s="1"/>
  <c r="AD27" i="24"/>
  <c r="AD9" i="24"/>
  <c r="BC9" i="18" s="1"/>
  <c r="Y36" i="24"/>
  <c r="AD30" i="24"/>
  <c r="AI10" i="24"/>
  <c r="BM10" i="18" s="1"/>
  <c r="AD37" i="24"/>
  <c r="AI34" i="24"/>
  <c r="Y33" i="24"/>
  <c r="AI35" i="24"/>
  <c r="AI26" i="24"/>
  <c r="Y16" i="24"/>
  <c r="Y37" i="24"/>
  <c r="Y19" i="24"/>
  <c r="BR7" i="18"/>
  <c r="BT7" i="18" s="1"/>
  <c r="AX13" i="18"/>
  <c r="AZ13" i="18" s="1"/>
  <c r="BJ23" i="18"/>
  <c r="L20" i="3"/>
  <c r="L19" i="3"/>
  <c r="BJ9" i="18"/>
  <c r="AZ35" i="18"/>
  <c r="BJ12" i="18"/>
  <c r="BJ22" i="18"/>
  <c r="AZ32" i="18"/>
  <c r="AZ24" i="18"/>
  <c r="BJ30" i="18"/>
  <c r="BJ38" i="18"/>
  <c r="BJ26" i="18"/>
  <c r="AZ5" i="18"/>
  <c r="BJ13" i="18"/>
  <c r="BJ15" i="18"/>
  <c r="BJ17" i="18"/>
  <c r="AZ33" i="18"/>
  <c r="AZ37" i="18"/>
  <c r="C19" i="3"/>
  <c r="BJ8" i="18"/>
  <c r="AZ14" i="18"/>
  <c r="BJ20" i="18"/>
  <c r="BJ28" i="18"/>
  <c r="AZ23" i="18"/>
  <c r="BJ35" i="18"/>
  <c r="C20" i="3"/>
  <c r="AZ20" i="18"/>
  <c r="AZ22" i="18"/>
  <c r="BJ32" i="18"/>
  <c r="AZ10" i="18"/>
  <c r="AZ18" i="18"/>
  <c r="BJ24" i="18"/>
  <c r="AZ38" i="18"/>
  <c r="I17" i="3"/>
  <c r="K15" i="3"/>
  <c r="K16" i="3"/>
  <c r="K17" i="3"/>
  <c r="K18" i="3"/>
  <c r="I15" i="3"/>
  <c r="T5" i="18"/>
  <c r="V5" i="18" s="1"/>
  <c r="T13" i="18"/>
  <c r="V13" i="18" s="1"/>
  <c r="BT17" i="18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BT12" i="18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L11" i="18" s="1"/>
  <c r="T17" i="18"/>
  <c r="V17" i="18" s="1"/>
  <c r="AD27" i="18"/>
  <c r="AF27" i="18" s="1"/>
  <c r="BT29" i="18"/>
  <c r="AN35" i="18"/>
  <c r="AP35" i="18" s="1"/>
  <c r="J6" i="18"/>
  <c r="L6" i="18" s="1"/>
  <c r="T16" i="18"/>
  <c r="V16" i="18" s="1"/>
  <c r="J20" i="18"/>
  <c r="L20" i="18" s="1"/>
  <c r="AD20" i="18"/>
  <c r="AF20" i="18" s="1"/>
  <c r="BT26" i="18"/>
  <c r="AN5" i="18"/>
  <c r="AP5" i="18" s="1"/>
  <c r="J5" i="18"/>
  <c r="L5" i="18" s="1"/>
  <c r="AN17" i="18"/>
  <c r="AP17" i="18" s="1"/>
  <c r="T27" i="18"/>
  <c r="V27" i="18" s="1"/>
  <c r="AD29" i="18"/>
  <c r="AF29" i="18" s="1"/>
  <c r="AN37" i="18"/>
  <c r="AP37" i="18" s="1"/>
  <c r="AD37" i="18"/>
  <c r="AF37" i="18" s="1"/>
  <c r="H18" i="3"/>
  <c r="BT6" i="18"/>
  <c r="J8" i="18"/>
  <c r="L8" i="18" s="1"/>
  <c r="T10" i="18"/>
  <c r="V10" i="18" s="1"/>
  <c r="AN10" i="18"/>
  <c r="AP10" i="18" s="1"/>
  <c r="AD10" i="18"/>
  <c r="AF10" i="18" s="1"/>
  <c r="BT14" i="18"/>
  <c r="AD22" i="18"/>
  <c r="AF22" i="18" s="1"/>
  <c r="J26" i="18"/>
  <c r="L26" i="18" s="1"/>
  <c r="AN26" i="18"/>
  <c r="AP26" i="18" s="1"/>
  <c r="T28" i="18"/>
  <c r="V28" i="18" s="1"/>
  <c r="BT28" i="18"/>
  <c r="AD30" i="18"/>
  <c r="AF30" i="18" s="1"/>
  <c r="AD32" i="18"/>
  <c r="AF32" i="18" s="1"/>
  <c r="J32" i="18"/>
  <c r="L32" i="18" s="1"/>
  <c r="T34" i="18"/>
  <c r="V34" i="18" s="1"/>
  <c r="BT34" i="18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BT41" i="18"/>
  <c r="T41" i="18"/>
  <c r="V41" i="18" s="1"/>
  <c r="BT40" i="18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BT23" i="18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BT9" i="18"/>
  <c r="AD13" i="18"/>
  <c r="AF13" i="18" s="1"/>
  <c r="AN15" i="18"/>
  <c r="AP15" i="18" s="1"/>
  <c r="T15" i="18"/>
  <c r="V15" i="18" s="1"/>
  <c r="BT15" i="18"/>
  <c r="C17" i="3"/>
  <c r="C24" i="3"/>
  <c r="T19" i="18"/>
  <c r="AD21" i="18"/>
  <c r="AF21" i="18" s="1"/>
  <c r="J23" i="18"/>
  <c r="L23" i="18" s="1"/>
  <c r="AN23" i="18"/>
  <c r="AP23" i="18" s="1"/>
  <c r="AD23" i="18"/>
  <c r="AF23" i="18" s="1"/>
  <c r="BT25" i="18"/>
  <c r="T29" i="18"/>
  <c r="V29" i="18" s="1"/>
  <c r="J31" i="18"/>
  <c r="L31" i="18" s="1"/>
  <c r="AN31" i="18"/>
  <c r="AP31" i="18" s="1"/>
  <c r="AD31" i="18"/>
  <c r="J35" i="18"/>
  <c r="L35" i="18" s="1"/>
  <c r="T37" i="18"/>
  <c r="V37" i="18" s="1"/>
  <c r="D24" i="3"/>
  <c r="AD4" i="18"/>
  <c r="AF4" i="18" s="1"/>
  <c r="AN39" i="18"/>
  <c r="AP39" i="18" s="1"/>
  <c r="AD39" i="18"/>
  <c r="AF39" i="18" s="1"/>
  <c r="BT8" i="18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BT22" i="18"/>
  <c r="AD24" i="18"/>
  <c r="AF24" i="18" s="1"/>
  <c r="J28" i="18"/>
  <c r="L28" i="18" s="1"/>
  <c r="AN28" i="18"/>
  <c r="AP28" i="18" s="1"/>
  <c r="T30" i="18"/>
  <c r="V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BT36" i="18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BT5" i="18"/>
  <c r="BT13" i="18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BT31" i="18"/>
  <c r="J33" i="18"/>
  <c r="L33" i="18" s="1"/>
  <c r="T35" i="18"/>
  <c r="V35" i="18" s="1"/>
  <c r="J4" i="18"/>
  <c r="L4" i="18" s="1"/>
  <c r="AN9" i="18"/>
  <c r="AP9" i="18" s="1"/>
  <c r="J9" i="18"/>
  <c r="L9" i="18" s="1"/>
  <c r="AN11" i="18"/>
  <c r="AP11" i="18" s="1"/>
  <c r="T11" i="18"/>
  <c r="V11" i="18" s="1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AF31" i="18"/>
  <c r="T31" i="18"/>
  <c r="V31" i="18" s="1"/>
  <c r="AN33" i="18"/>
  <c r="AP33" i="18" s="1"/>
  <c r="AD33" i="18"/>
  <c r="AF33" i="18" s="1"/>
  <c r="J37" i="18"/>
  <c r="L37" i="18" s="1"/>
  <c r="H16" i="3"/>
  <c r="T39" i="18"/>
  <c r="V39" i="18" s="1"/>
  <c r="BT39" i="18"/>
  <c r="T6" i="18"/>
  <c r="V6" i="18" s="1"/>
  <c r="AN6" i="18"/>
  <c r="AP6" i="18" s="1"/>
  <c r="AD6" i="18"/>
  <c r="AF6" i="18" s="1"/>
  <c r="J12" i="18"/>
  <c r="L12" i="18" s="1"/>
  <c r="T14" i="18"/>
  <c r="V14" i="18" s="1"/>
  <c r="AN14" i="18"/>
  <c r="AP14" i="18" s="1"/>
  <c r="AD14" i="18"/>
  <c r="AF14" i="18" s="1"/>
  <c r="BT16" i="18"/>
  <c r="AN16" i="18"/>
  <c r="AP16" i="18" s="1"/>
  <c r="AD16" i="18"/>
  <c r="AF16" i="18" s="1"/>
  <c r="T18" i="18"/>
  <c r="V18" i="18" s="1"/>
  <c r="BT20" i="18"/>
  <c r="J22" i="18"/>
  <c r="L22" i="18" s="1"/>
  <c r="AN22" i="18"/>
  <c r="AP22" i="18" s="1"/>
  <c r="T24" i="18"/>
  <c r="V24" i="18" s="1"/>
  <c r="BT24" i="18"/>
  <c r="AD26" i="18"/>
  <c r="AF26" i="18" s="1"/>
  <c r="J30" i="18"/>
  <c r="L30" i="18" s="1"/>
  <c r="AN30" i="18"/>
  <c r="AP30" i="18" s="1"/>
  <c r="J36" i="18"/>
  <c r="L36" i="18" s="1"/>
  <c r="AN36" i="18"/>
  <c r="AP36" i="18" s="1"/>
  <c r="AD36" i="18"/>
  <c r="AF36" i="18" s="1"/>
  <c r="T38" i="18"/>
  <c r="V38" i="18" s="1"/>
  <c r="BT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BJ4" i="18" l="1"/>
  <c r="AZ4" i="18"/>
  <c r="F44" i="19"/>
  <c r="O44" i="19"/>
  <c r="E44" i="19"/>
  <c r="N44" i="19"/>
  <c r="C43" i="19"/>
  <c r="O43" i="19"/>
  <c r="G43" i="19"/>
  <c r="C44" i="19"/>
  <c r="I44" i="19"/>
  <c r="E43" i="19"/>
  <c r="H43" i="19"/>
  <c r="N43" i="19"/>
  <c r="G44" i="19"/>
  <c r="I43" i="19"/>
  <c r="F43" i="19"/>
  <c r="D43" i="19"/>
  <c r="K43" i="19"/>
  <c r="K44" i="19"/>
  <c r="J44" i="19"/>
  <c r="H44" i="19"/>
  <c r="D44" i="19"/>
  <c r="J43" i="19"/>
  <c r="BT4" i="18"/>
  <c r="J15" i="3"/>
  <c r="K33" i="19"/>
  <c r="G33" i="19"/>
  <c r="W33" i="24" s="1"/>
  <c r="AQ33" i="18" s="1"/>
  <c r="G35" i="19"/>
  <c r="W35" i="24" s="1"/>
  <c r="AQ35" i="18" s="1"/>
  <c r="O37" i="19"/>
  <c r="J37" i="19"/>
  <c r="I41" i="19"/>
  <c r="AG41" i="24" s="1"/>
  <c r="BK41" i="18" s="1"/>
  <c r="N41" i="19"/>
  <c r="K31" i="19"/>
  <c r="H31" i="19"/>
  <c r="AB31" i="24" s="1"/>
  <c r="BA31" i="18" s="1"/>
  <c r="I39" i="19"/>
  <c r="AG39" i="24" s="1"/>
  <c r="BK39" i="18" s="1"/>
  <c r="G39" i="19"/>
  <c r="W39" i="24" s="1"/>
  <c r="AQ39" i="18" s="1"/>
  <c r="H30" i="19"/>
  <c r="AB30" i="24" s="1"/>
  <c r="BA30" i="18" s="1"/>
  <c r="I30" i="19"/>
  <c r="AG30" i="24" s="1"/>
  <c r="BK30" i="18" s="1"/>
  <c r="K32" i="19"/>
  <c r="O32" i="19"/>
  <c r="O34" i="19"/>
  <c r="J36" i="19"/>
  <c r="K36" i="19"/>
  <c r="H38" i="19"/>
  <c r="AB38" i="24" s="1"/>
  <c r="BA38" i="18" s="1"/>
  <c r="I38" i="19"/>
  <c r="AG38" i="24" s="1"/>
  <c r="BK38" i="18" s="1"/>
  <c r="K40" i="19"/>
  <c r="O40" i="19"/>
  <c r="O42" i="19"/>
  <c r="C32" i="19"/>
  <c r="C32" i="24" s="1"/>
  <c r="C36" i="19"/>
  <c r="C36" i="24" s="1"/>
  <c r="C40" i="19"/>
  <c r="C40" i="24" s="1"/>
  <c r="F30" i="19"/>
  <c r="R30" i="24" s="1"/>
  <c r="F34" i="19"/>
  <c r="R34" i="24" s="1"/>
  <c r="F38" i="19"/>
  <c r="R38" i="24" s="1"/>
  <c r="F42" i="19"/>
  <c r="E36" i="19"/>
  <c r="M36" i="24" s="1"/>
  <c r="D31" i="19"/>
  <c r="H31" i="24" s="1"/>
  <c r="D30" i="19"/>
  <c r="H30" i="24" s="1"/>
  <c r="D38" i="19"/>
  <c r="H38" i="24" s="1"/>
  <c r="F36" i="19"/>
  <c r="R36" i="24" s="1"/>
  <c r="F33" i="19"/>
  <c r="R33" i="24" s="1"/>
  <c r="E39" i="19"/>
  <c r="M39" i="24" s="1"/>
  <c r="C38" i="19"/>
  <c r="C38" i="24" s="1"/>
  <c r="E40" i="19"/>
  <c r="M40" i="24" s="1"/>
  <c r="H33" i="19"/>
  <c r="AB33" i="24" s="1"/>
  <c r="BA33" i="18" s="1"/>
  <c r="K35" i="19"/>
  <c r="O35" i="19"/>
  <c r="I37" i="19"/>
  <c r="AG37" i="24" s="1"/>
  <c r="BK37" i="18" s="1"/>
  <c r="K37" i="19"/>
  <c r="G41" i="19"/>
  <c r="W41" i="24" s="1"/>
  <c r="AQ41" i="18" s="1"/>
  <c r="H41" i="19"/>
  <c r="AB41" i="24" s="1"/>
  <c r="BA41" i="18" s="1"/>
  <c r="I31" i="19"/>
  <c r="AG31" i="24" s="1"/>
  <c r="BK31" i="18" s="1"/>
  <c r="G31" i="19"/>
  <c r="W31" i="24" s="1"/>
  <c r="AQ31" i="18" s="1"/>
  <c r="J39" i="19"/>
  <c r="O39" i="19"/>
  <c r="G30" i="19"/>
  <c r="W30" i="24" s="1"/>
  <c r="AQ30" i="18" s="1"/>
  <c r="J30" i="19"/>
  <c r="N32" i="19"/>
  <c r="N34" i="19"/>
  <c r="I34" i="19"/>
  <c r="AG34" i="24" s="1"/>
  <c r="BK34" i="18" s="1"/>
  <c r="H36" i="19"/>
  <c r="AB36" i="24" s="1"/>
  <c r="BA36" i="18" s="1"/>
  <c r="N36" i="19"/>
  <c r="G38" i="19"/>
  <c r="W38" i="24" s="1"/>
  <c r="AQ38" i="18" s="1"/>
  <c r="J38" i="19"/>
  <c r="N40" i="19"/>
  <c r="N42" i="19"/>
  <c r="I42" i="19"/>
  <c r="D33" i="19"/>
  <c r="H33" i="24" s="1"/>
  <c r="D37" i="19"/>
  <c r="H37" i="24" s="1"/>
  <c r="D41" i="19"/>
  <c r="H41" i="24" s="1"/>
  <c r="C31" i="19"/>
  <c r="C31" i="24" s="1"/>
  <c r="C35" i="19"/>
  <c r="C35" i="24" s="1"/>
  <c r="C39" i="19"/>
  <c r="C39" i="24" s="1"/>
  <c r="F37" i="19"/>
  <c r="R37" i="24" s="1"/>
  <c r="C33" i="19"/>
  <c r="C33" i="24" s="1"/>
  <c r="E32" i="19"/>
  <c r="M32" i="24" s="1"/>
  <c r="C41" i="19"/>
  <c r="C41" i="24" s="1"/>
  <c r="O33" i="19"/>
  <c r="J33" i="19"/>
  <c r="N35" i="19"/>
  <c r="I35" i="19"/>
  <c r="AG35" i="24" s="1"/>
  <c r="BK35" i="18" s="1"/>
  <c r="N37" i="19"/>
  <c r="G37" i="19"/>
  <c r="W37" i="24" s="1"/>
  <c r="AQ37" i="18" s="1"/>
  <c r="J41" i="19"/>
  <c r="J31" i="19"/>
  <c r="O31" i="19"/>
  <c r="N39" i="19"/>
  <c r="K30" i="19"/>
  <c r="J32" i="19"/>
  <c r="H32" i="19"/>
  <c r="AB32" i="24" s="1"/>
  <c r="BA32" i="18" s="1"/>
  <c r="H34" i="19"/>
  <c r="AB34" i="24" s="1"/>
  <c r="BA34" i="18" s="1"/>
  <c r="J34" i="19"/>
  <c r="G36" i="19"/>
  <c r="W36" i="24" s="1"/>
  <c r="AQ36" i="18" s="1"/>
  <c r="I36" i="19"/>
  <c r="AG36" i="24" s="1"/>
  <c r="BK36" i="18" s="1"/>
  <c r="K38" i="19"/>
  <c r="J40" i="19"/>
  <c r="H40" i="19"/>
  <c r="AB40" i="24" s="1"/>
  <c r="BA40" i="18" s="1"/>
  <c r="H42" i="19"/>
  <c r="J42" i="19"/>
  <c r="E30" i="19"/>
  <c r="M30" i="24" s="1"/>
  <c r="E34" i="19"/>
  <c r="M34" i="24" s="1"/>
  <c r="E38" i="19"/>
  <c r="M38" i="24" s="1"/>
  <c r="E42" i="19"/>
  <c r="D32" i="19"/>
  <c r="H32" i="24" s="1"/>
  <c r="D36" i="19"/>
  <c r="H36" i="24" s="1"/>
  <c r="D40" i="19"/>
  <c r="H40" i="24" s="1"/>
  <c r="C34" i="19"/>
  <c r="C34" i="24" s="1"/>
  <c r="C42" i="19"/>
  <c r="E35" i="19"/>
  <c r="M35" i="24" s="1"/>
  <c r="D39" i="19"/>
  <c r="H39" i="24" s="1"/>
  <c r="F32" i="19"/>
  <c r="R32" i="24" s="1"/>
  <c r="F40" i="19"/>
  <c r="R40" i="24" s="1"/>
  <c r="I33" i="19"/>
  <c r="AG33" i="24" s="1"/>
  <c r="BK33" i="18" s="1"/>
  <c r="N33" i="19"/>
  <c r="H35" i="19"/>
  <c r="AB35" i="24" s="1"/>
  <c r="BA35" i="18" s="1"/>
  <c r="J35" i="19"/>
  <c r="H37" i="19"/>
  <c r="AB37" i="24" s="1"/>
  <c r="BA37" i="18" s="1"/>
  <c r="O41" i="19"/>
  <c r="K41" i="19"/>
  <c r="N31" i="19"/>
  <c r="K39" i="19"/>
  <c r="H39" i="19"/>
  <c r="AB39" i="24" s="1"/>
  <c r="BA39" i="18" s="1"/>
  <c r="N30" i="19"/>
  <c r="O30" i="19"/>
  <c r="I32" i="19"/>
  <c r="AG32" i="24" s="1"/>
  <c r="BK32" i="18" s="1"/>
  <c r="G32" i="19"/>
  <c r="W32" i="24" s="1"/>
  <c r="AQ32" i="18" s="1"/>
  <c r="G34" i="19"/>
  <c r="W34" i="24" s="1"/>
  <c r="AQ34" i="18" s="1"/>
  <c r="K34" i="19"/>
  <c r="O36" i="19"/>
  <c r="N38" i="19"/>
  <c r="O38" i="19"/>
  <c r="I40" i="19"/>
  <c r="AG40" i="24" s="1"/>
  <c r="BK40" i="18" s="1"/>
  <c r="G40" i="19"/>
  <c r="W40" i="24" s="1"/>
  <c r="AQ40" i="18" s="1"/>
  <c r="G42" i="19"/>
  <c r="K42" i="19"/>
  <c r="F31" i="19"/>
  <c r="R31" i="24" s="1"/>
  <c r="F35" i="19"/>
  <c r="R35" i="24" s="1"/>
  <c r="F39" i="19"/>
  <c r="R39" i="24" s="1"/>
  <c r="E33" i="19"/>
  <c r="M33" i="24" s="1"/>
  <c r="E37" i="19"/>
  <c r="M37" i="24" s="1"/>
  <c r="E41" i="19"/>
  <c r="M41" i="24" s="1"/>
  <c r="D35" i="19"/>
  <c r="H35" i="24" s="1"/>
  <c r="D42" i="19"/>
  <c r="F41" i="19"/>
  <c r="R41" i="24" s="1"/>
  <c r="C37" i="19"/>
  <c r="C37" i="24" s="1"/>
  <c r="D34" i="19"/>
  <c r="H34" i="24" s="1"/>
  <c r="C30" i="19"/>
  <c r="C30" i="24" s="1"/>
  <c r="E31" i="19"/>
  <c r="M31" i="24" s="1"/>
  <c r="G21" i="23"/>
  <c r="BM4" i="18"/>
  <c r="E21" i="3" s="1"/>
  <c r="BB9" i="18"/>
  <c r="BB10" i="18"/>
  <c r="BB5" i="18"/>
  <c r="AR11" i="18"/>
  <c r="P3" i="25"/>
  <c r="AR4" i="24" s="1"/>
  <c r="D23" i="23" s="1"/>
  <c r="M3" i="25"/>
  <c r="AO4" i="24" s="1"/>
  <c r="K31" i="23" s="1"/>
  <c r="J3" i="25"/>
  <c r="AL4" i="24" s="1"/>
  <c r="K28" i="23" s="1"/>
  <c r="J5" i="25"/>
  <c r="AL6" i="24" s="1"/>
  <c r="K5" i="25"/>
  <c r="AM6" i="24" s="1"/>
  <c r="O5" i="25"/>
  <c r="AQ6" i="24" s="1"/>
  <c r="O7" i="25"/>
  <c r="AQ8" i="24" s="1"/>
  <c r="L7" i="25"/>
  <c r="AN8" i="24" s="1"/>
  <c r="P9" i="25"/>
  <c r="AR10" i="24" s="1"/>
  <c r="Q9" i="25"/>
  <c r="AS10" i="24" s="1"/>
  <c r="O9" i="25"/>
  <c r="AQ10" i="24" s="1"/>
  <c r="J11" i="25"/>
  <c r="P11" i="25"/>
  <c r="I11" i="25"/>
  <c r="J13" i="25"/>
  <c r="M13" i="25"/>
  <c r="G13" i="25"/>
  <c r="O15" i="25"/>
  <c r="Q15" i="25"/>
  <c r="P17" i="25"/>
  <c r="Q17" i="25"/>
  <c r="O17" i="25"/>
  <c r="J19" i="25"/>
  <c r="K19" i="25"/>
  <c r="M19" i="25"/>
  <c r="J21" i="25"/>
  <c r="K21" i="25"/>
  <c r="G21" i="25"/>
  <c r="O23" i="25"/>
  <c r="L23" i="25"/>
  <c r="P25" i="25"/>
  <c r="Q25" i="25"/>
  <c r="O25" i="25"/>
  <c r="J27" i="25"/>
  <c r="P27" i="25"/>
  <c r="I27" i="25"/>
  <c r="J29" i="25"/>
  <c r="M29" i="25"/>
  <c r="G29" i="25"/>
  <c r="Q31" i="25"/>
  <c r="L31" i="25"/>
  <c r="P33" i="25"/>
  <c r="Q33" i="25"/>
  <c r="N33" i="25"/>
  <c r="J35" i="25"/>
  <c r="P35" i="25"/>
  <c r="G35" i="25"/>
  <c r="J37" i="25"/>
  <c r="K37" i="25"/>
  <c r="G37" i="25"/>
  <c r="O39" i="25"/>
  <c r="L39" i="25"/>
  <c r="P41" i="25"/>
  <c r="O41" i="25"/>
  <c r="I41" i="25"/>
  <c r="L3" i="25"/>
  <c r="AN4" i="24" s="1"/>
  <c r="K30" i="23" s="1"/>
  <c r="K3" i="25"/>
  <c r="AM4" i="24" s="1"/>
  <c r="K29" i="23" s="1"/>
  <c r="N3" i="25"/>
  <c r="AP4" i="24" s="1"/>
  <c r="K32" i="23" s="1"/>
  <c r="H5" i="25"/>
  <c r="AE6" i="24" s="1"/>
  <c r="BD6" i="18" s="1"/>
  <c r="I5" i="25"/>
  <c r="AJ6" i="24" s="1"/>
  <c r="BN6" i="18" s="1"/>
  <c r="N7" i="25"/>
  <c r="AP8" i="24" s="1"/>
  <c r="K7" i="25"/>
  <c r="AM8" i="24" s="1"/>
  <c r="I7" i="25"/>
  <c r="AJ8" i="24" s="1"/>
  <c r="BN8" i="18" s="1"/>
  <c r="L9" i="25"/>
  <c r="AN10" i="24" s="1"/>
  <c r="M9" i="25"/>
  <c r="AO10" i="24" s="1"/>
  <c r="N9" i="25"/>
  <c r="AP10" i="24" s="1"/>
  <c r="H11" i="25"/>
  <c r="L11" i="25"/>
  <c r="M11" i="25"/>
  <c r="H13" i="25"/>
  <c r="K13" i="25"/>
  <c r="N15" i="25"/>
  <c r="K15" i="25"/>
  <c r="M15" i="25"/>
  <c r="L17" i="25"/>
  <c r="M17" i="25"/>
  <c r="N17" i="25"/>
  <c r="H19" i="25"/>
  <c r="P19" i="25"/>
  <c r="G19" i="25"/>
  <c r="H21" i="25"/>
  <c r="I21" i="25"/>
  <c r="N23" i="25"/>
  <c r="K23" i="25"/>
  <c r="I23" i="25"/>
  <c r="L25" i="25"/>
  <c r="M25" i="25"/>
  <c r="N25" i="25"/>
  <c r="H27" i="25"/>
  <c r="L27" i="25"/>
  <c r="M27" i="25"/>
  <c r="H29" i="25"/>
  <c r="K29" i="25"/>
  <c r="N31" i="25"/>
  <c r="O31" i="25"/>
  <c r="M31" i="25"/>
  <c r="L33" i="25"/>
  <c r="M33" i="25"/>
  <c r="O33" i="25"/>
  <c r="H35" i="25"/>
  <c r="L35" i="25"/>
  <c r="M35" i="25"/>
  <c r="H37" i="25"/>
  <c r="I37" i="25"/>
  <c r="N39" i="25"/>
  <c r="K39" i="25"/>
  <c r="I39" i="25"/>
  <c r="L41" i="25"/>
  <c r="Q41" i="25"/>
  <c r="N41" i="25"/>
  <c r="M4" i="25"/>
  <c r="AO5" i="24" s="1"/>
  <c r="N4" i="25"/>
  <c r="AP5" i="24" s="1"/>
  <c r="H4" i="25"/>
  <c r="AE5" i="24" s="1"/>
  <c r="BD5" i="18" s="1"/>
  <c r="L6" i="25"/>
  <c r="AN7" i="24" s="1"/>
  <c r="J6" i="25"/>
  <c r="AL7" i="24" s="1"/>
  <c r="K6" i="25"/>
  <c r="AM7" i="24" s="1"/>
  <c r="N8" i="25"/>
  <c r="AP9" i="24" s="1"/>
  <c r="H8" i="25"/>
  <c r="AE9" i="24" s="1"/>
  <c r="BD9" i="18" s="1"/>
  <c r="O10" i="25"/>
  <c r="AQ11" i="24" s="1"/>
  <c r="Q10" i="25"/>
  <c r="AS11" i="24" s="1"/>
  <c r="H10" i="25"/>
  <c r="AE11" i="24" s="1"/>
  <c r="BD11" i="18" s="1"/>
  <c r="M12" i="25"/>
  <c r="P12" i="25"/>
  <c r="K12" i="25"/>
  <c r="L14" i="25"/>
  <c r="J14" i="25"/>
  <c r="K14" i="25"/>
  <c r="P16" i="25"/>
  <c r="J16" i="25"/>
  <c r="O18" i="25"/>
  <c r="Q18" i="25"/>
  <c r="H18" i="25"/>
  <c r="M20" i="25"/>
  <c r="O20" i="25"/>
  <c r="L20" i="25"/>
  <c r="L22" i="25"/>
  <c r="J22" i="25"/>
  <c r="K22" i="25"/>
  <c r="N24" i="25"/>
  <c r="J24" i="25"/>
  <c r="O26" i="25"/>
  <c r="Q26" i="25"/>
  <c r="H26" i="25"/>
  <c r="M28" i="25"/>
  <c r="G28" i="25"/>
  <c r="K28" i="25"/>
  <c r="L30" i="25"/>
  <c r="J30" i="25"/>
  <c r="N30" i="25"/>
  <c r="N32" i="25"/>
  <c r="H32" i="25"/>
  <c r="O34" i="25"/>
  <c r="Q34" i="25"/>
  <c r="H34" i="25"/>
  <c r="M36" i="25"/>
  <c r="P36" i="25"/>
  <c r="K36" i="25"/>
  <c r="L38" i="25"/>
  <c r="J38" i="25"/>
  <c r="K38" i="25"/>
  <c r="P40" i="25"/>
  <c r="J40" i="25"/>
  <c r="H3" i="25"/>
  <c r="AE4" i="24" s="1"/>
  <c r="AF4" i="24" s="1"/>
  <c r="I3" i="25"/>
  <c r="AJ4" i="24" s="1"/>
  <c r="P5" i="25"/>
  <c r="AR6" i="24" s="1"/>
  <c r="Q5" i="25"/>
  <c r="AS6" i="24" s="1"/>
  <c r="G5" i="25"/>
  <c r="Z6" i="24" s="1"/>
  <c r="AT6" i="18" s="1"/>
  <c r="J7" i="25"/>
  <c r="AL8" i="24" s="1"/>
  <c r="Q7" i="25"/>
  <c r="AS8" i="24" s="1"/>
  <c r="M7" i="25"/>
  <c r="AO8" i="24" s="1"/>
  <c r="J9" i="25"/>
  <c r="AL10" i="24" s="1"/>
  <c r="K9" i="25"/>
  <c r="AM10" i="24" s="1"/>
  <c r="G9" i="25"/>
  <c r="Z10" i="24" s="1"/>
  <c r="AT10" i="18" s="1"/>
  <c r="O11" i="25"/>
  <c r="Q11" i="25"/>
  <c r="P13" i="25"/>
  <c r="O13" i="25"/>
  <c r="I13" i="25"/>
  <c r="J15" i="25"/>
  <c r="P15" i="25"/>
  <c r="I15" i="25"/>
  <c r="J17" i="25"/>
  <c r="K17" i="25"/>
  <c r="G17" i="25"/>
  <c r="Q19" i="25"/>
  <c r="L19" i="25"/>
  <c r="P21" i="25"/>
  <c r="Q21" i="25"/>
  <c r="N21" i="25"/>
  <c r="J23" i="25"/>
  <c r="Q23" i="25"/>
  <c r="G23" i="25"/>
  <c r="J25" i="25"/>
  <c r="K25" i="25"/>
  <c r="G25" i="25"/>
  <c r="O27" i="25"/>
  <c r="Q27" i="25"/>
  <c r="P29" i="25"/>
  <c r="O29" i="25"/>
  <c r="I29" i="25"/>
  <c r="J31" i="25"/>
  <c r="K31" i="25"/>
  <c r="I31" i="25"/>
  <c r="J33" i="25"/>
  <c r="K33" i="25"/>
  <c r="G33" i="25"/>
  <c r="O35" i="25"/>
  <c r="Q35" i="25"/>
  <c r="P37" i="25"/>
  <c r="Q37" i="25"/>
  <c r="O37" i="25"/>
  <c r="J39" i="25"/>
  <c r="Q39" i="25"/>
  <c r="M39" i="25"/>
  <c r="J41" i="25"/>
  <c r="M41" i="25"/>
  <c r="G41" i="25"/>
  <c r="I4" i="25"/>
  <c r="AJ5" i="24" s="1"/>
  <c r="BN5" i="18" s="1"/>
  <c r="O4" i="25"/>
  <c r="AQ5" i="24" s="1"/>
  <c r="L4" i="25"/>
  <c r="AN5" i="24" s="1"/>
  <c r="G6" i="25"/>
  <c r="Z7" i="24" s="1"/>
  <c r="AT7" i="18" s="1"/>
  <c r="I6" i="25"/>
  <c r="AJ7" i="24" s="1"/>
  <c r="BN7" i="18" s="1"/>
  <c r="Q8" i="25"/>
  <c r="AS9" i="24" s="1"/>
  <c r="G8" i="25"/>
  <c r="Z9" i="24" s="1"/>
  <c r="AT9" i="18" s="1"/>
  <c r="P8" i="25"/>
  <c r="AR9" i="24" s="1"/>
  <c r="P10" i="25"/>
  <c r="AR11" i="24" s="1"/>
  <c r="M10" i="25"/>
  <c r="AO11" i="24" s="1"/>
  <c r="K10" i="25"/>
  <c r="AM11" i="24" s="1"/>
  <c r="I12" i="25"/>
  <c r="O12" i="25"/>
  <c r="L12" i="25"/>
  <c r="G14" i="25"/>
  <c r="I14" i="25"/>
  <c r="Q16" i="25"/>
  <c r="N16" i="25"/>
  <c r="H16" i="25"/>
  <c r="P18" i="25"/>
  <c r="M18" i="25"/>
  <c r="K18" i="25"/>
  <c r="I20" i="25"/>
  <c r="J20" i="25"/>
  <c r="K20" i="25"/>
  <c r="G22" i="25"/>
  <c r="I22" i="25"/>
  <c r="Q24" i="25"/>
  <c r="G24" i="25"/>
  <c r="H24" i="25"/>
  <c r="P26" i="25"/>
  <c r="M26" i="25"/>
  <c r="K26" i="25"/>
  <c r="I28" i="25"/>
  <c r="O28" i="25"/>
  <c r="L28" i="25"/>
  <c r="G30" i="25"/>
  <c r="I30" i="25"/>
  <c r="Q32" i="25"/>
  <c r="G32" i="25"/>
  <c r="P32" i="25"/>
  <c r="P34" i="25"/>
  <c r="M34" i="25"/>
  <c r="K34" i="25"/>
  <c r="I36" i="25"/>
  <c r="O36" i="25"/>
  <c r="L36" i="25"/>
  <c r="G38" i="25"/>
  <c r="I38" i="25"/>
  <c r="Q40" i="25"/>
  <c r="N40" i="25"/>
  <c r="H40" i="25"/>
  <c r="Q3" i="25"/>
  <c r="AS4" i="24" s="1"/>
  <c r="B38" i="23" s="1"/>
  <c r="N5" i="25"/>
  <c r="AP6" i="24" s="1"/>
  <c r="H9" i="25"/>
  <c r="AE10" i="24" s="1"/>
  <c r="BD10" i="18" s="1"/>
  <c r="G11" i="25"/>
  <c r="H15" i="25"/>
  <c r="I17" i="25"/>
  <c r="L21" i="25"/>
  <c r="P23" i="25"/>
  <c r="N27" i="25"/>
  <c r="Q29" i="25"/>
  <c r="G31" i="25"/>
  <c r="K35" i="25"/>
  <c r="N37" i="25"/>
  <c r="H41" i="25"/>
  <c r="Q4" i="25"/>
  <c r="AS5" i="24" s="1"/>
  <c r="K4" i="25"/>
  <c r="AM5" i="24" s="1"/>
  <c r="M6" i="25"/>
  <c r="AO7" i="24" s="1"/>
  <c r="I8" i="25"/>
  <c r="AJ9" i="24" s="1"/>
  <c r="BN9" i="18" s="1"/>
  <c r="K8" i="25"/>
  <c r="AM9" i="24" s="1"/>
  <c r="I10" i="25"/>
  <c r="AJ11" i="24" s="1"/>
  <c r="BN11" i="18" s="1"/>
  <c r="G12" i="25"/>
  <c r="P14" i="25"/>
  <c r="N14" i="25"/>
  <c r="O16" i="25"/>
  <c r="G18" i="25"/>
  <c r="Q20" i="25"/>
  <c r="P20" i="25"/>
  <c r="M22" i="25"/>
  <c r="I24" i="25"/>
  <c r="K24" i="25"/>
  <c r="I26" i="25"/>
  <c r="N28" i="25"/>
  <c r="P30" i="25"/>
  <c r="K30" i="25"/>
  <c r="J32" i="25"/>
  <c r="G34" i="25"/>
  <c r="Q36" i="25"/>
  <c r="H36" i="25"/>
  <c r="M38" i="25"/>
  <c r="I40" i="25"/>
  <c r="K40" i="25"/>
  <c r="G4" i="25"/>
  <c r="Z5" i="24" s="1"/>
  <c r="AT5" i="18" s="1"/>
  <c r="H6" i="25"/>
  <c r="AE7" i="24" s="1"/>
  <c r="BD7" i="18" s="1"/>
  <c r="L10" i="25"/>
  <c r="AN11" i="24" s="1"/>
  <c r="J12" i="25"/>
  <c r="M16" i="25"/>
  <c r="J18" i="25"/>
  <c r="O22" i="25"/>
  <c r="P24" i="25"/>
  <c r="N26" i="25"/>
  <c r="J28" i="25"/>
  <c r="M32" i="25"/>
  <c r="J34" i="25"/>
  <c r="O38" i="25"/>
  <c r="G40" i="25"/>
  <c r="O3" i="25"/>
  <c r="AQ4" i="24" s="1"/>
  <c r="C23" i="23" s="1"/>
  <c r="M5" i="25"/>
  <c r="AO6" i="24" s="1"/>
  <c r="K11" i="25"/>
  <c r="N13" i="25"/>
  <c r="H17" i="25"/>
  <c r="I19" i="25"/>
  <c r="I25" i="25"/>
  <c r="L29" i="25"/>
  <c r="N35" i="25"/>
  <c r="G39" i="25"/>
  <c r="Q6" i="25"/>
  <c r="AS7" i="24" s="1"/>
  <c r="J10" i="25"/>
  <c r="AL11" i="24" s="1"/>
  <c r="N12" i="25"/>
  <c r="H14" i="25"/>
  <c r="L18" i="25"/>
  <c r="H20" i="25"/>
  <c r="M24" i="25"/>
  <c r="J26" i="25"/>
  <c r="O30" i="25"/>
  <c r="O32" i="25"/>
  <c r="N34" i="25"/>
  <c r="J36" i="25"/>
  <c r="M40" i="25"/>
  <c r="G3" i="25"/>
  <c r="Z4" i="24" s="1"/>
  <c r="AA4" i="24" s="1"/>
  <c r="H7" i="25"/>
  <c r="AE8" i="24" s="1"/>
  <c r="BD8" i="18" s="1"/>
  <c r="I9" i="25"/>
  <c r="AJ10" i="24" s="1"/>
  <c r="BN10" i="18" s="1"/>
  <c r="L13" i="25"/>
  <c r="L15" i="25"/>
  <c r="N19" i="25"/>
  <c r="M21" i="25"/>
  <c r="M23" i="25"/>
  <c r="K27" i="25"/>
  <c r="N29" i="25"/>
  <c r="H33" i="25"/>
  <c r="I35" i="25"/>
  <c r="H39" i="25"/>
  <c r="K41" i="25"/>
  <c r="O6" i="25"/>
  <c r="AQ7" i="24" s="1"/>
  <c r="O8" i="25"/>
  <c r="AQ9" i="24" s="1"/>
  <c r="N10" i="25"/>
  <c r="AP11" i="24" s="1"/>
  <c r="Q14" i="25"/>
  <c r="L16" i="25"/>
  <c r="N20" i="25"/>
  <c r="H22" i="25"/>
  <c r="L26" i="25"/>
  <c r="Q30" i="25"/>
  <c r="K32" i="25"/>
  <c r="N36" i="25"/>
  <c r="H38" i="25"/>
  <c r="L5" i="25"/>
  <c r="AN6" i="24" s="1"/>
  <c r="P7" i="25"/>
  <c r="AR8" i="24" s="1"/>
  <c r="N11" i="25"/>
  <c r="Q13" i="25"/>
  <c r="G15" i="25"/>
  <c r="O19" i="25"/>
  <c r="O21" i="25"/>
  <c r="H25" i="25"/>
  <c r="G27" i="25"/>
  <c r="H31" i="25"/>
  <c r="I33" i="25"/>
  <c r="L37" i="25"/>
  <c r="P39" i="25"/>
  <c r="P4" i="25"/>
  <c r="AR5" i="24" s="1"/>
  <c r="P6" i="25"/>
  <c r="AR7" i="24" s="1"/>
  <c r="N6" i="25"/>
  <c r="AP7" i="24" s="1"/>
  <c r="J8" i="25"/>
  <c r="AL9" i="24" s="1"/>
  <c r="G10" i="25"/>
  <c r="Z11" i="24" s="1"/>
  <c r="AT11" i="18" s="1"/>
  <c r="Q12" i="25"/>
  <c r="H12" i="25"/>
  <c r="M14" i="25"/>
  <c r="I16" i="25"/>
  <c r="K16" i="25"/>
  <c r="I18" i="25"/>
  <c r="G20" i="25"/>
  <c r="P22" i="25"/>
  <c r="N22" i="25"/>
  <c r="O24" i="25"/>
  <c r="G26" i="25"/>
  <c r="Q28" i="25"/>
  <c r="H28" i="25"/>
  <c r="M30" i="25"/>
  <c r="I32" i="25"/>
  <c r="L32" i="25"/>
  <c r="I34" i="25"/>
  <c r="G36" i="25"/>
  <c r="P38" i="25"/>
  <c r="N38" i="25"/>
  <c r="O40" i="25"/>
  <c r="G7" i="25"/>
  <c r="Z8" i="24" s="1"/>
  <c r="AT8" i="18" s="1"/>
  <c r="H23" i="25"/>
  <c r="P31" i="25"/>
  <c r="M37" i="25"/>
  <c r="J4" i="25"/>
  <c r="AL5" i="24" s="1"/>
  <c r="M8" i="25"/>
  <c r="AO9" i="24" s="1"/>
  <c r="L8" i="25"/>
  <c r="AN9" i="24" s="1"/>
  <c r="O14" i="25"/>
  <c r="G16" i="25"/>
  <c r="N18" i="25"/>
  <c r="Q22" i="25"/>
  <c r="L24" i="25"/>
  <c r="P28" i="25"/>
  <c r="H30" i="25"/>
  <c r="L34" i="25"/>
  <c r="Q38" i="25"/>
  <c r="L40" i="25"/>
  <c r="AS41" i="18"/>
  <c r="AS42" i="18"/>
  <c r="AS40" i="18"/>
  <c r="AS39" i="18"/>
  <c r="AS38" i="18"/>
  <c r="AS30" i="18"/>
  <c r="AS24" i="18"/>
  <c r="AS32" i="18"/>
  <c r="AS22" i="18"/>
  <c r="AS16" i="18"/>
  <c r="AS26" i="18"/>
  <c r="AS18" i="18"/>
  <c r="AS12" i="18"/>
  <c r="AS37" i="18"/>
  <c r="AS33" i="18"/>
  <c r="AS19" i="18"/>
  <c r="AS14" i="18"/>
  <c r="AS35" i="18"/>
  <c r="AS31" i="18"/>
  <c r="AS23" i="18"/>
  <c r="AS15" i="18"/>
  <c r="AS13" i="18"/>
  <c r="AS29" i="18"/>
  <c r="AS27" i="18"/>
  <c r="AS34" i="18"/>
  <c r="AS36" i="18"/>
  <c r="AS28" i="18"/>
  <c r="AS20" i="18"/>
  <c r="AS25" i="18"/>
  <c r="AS17" i="18"/>
  <c r="AS21" i="18"/>
  <c r="BM42" i="18"/>
  <c r="BM41" i="18"/>
  <c r="BM40" i="18"/>
  <c r="BM36" i="18"/>
  <c r="BM28" i="18"/>
  <c r="BM20" i="18"/>
  <c r="BM31" i="18"/>
  <c r="BM29" i="18"/>
  <c r="BM25" i="18"/>
  <c r="BM21" i="18"/>
  <c r="BM17" i="18"/>
  <c r="BM15" i="18"/>
  <c r="BM13" i="18"/>
  <c r="BM14" i="18"/>
  <c r="BM12" i="18"/>
  <c r="BM26" i="18"/>
  <c r="BM39" i="18"/>
  <c r="BM38" i="18"/>
  <c r="BM34" i="18"/>
  <c r="BM30" i="18"/>
  <c r="BM18" i="18"/>
  <c r="BM22" i="18"/>
  <c r="BM37" i="18"/>
  <c r="BM33" i="18"/>
  <c r="BM27" i="18"/>
  <c r="BM23" i="18"/>
  <c r="BM19" i="18"/>
  <c r="BM24" i="18"/>
  <c r="BM32" i="18"/>
  <c r="BM16" i="18"/>
  <c r="BM35" i="18"/>
  <c r="E19" i="23"/>
  <c r="AR4" i="18"/>
  <c r="AR5" i="18"/>
  <c r="AR7" i="18"/>
  <c r="AR10" i="18"/>
  <c r="BB40" i="18"/>
  <c r="BB42" i="18"/>
  <c r="BB41" i="18"/>
  <c r="BB26" i="18"/>
  <c r="BB18" i="18"/>
  <c r="BB37" i="18"/>
  <c r="BB33" i="18"/>
  <c r="BB31" i="18"/>
  <c r="BB23" i="18"/>
  <c r="BB15" i="18"/>
  <c r="BB38" i="18"/>
  <c r="BB34" i="18"/>
  <c r="BB30" i="18"/>
  <c r="BB24" i="18"/>
  <c r="BB36" i="18"/>
  <c r="BB32" i="18"/>
  <c r="BB28" i="18"/>
  <c r="BB20" i="18"/>
  <c r="BB16" i="18"/>
  <c r="BB29" i="18"/>
  <c r="BB25" i="18"/>
  <c r="BB21" i="18"/>
  <c r="BB17" i="18"/>
  <c r="BB39" i="18"/>
  <c r="BB22" i="18"/>
  <c r="BB12" i="18"/>
  <c r="BB27" i="18"/>
  <c r="BB19" i="18"/>
  <c r="BB13" i="18"/>
  <c r="BB14" i="18"/>
  <c r="BB35" i="18"/>
  <c r="BC40" i="18"/>
  <c r="BC42" i="18"/>
  <c r="BC41" i="18"/>
  <c r="BC26" i="18"/>
  <c r="BC38" i="18"/>
  <c r="BC34" i="18"/>
  <c r="BC30" i="18"/>
  <c r="BC18" i="18"/>
  <c r="BC22" i="18"/>
  <c r="BC37" i="18"/>
  <c r="BC33" i="18"/>
  <c r="BC27" i="18"/>
  <c r="BC39" i="18"/>
  <c r="BC24" i="18"/>
  <c r="BC32" i="18"/>
  <c r="BC16" i="18"/>
  <c r="BC14" i="18"/>
  <c r="BC12" i="18"/>
  <c r="BC35" i="18"/>
  <c r="BC29" i="18"/>
  <c r="BC25" i="18"/>
  <c r="BC21" i="18"/>
  <c r="BC17" i="18"/>
  <c r="BC13" i="18"/>
  <c r="BC31" i="18"/>
  <c r="BC36" i="18"/>
  <c r="BC28" i="18"/>
  <c r="BC20" i="18"/>
  <c r="BC23" i="18"/>
  <c r="BC15" i="18"/>
  <c r="BC19" i="18"/>
  <c r="BB7" i="18"/>
  <c r="BB8" i="18"/>
  <c r="E20" i="23"/>
  <c r="BB4" i="18"/>
  <c r="BB11" i="18"/>
  <c r="BB6" i="18"/>
  <c r="G19" i="23"/>
  <c r="AS4" i="18"/>
  <c r="E19" i="3" s="1"/>
  <c r="G20" i="23"/>
  <c r="BC4" i="18"/>
  <c r="E20" i="3" s="1"/>
  <c r="BL42" i="18"/>
  <c r="BL41" i="18"/>
  <c r="BL40" i="18"/>
  <c r="BL35" i="18"/>
  <c r="BL31" i="18"/>
  <c r="BL27" i="18"/>
  <c r="BL23" i="18"/>
  <c r="BL19" i="18"/>
  <c r="BL15" i="18"/>
  <c r="BL13" i="18"/>
  <c r="BL34" i="18"/>
  <c r="BL26" i="18"/>
  <c r="BL39" i="18"/>
  <c r="BL38" i="18"/>
  <c r="BL30" i="18"/>
  <c r="BL18" i="18"/>
  <c r="BL22" i="18"/>
  <c r="BL12" i="18"/>
  <c r="BL37" i="18"/>
  <c r="BL33" i="18"/>
  <c r="BL29" i="18"/>
  <c r="BL24" i="18"/>
  <c r="BL36" i="18"/>
  <c r="BL32" i="18"/>
  <c r="BL28" i="18"/>
  <c r="BL20" i="18"/>
  <c r="BL16" i="18"/>
  <c r="BL14" i="18"/>
  <c r="BL25" i="18"/>
  <c r="BL17" i="18"/>
  <c r="BL21" i="18"/>
  <c r="AR8" i="18"/>
  <c r="AR40" i="18"/>
  <c r="AR41" i="18"/>
  <c r="AR42" i="18"/>
  <c r="AR26" i="18"/>
  <c r="AR39" i="18"/>
  <c r="AR34" i="18"/>
  <c r="AR18" i="18"/>
  <c r="AR37" i="18"/>
  <c r="AR29" i="18"/>
  <c r="AR27" i="18"/>
  <c r="AR21" i="18"/>
  <c r="AR19" i="18"/>
  <c r="AR36" i="18"/>
  <c r="AR28" i="18"/>
  <c r="AR22" i="18"/>
  <c r="AR20" i="18"/>
  <c r="AR14" i="18"/>
  <c r="AR35" i="18"/>
  <c r="AR33" i="18"/>
  <c r="AR25" i="18"/>
  <c r="AR24" i="18"/>
  <c r="AR32" i="18"/>
  <c r="AR16" i="18"/>
  <c r="AR31" i="18"/>
  <c r="AR23" i="18"/>
  <c r="AR17" i="18"/>
  <c r="AR15" i="18"/>
  <c r="AR13" i="18"/>
  <c r="AR38" i="18"/>
  <c r="AR30" i="18"/>
  <c r="AR12" i="18"/>
  <c r="AR9" i="18"/>
  <c r="E21" i="23"/>
  <c r="BL4" i="18"/>
  <c r="D21" i="3" s="1"/>
  <c r="AR6" i="18"/>
  <c r="J17" i="3"/>
  <c r="L17" i="3" s="1"/>
  <c r="J18" i="3"/>
  <c r="L18" i="3" s="1"/>
  <c r="L15" i="3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AA7" i="24" l="1"/>
  <c r="AU5" i="18"/>
  <c r="BE6" i="18"/>
  <c r="AU6" i="18"/>
  <c r="AA6" i="24"/>
  <c r="AA5" i="24"/>
  <c r="AA9" i="24"/>
  <c r="AU9" i="18"/>
  <c r="BE7" i="18"/>
  <c r="L43" i="19"/>
  <c r="M43" i="19" s="1"/>
  <c r="AF7" i="24"/>
  <c r="L44" i="19"/>
  <c r="M44" i="19" s="1"/>
  <c r="AF6" i="24"/>
  <c r="AF8" i="24"/>
  <c r="AA8" i="24"/>
  <c r="BE11" i="18"/>
  <c r="AA10" i="24"/>
  <c r="AU8" i="18"/>
  <c r="AF11" i="24"/>
  <c r="BE8" i="18"/>
  <c r="AU7" i="18"/>
  <c r="AU10" i="18"/>
  <c r="AQ39" i="24"/>
  <c r="AQ17" i="24"/>
  <c r="AQ34" i="24"/>
  <c r="AQ30" i="24"/>
  <c r="AQ16" i="24"/>
  <c r="AQ31" i="24"/>
  <c r="AQ25" i="24"/>
  <c r="AQ33" i="24"/>
  <c r="AQ35" i="24"/>
  <c r="AQ29" i="24"/>
  <c r="AQ23" i="24"/>
  <c r="AQ40" i="24"/>
  <c r="AQ36" i="24"/>
  <c r="AQ37" i="24"/>
  <c r="AQ19" i="24"/>
  <c r="AQ27" i="24"/>
  <c r="AQ38" i="24"/>
  <c r="AQ28" i="24"/>
  <c r="AQ24" i="24"/>
  <c r="AQ22" i="24"/>
  <c r="AQ20" i="24"/>
  <c r="AQ14" i="24"/>
  <c r="AQ12" i="24"/>
  <c r="AQ13" i="24"/>
  <c r="AQ26" i="24"/>
  <c r="AQ15" i="24"/>
  <c r="AQ41" i="24"/>
  <c r="AQ32" i="24"/>
  <c r="AQ18" i="24"/>
  <c r="AQ21" i="24"/>
  <c r="AJ41" i="24"/>
  <c r="AJ29" i="24"/>
  <c r="AJ32" i="24"/>
  <c r="AJ26" i="24"/>
  <c r="AJ20" i="24"/>
  <c r="AJ18" i="24"/>
  <c r="AJ12" i="24"/>
  <c r="AJ19" i="24"/>
  <c r="AK19" i="24" s="1"/>
  <c r="AJ13" i="24"/>
  <c r="AJ27" i="24"/>
  <c r="AJ21" i="24"/>
  <c r="AK21" i="24" s="1"/>
  <c r="AJ23" i="24"/>
  <c r="AJ36" i="24"/>
  <c r="AJ34" i="24"/>
  <c r="AJ30" i="24"/>
  <c r="AJ17" i="24"/>
  <c r="AJ40" i="24"/>
  <c r="AJ28" i="24"/>
  <c r="AJ24" i="24"/>
  <c r="AJ16" i="24"/>
  <c r="AJ31" i="24"/>
  <c r="AJ25" i="24"/>
  <c r="AJ39" i="24"/>
  <c r="AJ33" i="24"/>
  <c r="AJ37" i="24"/>
  <c r="AJ22" i="24"/>
  <c r="AJ15" i="24"/>
  <c r="AJ35" i="24"/>
  <c r="AJ14" i="24"/>
  <c r="AJ38" i="24"/>
  <c r="AA11" i="24"/>
  <c r="D19" i="3"/>
  <c r="Z17" i="24"/>
  <c r="AA17" i="24" s="1"/>
  <c r="Z28" i="24"/>
  <c r="AA28" i="24" s="1"/>
  <c r="Z24" i="24"/>
  <c r="AA24" i="24" s="1"/>
  <c r="Z20" i="24"/>
  <c r="AA20" i="24" s="1"/>
  <c r="Z31" i="24"/>
  <c r="AA31" i="24" s="1"/>
  <c r="Z25" i="24"/>
  <c r="AA25" i="24" s="1"/>
  <c r="Z39" i="24"/>
  <c r="AA39" i="24" s="1"/>
  <c r="Z33" i="24"/>
  <c r="AA33" i="24" s="1"/>
  <c r="Z15" i="24"/>
  <c r="AA15" i="24" s="1"/>
  <c r="Z35" i="24"/>
  <c r="AA35" i="24" s="1"/>
  <c r="Z40" i="24"/>
  <c r="AA40" i="24" s="1"/>
  <c r="Z38" i="24"/>
  <c r="AA38" i="24" s="1"/>
  <c r="Z32" i="24"/>
  <c r="AA32" i="24" s="1"/>
  <c r="Z22" i="24"/>
  <c r="AA22" i="24" s="1"/>
  <c r="Z14" i="24"/>
  <c r="AA14" i="24" s="1"/>
  <c r="Z37" i="24"/>
  <c r="AA37" i="24" s="1"/>
  <c r="Z41" i="24"/>
  <c r="AA41" i="24" s="1"/>
  <c r="Z29" i="24"/>
  <c r="AA29" i="24" s="1"/>
  <c r="Z26" i="24"/>
  <c r="AA26" i="24" s="1"/>
  <c r="Z18" i="24"/>
  <c r="AA18" i="24" s="1"/>
  <c r="Z16" i="24"/>
  <c r="AA16" i="24" s="1"/>
  <c r="Z19" i="24"/>
  <c r="AA19" i="24" s="1"/>
  <c r="Z13" i="24"/>
  <c r="AA13" i="24" s="1"/>
  <c r="Z36" i="24"/>
  <c r="AA36" i="24" s="1"/>
  <c r="Z34" i="24"/>
  <c r="AA34" i="24" s="1"/>
  <c r="Z30" i="24"/>
  <c r="AA30" i="24" s="1"/>
  <c r="Z21" i="24"/>
  <c r="AA21" i="24" s="1"/>
  <c r="Z27" i="24"/>
  <c r="AA27" i="24" s="1"/>
  <c r="Z23" i="24"/>
  <c r="AA23" i="24" s="1"/>
  <c r="Z12" i="24"/>
  <c r="AO29" i="24"/>
  <c r="AO36" i="24"/>
  <c r="AO30" i="24"/>
  <c r="AO15" i="24"/>
  <c r="AO41" i="24"/>
  <c r="AO40" i="24"/>
  <c r="AO34" i="24"/>
  <c r="AO24" i="24"/>
  <c r="AO22" i="24"/>
  <c r="AO16" i="24"/>
  <c r="AO31" i="24"/>
  <c r="AO25" i="24"/>
  <c r="AO39" i="24"/>
  <c r="AO21" i="24"/>
  <c r="AO35" i="24"/>
  <c r="AO37" i="24"/>
  <c r="AO19" i="24"/>
  <c r="AO23" i="24"/>
  <c r="AO32" i="24"/>
  <c r="AO20" i="24"/>
  <c r="AO28" i="24"/>
  <c r="AO18" i="24"/>
  <c r="AO27" i="24"/>
  <c r="AO17" i="24"/>
  <c r="AO26" i="24"/>
  <c r="AO14" i="24"/>
  <c r="AO12" i="24"/>
  <c r="AO33" i="24"/>
  <c r="AO38" i="24"/>
  <c r="AO13" i="24"/>
  <c r="AR21" i="24"/>
  <c r="AR15" i="24"/>
  <c r="AR38" i="24"/>
  <c r="AR28" i="24"/>
  <c r="AR24" i="24"/>
  <c r="AR20" i="24"/>
  <c r="AR14" i="24"/>
  <c r="AR31" i="24"/>
  <c r="AR39" i="24"/>
  <c r="AR35" i="24"/>
  <c r="AR17" i="24"/>
  <c r="AR36" i="24"/>
  <c r="AR34" i="24"/>
  <c r="AR26" i="24"/>
  <c r="AR18" i="24"/>
  <c r="AR16" i="24"/>
  <c r="AR12" i="24"/>
  <c r="AR25" i="24"/>
  <c r="AR33" i="24"/>
  <c r="AR30" i="24"/>
  <c r="AR37" i="24"/>
  <c r="AR19" i="24"/>
  <c r="AR27" i="24"/>
  <c r="AR41" i="24"/>
  <c r="AR40" i="24"/>
  <c r="AR29" i="24"/>
  <c r="AR23" i="24"/>
  <c r="AR32" i="24"/>
  <c r="AR13" i="24"/>
  <c r="AR22" i="24"/>
  <c r="AP27" i="24"/>
  <c r="AP23" i="24"/>
  <c r="AP38" i="24"/>
  <c r="AP30" i="24"/>
  <c r="AP22" i="24"/>
  <c r="AP14" i="24"/>
  <c r="AP37" i="24"/>
  <c r="AP13" i="24"/>
  <c r="AP21" i="24"/>
  <c r="AP41" i="24"/>
  <c r="AP17" i="24"/>
  <c r="AP36" i="24"/>
  <c r="AP28" i="24"/>
  <c r="AP20" i="24"/>
  <c r="AP12" i="24"/>
  <c r="AP31" i="24"/>
  <c r="AP39" i="24"/>
  <c r="AP15" i="24"/>
  <c r="AP35" i="24"/>
  <c r="AP34" i="24"/>
  <c r="AP26" i="24"/>
  <c r="AP18" i="24"/>
  <c r="AP25" i="24"/>
  <c r="AP16" i="24"/>
  <c r="AP24" i="24"/>
  <c r="AP33" i="24"/>
  <c r="AP40" i="24"/>
  <c r="AP29" i="24"/>
  <c r="AP32" i="24"/>
  <c r="AP19" i="24"/>
  <c r="I19" i="23"/>
  <c r="L19" i="23" s="1"/>
  <c r="AT4" i="18"/>
  <c r="F19" i="3" s="1"/>
  <c r="I21" i="23"/>
  <c r="L21" i="23" s="1"/>
  <c r="BN4" i="18"/>
  <c r="F21" i="3" s="1"/>
  <c r="AN39" i="24"/>
  <c r="AN35" i="24"/>
  <c r="AN17" i="24"/>
  <c r="AN36" i="24"/>
  <c r="AN34" i="24"/>
  <c r="AN26" i="24"/>
  <c r="AN18" i="24"/>
  <c r="AN16" i="24"/>
  <c r="AN12" i="24"/>
  <c r="AN25" i="24"/>
  <c r="AN33" i="24"/>
  <c r="AN30" i="24"/>
  <c r="AN37" i="24"/>
  <c r="AN19" i="24"/>
  <c r="AN27" i="24"/>
  <c r="AN41" i="24"/>
  <c r="AN29" i="24"/>
  <c r="AN23" i="24"/>
  <c r="AN40" i="24"/>
  <c r="AN32" i="24"/>
  <c r="AN22" i="24"/>
  <c r="AN13" i="24"/>
  <c r="AN21" i="24"/>
  <c r="AN15" i="24"/>
  <c r="AN38" i="24"/>
  <c r="AN31" i="24"/>
  <c r="AN14" i="24"/>
  <c r="AN28" i="24"/>
  <c r="AN24" i="24"/>
  <c r="AN20" i="24"/>
  <c r="AL21" i="24"/>
  <c r="AL41" i="24"/>
  <c r="AL17" i="24"/>
  <c r="AL36" i="24"/>
  <c r="AL28" i="24"/>
  <c r="AL20" i="24"/>
  <c r="AL12" i="24"/>
  <c r="AL31" i="24"/>
  <c r="AL39" i="24"/>
  <c r="AL15" i="24"/>
  <c r="AL35" i="24"/>
  <c r="AL34" i="24"/>
  <c r="AL26" i="24"/>
  <c r="AL18" i="24"/>
  <c r="AL25" i="24"/>
  <c r="AL33" i="24"/>
  <c r="AL29" i="24"/>
  <c r="AL40" i="24"/>
  <c r="AL32" i="24"/>
  <c r="AL24" i="24"/>
  <c r="AL16" i="24"/>
  <c r="AL19" i="24"/>
  <c r="AL14" i="24"/>
  <c r="AL27" i="24"/>
  <c r="AL38" i="24"/>
  <c r="AL37" i="24"/>
  <c r="AL23" i="24"/>
  <c r="AL30" i="24"/>
  <c r="AL13" i="24"/>
  <c r="AL22" i="24"/>
  <c r="BE5" i="18"/>
  <c r="BE10" i="18"/>
  <c r="BE9" i="18"/>
  <c r="D20" i="3"/>
  <c r="AM33" i="24"/>
  <c r="AM35" i="24"/>
  <c r="AM29" i="24"/>
  <c r="AM23" i="24"/>
  <c r="AM40" i="24"/>
  <c r="AM36" i="24"/>
  <c r="AM37" i="24"/>
  <c r="AM19" i="24"/>
  <c r="AM27" i="24"/>
  <c r="AM38" i="24"/>
  <c r="AM28" i="24"/>
  <c r="AM24" i="24"/>
  <c r="AM22" i="24"/>
  <c r="AM20" i="24"/>
  <c r="AM14" i="24"/>
  <c r="AM12" i="24"/>
  <c r="AM13" i="24"/>
  <c r="AM39" i="24"/>
  <c r="AM21" i="24"/>
  <c r="AM15" i="24"/>
  <c r="AM41" i="24"/>
  <c r="AM32" i="24"/>
  <c r="AM26" i="24"/>
  <c r="AM18" i="24"/>
  <c r="AM17" i="24"/>
  <c r="AM25" i="24"/>
  <c r="AM16" i="24"/>
  <c r="AM34" i="24"/>
  <c r="AM30" i="24"/>
  <c r="AM31" i="24"/>
  <c r="AS33" i="24"/>
  <c r="AS27" i="24"/>
  <c r="AS15" i="24"/>
  <c r="AS30" i="24"/>
  <c r="AS16" i="24"/>
  <c r="AS37" i="24"/>
  <c r="AS31" i="24"/>
  <c r="AS21" i="24"/>
  <c r="AS17" i="24"/>
  <c r="AS18" i="24"/>
  <c r="AS13" i="24"/>
  <c r="AS39" i="24"/>
  <c r="AS40" i="24"/>
  <c r="AS38" i="24"/>
  <c r="AS32" i="24"/>
  <c r="AS24" i="24"/>
  <c r="AS14" i="24"/>
  <c r="AS12" i="24"/>
  <c r="AS25" i="24"/>
  <c r="AS35" i="24"/>
  <c r="AS22" i="24"/>
  <c r="AS19" i="24"/>
  <c r="AS29" i="24"/>
  <c r="AS41" i="24"/>
  <c r="AS34" i="24"/>
  <c r="AS23" i="24"/>
  <c r="AS36" i="24"/>
  <c r="AS28" i="24"/>
  <c r="AS26" i="24"/>
  <c r="AS20" i="24"/>
  <c r="I20" i="23"/>
  <c r="L20" i="23" s="1"/>
  <c r="BD4" i="18"/>
  <c r="F20" i="3" s="1"/>
  <c r="AE28" i="24"/>
  <c r="AF28" i="24" s="1"/>
  <c r="AE24" i="24"/>
  <c r="AF24" i="24" s="1"/>
  <c r="AE22" i="24"/>
  <c r="AF22" i="24" s="1"/>
  <c r="AE20" i="24"/>
  <c r="AF20" i="24" s="1"/>
  <c r="AE12" i="24"/>
  <c r="AE25" i="24"/>
  <c r="AF25" i="24" s="1"/>
  <c r="AE19" i="24"/>
  <c r="AF19" i="24" s="1"/>
  <c r="AE33" i="24"/>
  <c r="AF33" i="24" s="1"/>
  <c r="AE27" i="24"/>
  <c r="AF27" i="24" s="1"/>
  <c r="AE29" i="24"/>
  <c r="AF29" i="24" s="1"/>
  <c r="AE23" i="24"/>
  <c r="AF23" i="24" s="1"/>
  <c r="AE32" i="24"/>
  <c r="AF32" i="24" s="1"/>
  <c r="AE26" i="24"/>
  <c r="AF26" i="24" s="1"/>
  <c r="AE18" i="24"/>
  <c r="AF18" i="24" s="1"/>
  <c r="AE15" i="24"/>
  <c r="AF15" i="24" s="1"/>
  <c r="AE38" i="24"/>
  <c r="AF38" i="24" s="1"/>
  <c r="AE34" i="24"/>
  <c r="AF34" i="24" s="1"/>
  <c r="AE30" i="24"/>
  <c r="AF30" i="24" s="1"/>
  <c r="AE16" i="24"/>
  <c r="AF16" i="24" s="1"/>
  <c r="AE14" i="24"/>
  <c r="AF14" i="24" s="1"/>
  <c r="AE37" i="24"/>
  <c r="AF37" i="24" s="1"/>
  <c r="AE31" i="24"/>
  <c r="AF31" i="24" s="1"/>
  <c r="AE13" i="24"/>
  <c r="AF13" i="24" s="1"/>
  <c r="AE39" i="24"/>
  <c r="AF39" i="24" s="1"/>
  <c r="AE17" i="24"/>
  <c r="AF17" i="24" s="1"/>
  <c r="AE40" i="24"/>
  <c r="AF40" i="24" s="1"/>
  <c r="AE36" i="24"/>
  <c r="AF36" i="24" s="1"/>
  <c r="AE35" i="24"/>
  <c r="AF35" i="24" s="1"/>
  <c r="AE21" i="24"/>
  <c r="AF21" i="24" s="1"/>
  <c r="AE41" i="24"/>
  <c r="AF41" i="24" s="1"/>
  <c r="AU11" i="18"/>
  <c r="AF5" i="24"/>
  <c r="AF10" i="24"/>
  <c r="AF9" i="24"/>
  <c r="K26" i="24"/>
  <c r="L26" i="24" s="1"/>
  <c r="U6" i="24"/>
  <c r="V6" i="24" s="1"/>
  <c r="K18" i="24"/>
  <c r="L18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AK22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BO4" i="18" l="1"/>
  <c r="Z19" i="18"/>
  <c r="F17" i="3" s="1"/>
  <c r="AU4" i="18"/>
  <c r="BD42" i="18"/>
  <c r="BE42" i="18" s="1"/>
  <c r="BD40" i="18"/>
  <c r="BE40" i="18" s="1"/>
  <c r="BD41" i="18"/>
  <c r="BE41" i="18" s="1"/>
  <c r="BD24" i="18"/>
  <c r="BE24" i="18" s="1"/>
  <c r="BD32" i="18"/>
  <c r="BE32" i="18" s="1"/>
  <c r="BD12" i="18"/>
  <c r="BE12" i="18" s="1"/>
  <c r="BD33" i="18"/>
  <c r="BE33" i="18" s="1"/>
  <c r="BD31" i="18"/>
  <c r="BE31" i="18" s="1"/>
  <c r="BD27" i="18"/>
  <c r="BE27" i="18" s="1"/>
  <c r="BD23" i="18"/>
  <c r="BE23" i="18" s="1"/>
  <c r="BD19" i="18"/>
  <c r="BE19" i="18" s="1"/>
  <c r="BD15" i="18"/>
  <c r="BE15" i="18" s="1"/>
  <c r="BD26" i="18"/>
  <c r="BE26" i="18" s="1"/>
  <c r="BD39" i="18"/>
  <c r="BE39" i="18" s="1"/>
  <c r="BD30" i="18"/>
  <c r="BE30" i="18" s="1"/>
  <c r="BD18" i="18"/>
  <c r="BE18" i="18" s="1"/>
  <c r="BD22" i="18"/>
  <c r="BE22" i="18" s="1"/>
  <c r="BD38" i="18"/>
  <c r="BE38" i="18" s="1"/>
  <c r="BD34" i="18"/>
  <c r="BE34" i="18" s="1"/>
  <c r="BD36" i="18"/>
  <c r="BE36" i="18" s="1"/>
  <c r="BD28" i="18"/>
  <c r="BE28" i="18" s="1"/>
  <c r="BD20" i="18"/>
  <c r="BE20" i="18" s="1"/>
  <c r="BD14" i="18"/>
  <c r="BE14" i="18" s="1"/>
  <c r="BD37" i="18"/>
  <c r="BE37" i="18" s="1"/>
  <c r="BD25" i="18"/>
  <c r="BE25" i="18" s="1"/>
  <c r="BD17" i="18"/>
  <c r="BE17" i="18" s="1"/>
  <c r="BD16" i="18"/>
  <c r="BE16" i="18" s="1"/>
  <c r="BD35" i="18"/>
  <c r="BE35" i="18" s="1"/>
  <c r="BD29" i="18"/>
  <c r="BE29" i="18" s="1"/>
  <c r="BD21" i="18"/>
  <c r="BE21" i="18" s="1"/>
  <c r="BD13" i="18"/>
  <c r="BE13" i="18" s="1"/>
  <c r="AF12" i="24"/>
  <c r="BE4" i="18"/>
  <c r="BN40" i="18"/>
  <c r="BN41" i="18"/>
  <c r="BN42" i="18"/>
  <c r="BN26" i="18"/>
  <c r="BN39" i="18"/>
  <c r="BN30" i="18"/>
  <c r="BN18" i="18"/>
  <c r="BN22" i="18"/>
  <c r="BN12" i="18"/>
  <c r="BO12" i="18" s="1"/>
  <c r="BN37" i="18"/>
  <c r="BN25" i="18"/>
  <c r="BO25" i="18" s="1"/>
  <c r="BN17" i="18"/>
  <c r="BO17" i="18" s="1"/>
  <c r="BN38" i="18"/>
  <c r="BN34" i="18"/>
  <c r="BN14" i="18"/>
  <c r="BO14" i="18" s="1"/>
  <c r="BN35" i="18"/>
  <c r="BN29" i="18"/>
  <c r="BO29" i="18" s="1"/>
  <c r="BN21" i="18"/>
  <c r="BO21" i="18" s="1"/>
  <c r="BN24" i="18"/>
  <c r="BO24" i="18" s="1"/>
  <c r="BN36" i="18"/>
  <c r="BN32" i="18"/>
  <c r="BN28" i="18"/>
  <c r="BO28" i="18" s="1"/>
  <c r="BN20" i="18"/>
  <c r="BO20" i="18" s="1"/>
  <c r="BN16" i="18"/>
  <c r="BO16" i="18" s="1"/>
  <c r="BN33" i="18"/>
  <c r="BN31" i="18"/>
  <c r="BN27" i="18"/>
  <c r="BO27" i="18" s="1"/>
  <c r="BN19" i="18"/>
  <c r="BN13" i="18"/>
  <c r="BO13" i="18" s="1"/>
  <c r="BN23" i="18"/>
  <c r="BO23" i="18" s="1"/>
  <c r="BN15" i="18"/>
  <c r="BO15" i="18" s="1"/>
  <c r="G20" i="3"/>
  <c r="M20" i="3" s="1"/>
  <c r="G19" i="3"/>
  <c r="M19" i="3" s="1"/>
  <c r="AT41" i="18"/>
  <c r="AU41" i="18" s="1"/>
  <c r="AT42" i="18"/>
  <c r="AU42" i="18" s="1"/>
  <c r="AT40" i="18"/>
  <c r="AU40" i="18" s="1"/>
  <c r="AT39" i="18"/>
  <c r="AU39" i="18" s="1"/>
  <c r="AT34" i="18"/>
  <c r="AU34" i="18" s="1"/>
  <c r="AT36" i="18"/>
  <c r="AU36" i="18" s="1"/>
  <c r="AT28" i="18"/>
  <c r="AU28" i="18" s="1"/>
  <c r="AT20" i="18"/>
  <c r="AU20" i="18" s="1"/>
  <c r="AT16" i="18"/>
  <c r="AU16" i="18" s="1"/>
  <c r="AT12" i="18"/>
  <c r="AU12" i="18" s="1"/>
  <c r="AT37" i="18"/>
  <c r="AU37" i="18" s="1"/>
  <c r="AT35" i="18"/>
  <c r="AU35" i="18" s="1"/>
  <c r="AT23" i="18"/>
  <c r="AU23" i="18" s="1"/>
  <c r="AT38" i="18"/>
  <c r="AU38" i="18" s="1"/>
  <c r="AT30" i="18"/>
  <c r="AU30" i="18" s="1"/>
  <c r="AT22" i="18"/>
  <c r="AU22" i="18" s="1"/>
  <c r="AT33" i="18"/>
  <c r="AU33" i="18" s="1"/>
  <c r="AT27" i="18"/>
  <c r="AU27" i="18" s="1"/>
  <c r="AT14" i="18"/>
  <c r="AU14" i="18" s="1"/>
  <c r="AT29" i="18"/>
  <c r="AU29" i="18" s="1"/>
  <c r="AT21" i="18"/>
  <c r="AU21" i="18" s="1"/>
  <c r="AT19" i="18"/>
  <c r="AU19" i="18" s="1"/>
  <c r="AT13" i="18"/>
  <c r="AU13" i="18" s="1"/>
  <c r="AT31" i="18"/>
  <c r="AU31" i="18" s="1"/>
  <c r="AT26" i="18"/>
  <c r="AU26" i="18" s="1"/>
  <c r="AT24" i="18"/>
  <c r="AU24" i="18" s="1"/>
  <c r="AT18" i="18"/>
  <c r="AU18" i="18" s="1"/>
  <c r="AT32" i="18"/>
  <c r="AU32" i="18" s="1"/>
  <c r="AT25" i="18"/>
  <c r="AU25" i="18" s="1"/>
  <c r="AT17" i="18"/>
  <c r="AU17" i="18" s="1"/>
  <c r="AT15" i="18"/>
  <c r="AU15" i="18" s="1"/>
  <c r="AA12" i="24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J12" i="18"/>
  <c r="AK12" i="18" s="1"/>
  <c r="P16" i="18"/>
  <c r="Q16" i="18" s="1"/>
  <c r="BO26" i="18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Z15" i="18"/>
  <c r="AA15" i="18" s="1"/>
  <c r="AJ23" i="18"/>
  <c r="AK23" i="18" s="1"/>
  <c r="P21" i="18"/>
  <c r="Q21" i="18" s="1"/>
  <c r="BO18" i="18"/>
  <c r="Z25" i="18"/>
  <c r="AA25" i="18" s="1"/>
  <c r="BO10" i="18"/>
  <c r="AJ6" i="18"/>
  <c r="AK6" i="18" s="1"/>
  <c r="P8" i="18"/>
  <c r="Q8" i="18" s="1"/>
  <c r="BO7" i="18"/>
  <c r="Z29" i="18"/>
  <c r="AA29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BO22" i="18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BO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CC4" i="18" l="1"/>
  <c r="CD4" i="18" s="1"/>
  <c r="L23" i="23"/>
  <c r="L24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<sst xmlns="http://schemas.openxmlformats.org/spreadsheetml/2006/main" count="743" uniqueCount="279">
  <si>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</si>
  <si>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</si>
  <si>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</si>
  <si>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</si>
  <si>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</si>
  <si>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</si>
  <si>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</si>
  <si>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</si>
  <si>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</si>
  <si>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</si>
  <si>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</si>
  <si>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</si>
  <si>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</si>
  <si>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</si>
  <si>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</si>
  <si>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</si>
  <si>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</si>
  <si>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</si>
  <si>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</si>
  <si>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</si>
  <si>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</si>
  <si>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</si>
  <si>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</si>
  <si>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</si>
  <si>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</si>
  <si>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</si>
  <si>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</si>
  <si>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</si>
  <si>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</si>
  <si>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</si>
  <si>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</si>
  <si>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</si>
  <si>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</si>
  <si>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</si>
  <si>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</si>
  <si>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</si>
  <si>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</si>
  <si>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</si>
  <si>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</si>
  <si>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</si>
  <si>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</si>
  <si>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</si>
  <si>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</si>
  <si>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</si>
  <si>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</si>
  <si>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</si>
  <si>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</si>
  <si>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</si>
  <si>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</si>
  <si>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</si>
  <si>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</si>
  <si>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</si>
  <si>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</si>
  <si>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</si>
  <si>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</si>
  <si>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</si>
  <si>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</si>
  <si>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</si>
  <si>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</si>
  <si>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</si>
  <si>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</si>
  <si>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</si>
  <si>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</si>
  <si>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</si>
  <si>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</si>
  <si>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</si>
  <si>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</si>
  <si>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</si>
  <si>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</si>
  <si>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</si>
  <si>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</si>
  <si>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</si>
  <si>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</si>
  <si>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</si>
  <si>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</si>
  <si>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</si>
  <si>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</si>
  <si>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</si>
  <si>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</si>
  <si>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</si>
  <si>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</si>
  <si>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</si>
  <si>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</si>
  <si>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</si>
  <si>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</si>
  <si>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</si>
  <si>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</si>
  <si>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</si>
  <si>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</si>
  <si>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</si>
  <si>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</si>
  <si>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</si>
  <si>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</si>
  <si>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</si>
  <si>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</si>
  <si>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</si>
  <si>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</si>
  <si>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</si>
  <si>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</si>
  <si>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</si>
  <si>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</si>
  <si>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</si>
  <si>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</si>
  <si>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</si>
  <si>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</si>
  <si>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</si>
  <si>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</si>
  <si>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</si>
  <si>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</si>
  <si>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</si>
  <si>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</si>
  <si>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</si>
  <si>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</si>
  <si>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</si>
  <si>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</si>
  <si>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</si>
  <si>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VIII</t>
  </si>
  <si>
    <t>UNIT TEST-I (2025-26) CLASS - VII</t>
  </si>
  <si>
    <t>AADVIK SRIVASTAVA</t>
  </si>
  <si>
    <t>SANJEEV KUMAR SRIVASTAVA</t>
  </si>
  <si>
    <t>RAJANI SRIVASTAVA</t>
  </si>
  <si>
    <t>14.08.2013</t>
  </si>
  <si>
    <t>AARYASH SONI</t>
  </si>
  <si>
    <t>NATHURAM VERMA</t>
  </si>
  <si>
    <t>PINKI SONI</t>
  </si>
  <si>
    <t>01.05.2013</t>
  </si>
  <si>
    <t>AKSHAY DUBEY</t>
  </si>
  <si>
    <t>SANTOSH KUMAR AWADHESH DUBEY</t>
  </si>
  <si>
    <t>BEBI DUBEY</t>
  </si>
  <si>
    <t>02.02.2015</t>
  </si>
  <si>
    <t>ALISHA</t>
  </si>
  <si>
    <t>SYED MUNNWWAR ALI</t>
  </si>
  <si>
    <t>AISHA KHATOON</t>
  </si>
  <si>
    <t>27.04.2012</t>
  </si>
  <si>
    <t>ANJALI JHA</t>
  </si>
  <si>
    <t>SHAYMANAND JHA</t>
  </si>
  <si>
    <t>SAROJ JHA</t>
  </si>
  <si>
    <t>19.11.2013</t>
  </si>
  <si>
    <t>AROHI JAISWAL</t>
  </si>
  <si>
    <t>OMJI JAISWAL</t>
  </si>
  <si>
    <t>MEENA JAISWAL</t>
  </si>
  <si>
    <t>31.12.2012</t>
  </si>
  <si>
    <t>ASHUTOSH MISHRA</t>
  </si>
  <si>
    <t>AMIT KUMAR MISHRA</t>
  </si>
  <si>
    <t>SEEMA MISHRA</t>
  </si>
  <si>
    <t>04.07.2014</t>
  </si>
  <si>
    <t>AYUSH GUPTA</t>
  </si>
  <si>
    <t>NARAYAN PRASAD GUPTA</t>
  </si>
  <si>
    <t>POONAM GUPTA</t>
  </si>
  <si>
    <t>21.06.2013</t>
  </si>
  <si>
    <t>AYUSH KUMAR YOGI</t>
  </si>
  <si>
    <t>GIRJA SHANKAR</t>
  </si>
  <si>
    <t>REKHA ANAND</t>
  </si>
  <si>
    <t>06.05.2013</t>
  </si>
  <si>
    <t>AYUSHI MISHRA</t>
  </si>
  <si>
    <t>AMIT MISHRA</t>
  </si>
  <si>
    <t>LAXMI MISHRA</t>
  </si>
  <si>
    <t>01.02.2014</t>
  </si>
  <si>
    <t>DEEPANSH YADAV</t>
  </si>
  <si>
    <t>MUKESH KUMAR</t>
  </si>
  <si>
    <t>SARVESH KUMARI</t>
  </si>
  <si>
    <t>09.08.2016</t>
  </si>
  <si>
    <t>DIKSHA MISHRA</t>
  </si>
  <si>
    <t>SUDHAKAR MISHRA</t>
  </si>
  <si>
    <t>BRIJESHWARI MISHRA</t>
  </si>
  <si>
    <t>23.02.2013</t>
  </si>
  <si>
    <t>DIVYANSHI KANAUJIA</t>
  </si>
  <si>
    <t>SAJJAN KUMAR</t>
  </si>
  <si>
    <t>LAXMI DEVI</t>
  </si>
  <si>
    <t>14.06.2012</t>
  </si>
  <si>
    <t>KARTIKEY YADAV</t>
  </si>
  <si>
    <t>KANHIYALAL YADAV</t>
  </si>
  <si>
    <t>SUMAN YADAV</t>
  </si>
  <si>
    <t>06.03.2014</t>
  </si>
  <si>
    <t>KRISHNA KUMAR</t>
  </si>
  <si>
    <t>ADITYA DHANRAJ</t>
  </si>
  <si>
    <t>SANGITA DEVI</t>
  </si>
  <si>
    <t>17.08.2013</t>
  </si>
  <si>
    <t>KRISHNA SINGH</t>
  </si>
  <si>
    <t>PAWAN SINGH</t>
  </si>
  <si>
    <t>KANTI SINGH</t>
  </si>
  <si>
    <t>22.12.2014</t>
  </si>
  <si>
    <t>KULDEEP SINGH</t>
  </si>
  <si>
    <t>RUCHI SINGH</t>
  </si>
  <si>
    <t>16.08.2012</t>
  </si>
  <si>
    <t>ANJANI KUMAR SINGH</t>
  </si>
  <si>
    <t>POOJA SINGH</t>
  </si>
  <si>
    <t>13.08.2013</t>
  </si>
  <si>
    <t>LATIKA GUPTA</t>
  </si>
  <si>
    <t>GOVIND GUPTA</t>
  </si>
  <si>
    <t>SNEHA GUPTA</t>
  </si>
  <si>
    <t>23.04.2013</t>
  </si>
  <si>
    <t>MANSI GUPTA</t>
  </si>
  <si>
    <t>SUNIL KUMAR GUPTA</t>
  </si>
  <si>
    <t>GEETA DEVI</t>
  </si>
  <si>
    <t>25.04.2013</t>
  </si>
  <si>
    <t>MANVI SINGH</t>
  </si>
  <si>
    <t>RIKESH KUMAR</t>
  </si>
  <si>
    <t>NEELAM SINGH</t>
  </si>
  <si>
    <t>18.11.2013</t>
  </si>
  <si>
    <t>MOHD SAMEER</t>
  </si>
  <si>
    <t>MOHD. SALEEM</t>
  </si>
  <si>
    <t>NOOR JAHAN</t>
  </si>
  <si>
    <t>20.04.2013</t>
  </si>
  <si>
    <t>MOHD ZUHAIB</t>
  </si>
  <si>
    <t>MOHD. ATEEQ</t>
  </si>
  <si>
    <t>RESHMA BANO</t>
  </si>
  <si>
    <t>01.03.2013</t>
  </si>
  <si>
    <t>NISHANT YADAV</t>
  </si>
  <si>
    <t>MANOJ KUMAR YADAV</t>
  </si>
  <si>
    <t>AKHILESH KUMARI</t>
  </si>
  <si>
    <t>01.08.2013</t>
  </si>
  <si>
    <t>PRAVLEEN KAUR</t>
  </si>
  <si>
    <t>RAVINDER</t>
  </si>
  <si>
    <t>MANPREET KAUR</t>
  </si>
  <si>
    <t>27.08.2011</t>
  </si>
  <si>
    <t>PRITHVE RAJ</t>
  </si>
  <si>
    <t>PRADEEP KUMAR</t>
  </si>
  <si>
    <t>POONAM RAJ</t>
  </si>
  <si>
    <t>12.10.2011</t>
  </si>
  <si>
    <t>RASHI PANDEY</t>
  </si>
  <si>
    <t>SUNIL PANDEY</t>
  </si>
  <si>
    <t>SHASHI PANDEY</t>
  </si>
  <si>
    <t>25.07.2013</t>
  </si>
  <si>
    <t>RIYA SATISH KARPE</t>
  </si>
  <si>
    <t>SATISH RAVSAHEB KARPE</t>
  </si>
  <si>
    <t>DEPALI SATISH KARPE</t>
  </si>
  <si>
    <t>23.03.2013</t>
  </si>
  <si>
    <t>RIYA SINGH</t>
  </si>
  <si>
    <t>LATE ASHOK KUMAR SINGH</t>
  </si>
  <si>
    <t>RINKU DEVI</t>
  </si>
  <si>
    <t>12.01.2014</t>
  </si>
  <si>
    <t>SAMAR SINGH</t>
  </si>
  <si>
    <t>VIJAY PRATAP SINGH</t>
  </si>
  <si>
    <t>REETU DEVI</t>
  </si>
  <si>
    <t>23.07.2013</t>
  </si>
  <si>
    <t>SAMARTH SRIVASTAVA</t>
  </si>
  <si>
    <t>MUKESH KUMAR SRIVASTAVA</t>
  </si>
  <si>
    <t>SIDDHI SRIVASTAVA</t>
  </si>
  <si>
    <t>04.09.2013</t>
  </si>
  <si>
    <t>SHAGUN SHUKLA</t>
  </si>
  <si>
    <t>PURTIMAN SHUKLA</t>
  </si>
  <si>
    <t>DIVYA SHUKLA</t>
  </si>
  <si>
    <t>10.03.2013</t>
  </si>
  <si>
    <t>SHAURYA RAWAT</t>
  </si>
  <si>
    <t>SANJAY RAWAT</t>
  </si>
  <si>
    <t>SUNEETA DEVI</t>
  </si>
  <si>
    <t>26.12.2011</t>
  </si>
  <si>
    <t>SHIVIKA SRIVASTAVA</t>
  </si>
  <si>
    <t>SHISHIR KUMAR SRIVASTAVA</t>
  </si>
  <si>
    <t>RICHA SRIVASTAVA</t>
  </si>
  <si>
    <t>23.12.2012</t>
  </si>
  <si>
    <t>SHRUTI KUMARI</t>
  </si>
  <si>
    <t>ALOK KUMAR PANDEY</t>
  </si>
  <si>
    <t>RIYA PANDEY</t>
  </si>
  <si>
    <t>02.04.2012</t>
  </si>
  <si>
    <t>SONALI YADAV</t>
  </si>
  <si>
    <t>24.02.2013</t>
  </si>
  <si>
    <t>TEJASVA TRIPATHI</t>
  </si>
  <si>
    <t>CHANDRESH TRIPATHI</t>
  </si>
  <si>
    <t>ARCHANA MISHRA</t>
  </si>
  <si>
    <t>08.11.2013</t>
  </si>
  <si>
    <t>TRISHA YADAV</t>
  </si>
  <si>
    <t>ASHOK KUMAR</t>
  </si>
  <si>
    <t>POONAM YADAV</t>
  </si>
  <si>
    <t>25.03.2011</t>
  </si>
  <si>
    <t>VIKAS VERMA</t>
  </si>
  <si>
    <t>SATYENDRA KUMAR VERMA</t>
  </si>
  <si>
    <t>KUMKUM VERMA</t>
  </si>
  <si>
    <t>27.09.2012</t>
  </si>
  <si>
    <t>YASH SINGH</t>
  </si>
  <si>
    <t>SUKH LAL</t>
  </si>
  <si>
    <t>SUNITA SINGH</t>
  </si>
  <si>
    <t>05.09.2014</t>
  </si>
  <si>
    <t>YASHRAJ</t>
  </si>
  <si>
    <t>SATENDRA KUSHWAHA</t>
  </si>
  <si>
    <t>ANAMIKA DEVI</t>
  </si>
  <si>
    <t>16.04.2013</t>
  </si>
  <si>
    <t>VII-A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</si>
</sst>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3"/>
  <sheetViews>
    <sheetView tabSelected="1" zoomScale="85" zoomScaleNormal="85" workbookViewId="0">
      <selection activeCell="H9" sqref="H9"/>
    </sheetView>
  </sheetViews>
  <sheetFormatPr defaultRowHeight="14.4" x14ac:dyDescent="0.3"/>
  <cols>
    <col min="2" max="2" width="20.6640625" bestFit="1" customWidth="1"/>
    <col min="3" max="3" width="33.554687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1633</v>
      </c>
      <c r="B3" s="22" t="s">
        <v>118</v>
      </c>
      <c r="C3" s="3" t="s">
        <v>120</v>
      </c>
      <c r="D3" s="3" t="s">
        <v>119</v>
      </c>
      <c r="E3" s="3" t="s">
        <v>121</v>
      </c>
      <c r="F3" s="3" t="s">
        <v>278</v>
      </c>
    </row>
    <row r="4" spans="1:6" x14ac:dyDescent="0.3">
      <c r="A4" s="23">
        <v>1119</v>
      </c>
      <c r="B4" s="22" t="s">
        <v>122</v>
      </c>
      <c r="C4" s="3" t="s">
        <v>124</v>
      </c>
      <c r="D4" s="3" t="s">
        <v>123</v>
      </c>
      <c r="E4" s="3" t="s">
        <v>125</v>
      </c>
      <c r="F4" s="3" t="s">
        <v>278</v>
      </c>
    </row>
    <row r="5" spans="1:6" x14ac:dyDescent="0.3">
      <c r="A5" s="23">
        <v>1407</v>
      </c>
      <c r="B5" s="22" t="s">
        <v>126</v>
      </c>
      <c r="C5" s="3" t="s">
        <v>128</v>
      </c>
      <c r="D5" s="3" t="s">
        <v>127</v>
      </c>
      <c r="E5" s="3" t="s">
        <v>129</v>
      </c>
      <c r="F5" s="3" t="s">
        <v>278</v>
      </c>
    </row>
    <row r="6" spans="1:6" x14ac:dyDescent="0.3">
      <c r="A6" s="23">
        <v>1077</v>
      </c>
      <c r="B6" s="22" t="s">
        <v>130</v>
      </c>
      <c r="C6" s="3" t="s">
        <v>132</v>
      </c>
      <c r="D6" s="3" t="s">
        <v>131</v>
      </c>
      <c r="E6" s="3" t="s">
        <v>133</v>
      </c>
      <c r="F6" s="3" t="s">
        <v>278</v>
      </c>
    </row>
    <row r="7" spans="1:6" x14ac:dyDescent="0.3">
      <c r="A7" s="23">
        <v>1210</v>
      </c>
      <c r="B7" s="22" t="s">
        <v>134</v>
      </c>
      <c r="C7" s="3" t="s">
        <v>136</v>
      </c>
      <c r="D7" s="3" t="s">
        <v>135</v>
      </c>
      <c r="E7" s="3" t="s">
        <v>137</v>
      </c>
      <c r="F7" s="3" t="s">
        <v>278</v>
      </c>
    </row>
    <row r="8" spans="1:6" x14ac:dyDescent="0.3">
      <c r="A8" s="23">
        <v>1286</v>
      </c>
      <c r="B8" s="22" t="s">
        <v>138</v>
      </c>
      <c r="C8" s="3" t="s">
        <v>140</v>
      </c>
      <c r="D8" s="3" t="s">
        <v>139</v>
      </c>
      <c r="E8" s="3" t="s">
        <v>141</v>
      </c>
      <c r="F8" s="3" t="s">
        <v>278</v>
      </c>
    </row>
    <row r="9" spans="1:6" x14ac:dyDescent="0.3">
      <c r="A9" s="23">
        <v>1862</v>
      </c>
      <c r="B9" s="22" t="s">
        <v>142</v>
      </c>
      <c r="C9" s="3" t="s">
        <v>144</v>
      </c>
      <c r="D9" s="3" t="s">
        <v>143</v>
      </c>
      <c r="E9" s="3" t="s">
        <v>145</v>
      </c>
      <c r="F9" s="3" t="s">
        <v>278</v>
      </c>
    </row>
    <row r="10" spans="1:6" x14ac:dyDescent="0.3">
      <c r="A10" s="23">
        <v>1684</v>
      </c>
      <c r="B10" s="22" t="s">
        <v>146</v>
      </c>
      <c r="C10" s="3" t="s">
        <v>148</v>
      </c>
      <c r="D10" s="3" t="s">
        <v>147</v>
      </c>
      <c r="E10" s="3" t="s">
        <v>149</v>
      </c>
      <c r="F10" s="3" t="s">
        <v>278</v>
      </c>
    </row>
    <row r="11" spans="1:6" x14ac:dyDescent="0.3">
      <c r="A11" s="23">
        <v>1662</v>
      </c>
      <c r="B11" s="22" t="s">
        <v>150</v>
      </c>
      <c r="C11" s="3" t="s">
        <v>152</v>
      </c>
      <c r="D11" s="3" t="s">
        <v>151</v>
      </c>
      <c r="E11" s="3" t="s">
        <v>153</v>
      </c>
      <c r="F11" s="3" t="s">
        <v>278</v>
      </c>
    </row>
    <row r="12" spans="1:6" x14ac:dyDescent="0.3">
      <c r="A12" s="23">
        <v>1602</v>
      </c>
      <c r="B12" s="22" t="s">
        <v>154</v>
      </c>
      <c r="C12" s="3" t="s">
        <v>156</v>
      </c>
      <c r="D12" s="3" t="s">
        <v>155</v>
      </c>
      <c r="E12" s="3" t="s">
        <v>157</v>
      </c>
      <c r="F12" s="3" t="s">
        <v>278</v>
      </c>
    </row>
    <row r="13" spans="1:6" x14ac:dyDescent="0.3">
      <c r="A13" s="23">
        <v>1842</v>
      </c>
      <c r="B13" s="22" t="s">
        <v>158</v>
      </c>
      <c r="C13" s="3" t="s">
        <v>160</v>
      </c>
      <c r="D13" s="3" t="s">
        <v>159</v>
      </c>
      <c r="E13" s="3" t="s">
        <v>161</v>
      </c>
      <c r="F13" s="3" t="s">
        <v>278</v>
      </c>
    </row>
    <row r="14" spans="1:6" x14ac:dyDescent="0.3">
      <c r="A14" s="23">
        <v>1127</v>
      </c>
      <c r="B14" s="22" t="s">
        <v>162</v>
      </c>
      <c r="C14" s="3" t="s">
        <v>164</v>
      </c>
      <c r="D14" s="3" t="s">
        <v>163</v>
      </c>
      <c r="E14" s="3" t="s">
        <v>165</v>
      </c>
      <c r="F14" s="3" t="s">
        <v>278</v>
      </c>
    </row>
    <row r="15" spans="1:6" x14ac:dyDescent="0.3">
      <c r="A15" s="23">
        <v>1128</v>
      </c>
      <c r="B15" s="22" t="s">
        <v>166</v>
      </c>
      <c r="C15" s="3" t="s">
        <v>168</v>
      </c>
      <c r="D15" s="3" t="s">
        <v>167</v>
      </c>
      <c r="E15" s="3" t="s">
        <v>169</v>
      </c>
      <c r="F15" s="3" t="s">
        <v>278</v>
      </c>
    </row>
    <row r="16" spans="1:6" x14ac:dyDescent="0.3">
      <c r="A16" s="23">
        <v>1129</v>
      </c>
      <c r="B16" s="22" t="s">
        <v>170</v>
      </c>
      <c r="C16" s="3" t="s">
        <v>172</v>
      </c>
      <c r="D16" s="3" t="s">
        <v>171</v>
      </c>
      <c r="E16" s="3" t="s">
        <v>173</v>
      </c>
      <c r="F16" s="3" t="s">
        <v>278</v>
      </c>
    </row>
    <row r="17" spans="1:6" x14ac:dyDescent="0.3">
      <c r="A17" s="23">
        <v>1655</v>
      </c>
      <c r="B17" s="22" t="s">
        <v>174</v>
      </c>
      <c r="C17" s="3" t="s">
        <v>176</v>
      </c>
      <c r="D17" s="3" t="s">
        <v>175</v>
      </c>
      <c r="E17" s="3" t="s">
        <v>177</v>
      </c>
      <c r="F17" s="3" t="s">
        <v>278</v>
      </c>
    </row>
    <row r="18" spans="1:6" x14ac:dyDescent="0.3">
      <c r="A18" s="23">
        <v>1378</v>
      </c>
      <c r="B18" s="22" t="s">
        <v>178</v>
      </c>
      <c r="C18" s="3" t="s">
        <v>180</v>
      </c>
      <c r="D18" s="3" t="s">
        <v>179</v>
      </c>
      <c r="E18" s="3" t="s">
        <v>181</v>
      </c>
      <c r="F18" s="3" t="s">
        <v>278</v>
      </c>
    </row>
    <row r="19" spans="1:6" x14ac:dyDescent="0.3">
      <c r="A19" s="23">
        <v>1606</v>
      </c>
      <c r="B19" s="22" t="s">
        <v>178</v>
      </c>
      <c r="C19" s="3" t="s">
        <v>183</v>
      </c>
      <c r="D19" s="3" t="s">
        <v>182</v>
      </c>
      <c r="E19" s="3" t="s">
        <v>184</v>
      </c>
      <c r="F19" s="3" t="s">
        <v>278</v>
      </c>
    </row>
    <row r="20" spans="1:6" x14ac:dyDescent="0.3">
      <c r="A20" s="23">
        <v>1643</v>
      </c>
      <c r="B20" s="22" t="s">
        <v>178</v>
      </c>
      <c r="C20" s="3" t="s">
        <v>186</v>
      </c>
      <c r="D20" s="3" t="s">
        <v>185</v>
      </c>
      <c r="E20" s="3" t="s">
        <v>187</v>
      </c>
      <c r="F20" s="3" t="s">
        <v>278</v>
      </c>
    </row>
    <row r="21" spans="1:6" x14ac:dyDescent="0.3">
      <c r="A21" s="23">
        <v>1377</v>
      </c>
      <c r="B21" s="22" t="s">
        <v>188</v>
      </c>
      <c r="C21" s="3" t="s">
        <v>190</v>
      </c>
      <c r="D21" s="3" t="s">
        <v>189</v>
      </c>
      <c r="E21" s="3" t="s">
        <v>191</v>
      </c>
      <c r="F21" s="3" t="s">
        <v>278</v>
      </c>
    </row>
    <row r="22" spans="1:6" x14ac:dyDescent="0.3">
      <c r="A22" s="23">
        <v>1659</v>
      </c>
      <c r="B22" s="22" t="s">
        <v>192</v>
      </c>
      <c r="C22" s="3" t="s">
        <v>194</v>
      </c>
      <c r="D22" s="3" t="s">
        <v>193</v>
      </c>
      <c r="E22" s="3" t="s">
        <v>195</v>
      </c>
      <c r="F22" s="3" t="s">
        <v>278</v>
      </c>
    </row>
    <row r="23" spans="1:6" x14ac:dyDescent="0.3">
      <c r="A23" s="23">
        <v>1288</v>
      </c>
      <c r="B23" s="22" t="s">
        <v>196</v>
      </c>
      <c r="C23" s="3" t="s">
        <v>198</v>
      </c>
      <c r="D23" s="3" t="s">
        <v>197</v>
      </c>
      <c r="E23" s="3" t="s">
        <v>199</v>
      </c>
      <c r="F23" s="3" t="s">
        <v>278</v>
      </c>
    </row>
    <row r="24" spans="1:6" x14ac:dyDescent="0.3">
      <c r="A24" s="23">
        <v>1131</v>
      </c>
      <c r="B24" s="22" t="s">
        <v>200</v>
      </c>
      <c r="C24" s="3" t="s">
        <v>202</v>
      </c>
      <c r="D24" s="3" t="s">
        <v>201</v>
      </c>
      <c r="E24" s="3" t="s">
        <v>203</v>
      </c>
      <c r="F24" s="3" t="s">
        <v>278</v>
      </c>
    </row>
    <row r="25" spans="1:6" x14ac:dyDescent="0.3">
      <c r="A25" s="23">
        <v>1113</v>
      </c>
      <c r="B25" s="22" t="s">
        <v>204</v>
      </c>
      <c r="C25" s="3" t="s">
        <v>206</v>
      </c>
      <c r="D25" s="3" t="s">
        <v>205</v>
      </c>
      <c r="E25" s="3" t="s">
        <v>207</v>
      </c>
      <c r="F25" s="3" t="s">
        <v>278</v>
      </c>
    </row>
    <row r="26" spans="1:6" x14ac:dyDescent="0.3">
      <c r="A26" s="23">
        <v>1501</v>
      </c>
      <c r="B26" s="22" t="s">
        <v>208</v>
      </c>
      <c r="C26" s="3" t="s">
        <v>210</v>
      </c>
      <c r="D26" s="3" t="s">
        <v>209</v>
      </c>
      <c r="E26" s="3" t="s">
        <v>211</v>
      </c>
      <c r="F26" s="3" t="s">
        <v>278</v>
      </c>
    </row>
    <row r="27" spans="1:6" x14ac:dyDescent="0.3">
      <c r="A27" s="23">
        <v>1482</v>
      </c>
      <c r="B27" s="22" t="s">
        <v>212</v>
      </c>
      <c r="C27" s="3" t="s">
        <v>214</v>
      </c>
      <c r="D27" s="3" t="s">
        <v>213</v>
      </c>
      <c r="E27" s="3" t="s">
        <v>215</v>
      </c>
      <c r="F27" s="3" t="s">
        <v>278</v>
      </c>
    </row>
    <row r="28" spans="1:6" x14ac:dyDescent="0.3">
      <c r="A28" s="23">
        <v>1230</v>
      </c>
      <c r="B28" s="22" t="s">
        <v>216</v>
      </c>
      <c r="C28" s="3" t="s">
        <v>218</v>
      </c>
      <c r="D28" s="3" t="s">
        <v>217</v>
      </c>
      <c r="E28" s="3" t="s">
        <v>219</v>
      </c>
      <c r="F28" s="3" t="s">
        <v>278</v>
      </c>
    </row>
    <row r="29" spans="1:6" x14ac:dyDescent="0.3">
      <c r="A29" s="23">
        <v>1395</v>
      </c>
      <c r="B29" s="22" t="s">
        <v>220</v>
      </c>
      <c r="C29" s="3" t="s">
        <v>222</v>
      </c>
      <c r="D29" s="3" t="s">
        <v>221</v>
      </c>
      <c r="E29" s="3" t="s">
        <v>223</v>
      </c>
      <c r="F29" s="3" t="s">
        <v>278</v>
      </c>
    </row>
    <row r="30" spans="1:6" x14ac:dyDescent="0.3">
      <c r="A30" s="23">
        <v>1897</v>
      </c>
      <c r="B30" s="22" t="s">
        <v>224</v>
      </c>
      <c r="C30" s="3" t="s">
        <v>226</v>
      </c>
      <c r="D30" s="3" t="s">
        <v>225</v>
      </c>
      <c r="E30" s="3" t="s">
        <v>227</v>
      </c>
      <c r="F30" s="3" t="s">
        <v>278</v>
      </c>
    </row>
    <row r="31" spans="1:6" x14ac:dyDescent="0.3">
      <c r="A31" s="23">
        <v>1295</v>
      </c>
      <c r="B31" s="22" t="s">
        <v>228</v>
      </c>
      <c r="C31" s="3" t="s">
        <v>230</v>
      </c>
      <c r="D31" s="3" t="s">
        <v>229</v>
      </c>
      <c r="E31" s="3" t="s">
        <v>231</v>
      </c>
      <c r="F31" s="3" t="s">
        <v>278</v>
      </c>
    </row>
    <row r="32" spans="1:6" x14ac:dyDescent="0.3">
      <c r="A32" s="23">
        <v>1728</v>
      </c>
      <c r="B32" s="22" t="s">
        <v>232</v>
      </c>
      <c r="C32" s="3" t="s">
        <v>234</v>
      </c>
      <c r="D32" s="3" t="s">
        <v>233</v>
      </c>
      <c r="E32" s="3" t="s">
        <v>235</v>
      </c>
      <c r="F32" s="3" t="s">
        <v>278</v>
      </c>
    </row>
    <row r="33" spans="1:6" x14ac:dyDescent="0.3">
      <c r="A33" s="23">
        <v>1660</v>
      </c>
      <c r="B33" s="22" t="s">
        <v>236</v>
      </c>
      <c r="C33" s="3" t="s">
        <v>238</v>
      </c>
      <c r="D33" s="3" t="s">
        <v>237</v>
      </c>
      <c r="E33" s="3" t="s">
        <v>239</v>
      </c>
      <c r="F33" s="3" t="s">
        <v>278</v>
      </c>
    </row>
    <row r="34" spans="1:6" x14ac:dyDescent="0.3">
      <c r="A34" s="23">
        <v>1942</v>
      </c>
      <c r="B34" s="22" t="s">
        <v>240</v>
      </c>
      <c r="C34" s="3" t="s">
        <v>242</v>
      </c>
      <c r="D34" s="3" t="s">
        <v>241</v>
      </c>
      <c r="E34" s="3" t="s">
        <v>243</v>
      </c>
      <c r="F34" s="3" t="s">
        <v>278</v>
      </c>
    </row>
    <row r="35" spans="1:6" x14ac:dyDescent="0.3">
      <c r="A35" s="23">
        <v>1666</v>
      </c>
      <c r="B35" s="22" t="s">
        <v>244</v>
      </c>
      <c r="C35" s="3" t="s">
        <v>246</v>
      </c>
      <c r="D35" s="3" t="s">
        <v>245</v>
      </c>
      <c r="E35" s="3" t="s">
        <v>247</v>
      </c>
      <c r="F35" s="3" t="s">
        <v>278</v>
      </c>
    </row>
    <row r="36" spans="1:6" x14ac:dyDescent="0.3">
      <c r="A36" s="23">
        <v>1823</v>
      </c>
      <c r="B36" s="22" t="s">
        <v>248</v>
      </c>
      <c r="C36" s="3" t="s">
        <v>250</v>
      </c>
      <c r="D36" s="3" t="s">
        <v>249</v>
      </c>
      <c r="E36" s="3" t="s">
        <v>251</v>
      </c>
      <c r="F36" s="3" t="s">
        <v>278</v>
      </c>
    </row>
    <row r="37" spans="1:6" x14ac:dyDescent="0.3">
      <c r="A37" s="23">
        <v>1848</v>
      </c>
      <c r="B37" s="22" t="s">
        <v>252</v>
      </c>
      <c r="C37" s="3" t="s">
        <v>254</v>
      </c>
      <c r="D37" s="3" t="s">
        <v>253</v>
      </c>
      <c r="E37" s="3" t="s">
        <v>255</v>
      </c>
      <c r="F37" s="3" t="s">
        <v>278</v>
      </c>
    </row>
    <row r="38" spans="1:6" x14ac:dyDescent="0.3">
      <c r="A38" s="23">
        <v>1137</v>
      </c>
      <c r="B38" s="22" t="s">
        <v>256</v>
      </c>
      <c r="C38" s="3" t="s">
        <v>172</v>
      </c>
      <c r="D38" s="3" t="s">
        <v>171</v>
      </c>
      <c r="E38" s="3" t="s">
        <v>257</v>
      </c>
      <c r="F38" s="3" t="s">
        <v>278</v>
      </c>
    </row>
    <row r="39" spans="1:6" x14ac:dyDescent="0.3">
      <c r="A39" s="23">
        <v>1795</v>
      </c>
      <c r="B39" s="3" t="s">
        <v>258</v>
      </c>
      <c r="C39" s="3" t="s">
        <v>260</v>
      </c>
      <c r="D39" s="3" t="s">
        <v>259</v>
      </c>
      <c r="E39" s="3" t="s">
        <v>261</v>
      </c>
      <c r="F39" s="3" t="s">
        <v>278</v>
      </c>
    </row>
    <row r="40" spans="1:6" x14ac:dyDescent="0.3">
      <c r="A40" s="23">
        <v>990</v>
      </c>
      <c r="B40" s="3" t="s">
        <v>262</v>
      </c>
      <c r="C40" s="3" t="s">
        <v>264</v>
      </c>
      <c r="D40" s="3" t="s">
        <v>263</v>
      </c>
      <c r="E40" s="3" t="s">
        <v>265</v>
      </c>
      <c r="F40" s="3" t="s">
        <v>278</v>
      </c>
    </row>
    <row r="41" spans="1:6" x14ac:dyDescent="0.3">
      <c r="A41" s="23">
        <v>1860</v>
      </c>
      <c r="B41" s="3" t="s">
        <v>266</v>
      </c>
      <c r="C41" s="3" t="s">
        <v>268</v>
      </c>
      <c r="D41" s="3" t="s">
        <v>267</v>
      </c>
      <c r="E41" s="3" t="s">
        <v>269</v>
      </c>
      <c r="F41" s="3" t="s">
        <v>278</v>
      </c>
    </row>
    <row r="42" spans="1:6" x14ac:dyDescent="0.3">
      <c r="A42" s="23">
        <v>1672</v>
      </c>
      <c r="B42" s="3" t="s">
        <v>270</v>
      </c>
      <c r="C42" s="3" t="s">
        <v>272</v>
      </c>
      <c r="D42" s="3" t="s">
        <v>271</v>
      </c>
      <c r="E42" s="3" t="s">
        <v>273</v>
      </c>
      <c r="F42" s="3" t="s">
        <v>278</v>
      </c>
    </row>
    <row r="43" spans="1:6" x14ac:dyDescent="0.3">
      <c r="A43" s="23">
        <v>1773</v>
      </c>
      <c r="B43" s="3" t="s">
        <v>274</v>
      </c>
      <c r="C43" s="3" t="s">
        <v>276</v>
      </c>
      <c r="D43" s="3" t="s">
        <v>275</v>
      </c>
      <c r="E43" s="3" t="s">
        <v>277</v>
      </c>
      <c r="F43" s="3" t="s">
        <v>278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4"/>
  <sheetViews>
    <sheetView workbookViewId="0">
      <selection activeCell="J46" sqref="J46"/>
    </sheetView>
  </sheetViews>
  <sheetFormatPr defaultRowHeight="14.4" x14ac:dyDescent="0.3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1633</v>
      </c>
      <c r="B4" s="29" t="str">
        <f>DETAILS!B3</f>
        <v>AADVIK SRIVASTAVA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1119</v>
      </c>
      <c r="B5" s="3" t="str">
        <f>DETAILS!B4</f>
        <v>AARYASH SONI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1407</v>
      </c>
      <c r="B6" s="3" t="str">
        <f>DETAILS!B5</f>
        <v>AKSHAY DUBEY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1077</v>
      </c>
      <c r="B7" s="3" t="str">
        <f>DETAILS!B6</f>
        <v>ALISHA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1210</v>
      </c>
      <c r="B8" s="3" t="str">
        <f>DETAILS!B7</f>
        <v>ANJALI JHA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1286</v>
      </c>
      <c r="B9" s="3" t="str">
        <f>DETAILS!B8</f>
        <v>AROHI JAISWAL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1862</v>
      </c>
      <c r="B10" s="3" t="str">
        <f>DETAILS!B9</f>
        <v>ASHUTOSH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1684</v>
      </c>
      <c r="B11" s="3" t="str">
        <f>DETAILS!B10</f>
        <v>AYUSH GUPTA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1662</v>
      </c>
      <c r="B12" s="3" t="str">
        <f>DETAILS!B11</f>
        <v>AYUSH KUMAR YOGI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1602</v>
      </c>
      <c r="B13" s="3" t="str">
        <f>DETAILS!B12</f>
        <v>AYUSHI MISHRA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1842</v>
      </c>
      <c r="B14" s="3" t="str">
        <f>DETAILS!B13</f>
        <v>DEEPANSH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1127</v>
      </c>
      <c r="B15" s="3" t="str">
        <f>DETAILS!B14</f>
        <v>DIKSHA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1128</v>
      </c>
      <c r="B16" s="3" t="str">
        <f>DETAILS!B15</f>
        <v>DIVYANSHI KANAUJIA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1129</v>
      </c>
      <c r="B17" s="3" t="str">
        <f>DETAILS!B16</f>
        <v>KARTIKEY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1655</v>
      </c>
      <c r="B18" s="3" t="str">
        <f>DETAILS!B17</f>
        <v>KRISHNA KUMAR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1378</v>
      </c>
      <c r="B19" s="3" t="str">
        <f>DETAILS!B18</f>
        <v>KRISHNA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1606</v>
      </c>
      <c r="B20" s="3" t="str">
        <f>DETAILS!B19</f>
        <v>KRISHNA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1643</v>
      </c>
      <c r="B21" s="3" t="str">
        <f>DETAILS!B20</f>
        <v>KRISHNA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1377</v>
      </c>
      <c r="B22" s="3" t="str">
        <f>DETAILS!B21</f>
        <v>LATIKA GUPTA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1659</v>
      </c>
      <c r="B23" s="3" t="str">
        <f>DETAILS!B22</f>
        <v>MANSI GUPTA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1288</v>
      </c>
      <c r="B24" s="3" t="str">
        <f>DETAILS!B23</f>
        <v>MANVI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1131</v>
      </c>
      <c r="B25" s="3" t="str">
        <f>DETAILS!B24</f>
        <v>MOHD SAMEER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1113</v>
      </c>
      <c r="B26" s="3" t="str">
        <f>DETAILS!B25</f>
        <v>MOHD ZUHAIB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1501</v>
      </c>
      <c r="B27" s="3" t="str">
        <f>DETAILS!B26</f>
        <v>NISHANT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1482</v>
      </c>
      <c r="B28" s="3" t="str">
        <f>DETAILS!B27</f>
        <v>PRAVLEEN KAUR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1230</v>
      </c>
      <c r="B29" s="3" t="str">
        <f>DETAILS!B28</f>
        <v>PRITHVE RAJ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1395</v>
      </c>
      <c r="B30" s="3" t="str">
        <f>DETAILS!B29</f>
        <v>RASHI PANDEY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1897</v>
      </c>
      <c r="B31" s="3" t="str">
        <f>DETAILS!B30</f>
        <v>RIYA SATISH KARPE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1295</v>
      </c>
      <c r="B32" s="3" t="str">
        <f>DETAILS!B31</f>
        <v>RIYA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1728</v>
      </c>
      <c r="B33" s="3" t="str">
        <f>DETAILS!B32</f>
        <v>SAMAR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1660</v>
      </c>
      <c r="B34" s="3" t="str">
        <f>DETAILS!B33</f>
        <v>SAMARTH SRIVASTAVA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1942</v>
      </c>
      <c r="B35" s="3" t="str">
        <f>DETAILS!B34</f>
        <v>SHAGUN SHUKLA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1666</v>
      </c>
      <c r="B36" s="3" t="str">
        <f>DETAILS!B35</f>
        <v>SHAURYA RAWAT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1823</v>
      </c>
      <c r="B37" s="3" t="str">
        <f>DETAILS!B36</f>
        <v>SHIVIKA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1848</v>
      </c>
      <c r="B38" s="3" t="str">
        <f>DETAILS!B37</f>
        <v>SHRUTI KUMARI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1137</v>
      </c>
      <c r="B39" s="3" t="str">
        <f>DETAILS!B38</f>
        <v>SONALI YADAV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1795</v>
      </c>
      <c r="B40" s="3" t="str">
        <f>DETAILS!B39</f>
        <v>TEJASVA TRIPATHI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990</v>
      </c>
      <c r="B41" s="3" t="str">
        <f>DETAILS!B40</f>
        <v>TRISHA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1860</v>
      </c>
      <c r="B42" s="3" t="str">
        <f>DETAILS!B41</f>
        <v>VIKAS VERMA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3">
        <f>DETAILS!A42</f>
        <v>1672</v>
      </c>
      <c r="B43" s="3" t="str">
        <f>DETAILS!B42</f>
        <v>YASH SINGH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3">
        <f>DETAILS!A43</f>
        <v>1773</v>
      </c>
      <c r="B44" s="3" t="str">
        <f>DETAILS!B43</f>
        <v>YASHRAJ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4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41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1633</v>
      </c>
      <c r="B4" s="3" t="str">
        <f>DETAILS!B3</f>
        <v>AADVIK SRIVASTAVA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1119</v>
      </c>
      <c r="B5" s="3" t="str">
        <f>DETAILS!B4</f>
        <v>AARYASH SONI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1407</v>
      </c>
      <c r="B6" s="3" t="str">
        <f>DETAILS!B5</f>
        <v>AKSHAY DUBEY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1077</v>
      </c>
      <c r="B7" s="3" t="str">
        <f>DETAILS!B6</f>
        <v>ALISHA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1210</v>
      </c>
      <c r="B8" s="3" t="str">
        <f>DETAILS!B7</f>
        <v>ANJALI JHA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1286</v>
      </c>
      <c r="B9" s="3" t="str">
        <f>DETAILS!B8</f>
        <v>AROHI JAISWAL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1862</v>
      </c>
      <c r="B10" s="3" t="str">
        <f>DETAILS!B9</f>
        <v>ASHUTOSH MISHRA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1684</v>
      </c>
      <c r="B11" s="3" t="str">
        <f>DETAILS!B10</f>
        <v>AYUSH GUPTA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1662</v>
      </c>
      <c r="B12" s="3" t="str">
        <f>DETAILS!B11</f>
        <v>AYUSH KUMAR YOGI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1602</v>
      </c>
      <c r="B13" s="3" t="str">
        <f>DETAILS!B12</f>
        <v>AYUSHI MISHRA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1842</v>
      </c>
      <c r="B14" s="3" t="str">
        <f>DETAILS!B13</f>
        <v>DEEPANSH YADAV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1127</v>
      </c>
      <c r="B15" s="3" t="str">
        <f>DETAILS!B14</f>
        <v>DIKSHA MISHRA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1128</v>
      </c>
      <c r="B16" s="3" t="str">
        <f>DETAILS!B15</f>
        <v>DIVYANSHI KANAUJIA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1129</v>
      </c>
      <c r="B17" s="3" t="str">
        <f>DETAILS!B16</f>
        <v>KARTIKEY YADAV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1655</v>
      </c>
      <c r="B18" s="3" t="str">
        <f>DETAILS!B17</f>
        <v>KRISHNA KUMAR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1378</v>
      </c>
      <c r="B19" s="3" t="str">
        <f>DETAILS!B18</f>
        <v>KRISHNA SINGH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1606</v>
      </c>
      <c r="B20" s="3" t="str">
        <f>DETAILS!B19</f>
        <v>KRISHNA SINGH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1643</v>
      </c>
      <c r="B21" s="3" t="str">
        <f>DETAILS!B20</f>
        <v>KRISHNA SINGH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1377</v>
      </c>
      <c r="B22" s="3" t="str">
        <f>DETAILS!B21</f>
        <v>LATIKA GUPTA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1659</v>
      </c>
      <c r="B23" s="3" t="str">
        <f>DETAILS!B22</f>
        <v>MANSI GUPTA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1288</v>
      </c>
      <c r="B24" s="3" t="str">
        <f>DETAILS!B23</f>
        <v>MANVI SINGH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1131</v>
      </c>
      <c r="B25" s="3" t="str">
        <f>DETAILS!B24</f>
        <v>MOHD SAMEER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1113</v>
      </c>
      <c r="B26" s="3" t="str">
        <f>DETAILS!B25</f>
        <v>MOHD ZUHAIB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1501</v>
      </c>
      <c r="B27" s="3" t="str">
        <f>DETAILS!B26</f>
        <v>NISHANT YADAV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1482</v>
      </c>
      <c r="B28" s="3" t="str">
        <f>DETAILS!B27</f>
        <v>PRAVLEEN KAUR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1230</v>
      </c>
      <c r="B29" s="3" t="str">
        <f>DETAILS!B28</f>
        <v>PRITHVE RAJ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1395</v>
      </c>
      <c r="B30" s="3" t="str">
        <f>DETAILS!B29</f>
        <v>RASHI PANDEY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1897</v>
      </c>
      <c r="B31" s="3" t="str">
        <f>DETAILS!B30</f>
        <v>RIYA SATISH KARPE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1295</v>
      </c>
      <c r="B32" s="3" t="str">
        <f>DETAILS!B31</f>
        <v>RIYA SINGH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1728</v>
      </c>
      <c r="B33" s="3" t="str">
        <f>DETAILS!B32</f>
        <v>SAMAR SINGH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1660</v>
      </c>
      <c r="B34" s="3" t="str">
        <f>DETAILS!B33</f>
        <v>SAMARTH SRIVASTAVA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1942</v>
      </c>
      <c r="B35" s="3" t="str">
        <f>DETAILS!B34</f>
        <v>SHAGUN SHUKLA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1666</v>
      </c>
      <c r="B36" s="3" t="str">
        <f>DETAILS!B35</f>
        <v>SHAURYA RAWAT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1823</v>
      </c>
      <c r="B37" s="3" t="str">
        <f>DETAILS!B36</f>
        <v>SHIVIKA SRIVASTAVA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1848</v>
      </c>
      <c r="B38" s="3" t="str">
        <f>DETAILS!B37</f>
        <v>SHRUTI KUMARI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1137</v>
      </c>
      <c r="B39" s="3" t="str">
        <f>DETAILS!B38</f>
        <v>SONALI YADAV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1795</v>
      </c>
      <c r="B40" s="3" t="str">
        <f>DETAILS!B39</f>
        <v>TEJASVA TRIPATHI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990</v>
      </c>
      <c r="B41" s="3" t="str">
        <f>DETAILS!B40</f>
        <v>TRISHA YADAV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1860</v>
      </c>
      <c r="B42" s="3" t="str">
        <f>DETAILS!B41</f>
        <v>VIKAS VERMA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  <row r="43" spans="1:15" x14ac:dyDescent="0.3">
      <c r="A43" s="23">
        <f>DETAILS!A42</f>
        <v>1672</v>
      </c>
      <c r="B43" s="3" t="str">
        <f>DETAILS!B42</f>
        <v>YASH SINGH</v>
      </c>
      <c r="C43" s="27">
        <f>IFERROR(ROUND((VLOOKUP(A43,'UT-I(Entry)'!$1:$1048576,3,0))/2,0),VLOOKUP(A43,'UT-I(Entry)'!$1:$1048576,3,0))</f>
        <v>0</v>
      </c>
      <c r="D43" s="27">
        <f>IFERROR(ROUND((VLOOKUP(A43,'UT-I(Entry)'!$1:$1048576,4,0))/2,0),VLOOKUP(A43,'UT-I(Entry)'!$1:$1048576,4,0))</f>
        <v>0</v>
      </c>
      <c r="E43" s="27">
        <f>IFERROR(ROUND((VLOOKUP(A43,'UT-I(Entry)'!$1:$1048576,5,0))/2,0),VLOOKUP(A43,'UT-I(Entry)'!$1:$1048576,5,0))</f>
        <v>0</v>
      </c>
      <c r="F43" s="27">
        <f>IFERROR(ROUND((VLOOKUP(A43,'UT-I(Entry)'!$1:$1048576,6,0))/2,0),VLOOKUP(A43,'UT-I(Entry)'!$1:$1048576,6,0))</f>
        <v>0</v>
      </c>
      <c r="G43" s="27">
        <f>IFERROR(ROUND((VLOOKUP($A43,'UT-I(Entry)'!$1:$1048576,7,0))/2,0),VLOOKUP(A43,'UT-I(Entry)'!$1:$1048576,7,0))</f>
        <v>0</v>
      </c>
      <c r="H43" s="27">
        <f>IFERROR(ROUND((VLOOKUP($A43,'UT-I(Entry)'!$1:$1048576,8,0))/2,0),VLOOKUP($A43,'UT-I(Entry)'!$1:$1048576,8,0))</f>
        <v>0</v>
      </c>
      <c r="I43" s="27">
        <f>IFERROR(ROUND((VLOOKUP(A43,'UT-I(Entry)'!$1:$1048576,9,0))/2,0),VLOOKUP(A43,'UT-I(Entry)'!$1:$1048576,9,0))</f>
        <v>0</v>
      </c>
      <c r="J43" s="27" t="str">
        <f>IFERROR(VLOOKUP(VLOOKUP(A43,'UT-I(Entry)'!$1:$1048576,10,0),'Grade(40)'!$1:$1048576,2,0),VLOOKUP(A43,'UT-I(Entry)'!$1:$1048576,10,0))</f>
        <v>E</v>
      </c>
      <c r="K43" s="27" t="str">
        <f>IFERROR(VLOOKUP(VLOOKUP(A43,'UT-I(Entry)'!$1:$1048576,11,0),'Grade(40)'!$1:$1048576,2,0),VLOOKUP(A43,'UT-I(Entry)'!$1:$1048576,11,0))</f>
        <v>E</v>
      </c>
      <c r="L43" s="27">
        <f t="shared" ref="L43:L44" si="2">SUM(C43:I43)</f>
        <v>0</v>
      </c>
      <c r="M43" s="27" t="str">
        <f t="shared" ref="M43:M44" si="3">ROUND(L43/1.4,2)&amp;" %"</f>
        <v>0 %</v>
      </c>
      <c r="N43" s="3">
        <f>VLOOKUP(A43,'UT-I(Entry)'!$1:$1048576,12,0)</f>
        <v>0</v>
      </c>
      <c r="O43" s="3">
        <f>VLOOKUP(A43,'UT-I(Entry)'!$1:$1048576,13,0)</f>
        <v>0</v>
      </c>
    </row>
    <row r="44" spans="1:15" x14ac:dyDescent="0.3">
      <c r="A44" s="23">
        <f>DETAILS!A43</f>
        <v>1773</v>
      </c>
      <c r="B44" s="3" t="str">
        <f>DETAILS!B43</f>
        <v>YASHRAJ</v>
      </c>
      <c r="C44" s="27">
        <f>IFERROR(ROUND((VLOOKUP(A44,'UT-I(Entry)'!$1:$1048576,3,0))/2,0),VLOOKUP(A44,'UT-I(Entry)'!$1:$1048576,3,0))</f>
        <v>0</v>
      </c>
      <c r="D44" s="27">
        <f>IFERROR(ROUND((VLOOKUP(A44,'UT-I(Entry)'!$1:$1048576,4,0))/2,0),VLOOKUP(A44,'UT-I(Entry)'!$1:$1048576,4,0))</f>
        <v>0</v>
      </c>
      <c r="E44" s="27">
        <f>IFERROR(ROUND((VLOOKUP(A44,'UT-I(Entry)'!$1:$1048576,5,0))/2,0),VLOOKUP(A44,'UT-I(Entry)'!$1:$1048576,5,0))</f>
        <v>0</v>
      </c>
      <c r="F44" s="27">
        <f>IFERROR(ROUND((VLOOKUP(A44,'UT-I(Entry)'!$1:$1048576,6,0))/2,0),VLOOKUP(A44,'UT-I(Entry)'!$1:$1048576,6,0))</f>
        <v>0</v>
      </c>
      <c r="G44" s="27">
        <f>IFERROR(ROUND((VLOOKUP($A44,'UT-I(Entry)'!$1:$1048576,7,0))/2,0),VLOOKUP(A44,'UT-I(Entry)'!$1:$1048576,7,0))</f>
        <v>0</v>
      </c>
      <c r="H44" s="27">
        <f>IFERROR(ROUND((VLOOKUP($A44,'UT-I(Entry)'!$1:$1048576,8,0))/2,0),VLOOKUP($A44,'UT-I(Entry)'!$1:$1048576,8,0))</f>
        <v>0</v>
      </c>
      <c r="I44" s="27">
        <f>IFERROR(ROUND((VLOOKUP(A44,'UT-I(Entry)'!$1:$1048576,9,0))/2,0),VLOOKUP(A44,'UT-I(Entry)'!$1:$1048576,9,0))</f>
        <v>0</v>
      </c>
      <c r="J44" s="27" t="str">
        <f>IFERROR(VLOOKUP(VLOOKUP(A44,'UT-I(Entry)'!$1:$1048576,10,0),'Grade(40)'!$1:$1048576,2,0),VLOOKUP(A44,'UT-I(Entry)'!$1:$1048576,10,0))</f>
        <v>E</v>
      </c>
      <c r="K44" s="27" t="str">
        <f>IFERROR(VLOOKUP(VLOOKUP(A44,'UT-I(Entry)'!$1:$1048576,11,0),'Grade(40)'!$1:$1048576,2,0),VLOOKUP(A44,'UT-I(Entry)'!$1:$1048576,11,0))</f>
        <v>E</v>
      </c>
      <c r="L44" s="27">
        <f t="shared" si="2"/>
        <v>0</v>
      </c>
      <c r="M44" s="27" t="str">
        <f t="shared" si="3"/>
        <v>0 %</v>
      </c>
      <c r="N44" s="3">
        <f>VLOOKUP(A44,'UT-I(Entry)'!$1:$1048576,12,0)</f>
        <v>0</v>
      </c>
      <c r="O44" s="3">
        <f>VLOOKUP(A44,'UT-I(Entry)'!$1:$1048576,13,0)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105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1633</v>
      </c>
      <c r="B3" s="3" t="str">
        <f>DETAILS!B3</f>
        <v>AADVIK SRIVASTAVA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1119</v>
      </c>
      <c r="B4" s="3" t="str">
        <f>DETAILS!B4</f>
        <v>AARYASH SONI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1407</v>
      </c>
      <c r="B5" s="3" t="str">
        <f>DETAILS!B5</f>
        <v>AKSHAY DUBEY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1077</v>
      </c>
      <c r="B6" s="3" t="str">
        <f>DETAILS!B6</f>
        <v>ALISHA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1210</v>
      </c>
      <c r="B7" s="3" t="str">
        <f>DETAILS!B7</f>
        <v>ANJALI JHA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1286</v>
      </c>
      <c r="B8" s="3" t="str">
        <f>DETAILS!B8</f>
        <v>AROHI JAISWAL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1862</v>
      </c>
      <c r="B9" s="3" t="str">
        <f>DETAILS!B9</f>
        <v>ASHUTOSH MISHRA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1684</v>
      </c>
      <c r="B10" s="3" t="str">
        <f>DETAILS!B10</f>
        <v>AYUSH GUPTA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1662</v>
      </c>
      <c r="B11" s="3" t="str">
        <f>DETAILS!B11</f>
        <v>AYUSH KUMAR YOGI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1602</v>
      </c>
      <c r="B12" s="3" t="str">
        <f>DETAILS!B12</f>
        <v>AYUSHI MISHRA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1842</v>
      </c>
      <c r="B13" s="3" t="str">
        <f>DETAILS!B13</f>
        <v>DEEPANSH YADAV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1127</v>
      </c>
      <c r="B14" s="3" t="str">
        <f>DETAILS!B14</f>
        <v>DIKSHA MISHRA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1128</v>
      </c>
      <c r="B15" s="3" t="str">
        <f>DETAILS!B15</f>
        <v>DIVYANSHI KANAUJIA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1129</v>
      </c>
      <c r="B16" s="3" t="str">
        <f>DETAILS!B16</f>
        <v>KARTIKEY YADAV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1655</v>
      </c>
      <c r="B17" s="3" t="str">
        <f>DETAILS!B17</f>
        <v>KRISHNA KUMAR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1378</v>
      </c>
      <c r="B18" s="3" t="str">
        <f>DETAILS!B18</f>
        <v>KRISHNA SINGH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1606</v>
      </c>
      <c r="B19" s="3" t="str">
        <f>DETAILS!B19</f>
        <v>KRISHNA SINGH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1643</v>
      </c>
      <c r="B20" s="3" t="str">
        <f>DETAILS!B20</f>
        <v>KRISHNA SINGH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1377</v>
      </c>
      <c r="B21" s="3" t="str">
        <f>DETAILS!B21</f>
        <v>LATIKA GUPTA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1659</v>
      </c>
      <c r="B22" s="3" t="str">
        <f>DETAILS!B22</f>
        <v>MANSI GUPTA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1288</v>
      </c>
      <c r="B23" s="3" t="str">
        <f>DETAILS!B23</f>
        <v>MANVI SINGH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1131</v>
      </c>
      <c r="B24" s="3" t="str">
        <f>DETAILS!B24</f>
        <v>MOHD SAMEER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1113</v>
      </c>
      <c r="B25" s="3" t="str">
        <f>DETAILS!B25</f>
        <v>MOHD ZUHAIB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1501</v>
      </c>
      <c r="B26" s="3" t="str">
        <f>DETAILS!B26</f>
        <v>NISHANT YADAV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1482</v>
      </c>
      <c r="B27" s="3" t="str">
        <f>DETAILS!B27</f>
        <v>PRAVLEEN KAUR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1230</v>
      </c>
      <c r="B28" s="3" t="str">
        <f>DETAILS!B28</f>
        <v>PRITHVE RAJ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1395</v>
      </c>
      <c r="B29" s="3" t="str">
        <f>DETAILS!B29</f>
        <v>RASHI PANDEY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1897</v>
      </c>
      <c r="B30" s="3" t="str">
        <f>DETAILS!B30</f>
        <v>RIYA SATISH KARPE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1295</v>
      </c>
      <c r="B31" s="3" t="str">
        <f>DETAILS!B31</f>
        <v>RIYA SINGH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1728</v>
      </c>
      <c r="B32" s="3" t="str">
        <f>DETAILS!B32</f>
        <v>SAMAR SINGH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1660</v>
      </c>
      <c r="B33" s="3" t="str">
        <f>DETAILS!B33</f>
        <v>SAMARTH SRIVASTAVA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1942</v>
      </c>
      <c r="B34" s="3" t="str">
        <f>DETAILS!B34</f>
        <v>SHAGUN SHUKLA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1666</v>
      </c>
      <c r="B35" s="3" t="str">
        <f>DETAILS!B35</f>
        <v>SHAURYA RAWAT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1823</v>
      </c>
      <c r="B36" s="3" t="str">
        <f>DETAILS!B36</f>
        <v>SHIVIKA SRIVASTAVA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1848</v>
      </c>
      <c r="B37" s="3" t="str">
        <f>DETAILS!B37</f>
        <v>SHRUTI KUMARI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1137</v>
      </c>
      <c r="B38" s="3" t="str">
        <f>DETAILS!B38</f>
        <v>SONALI YADAV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1795</v>
      </c>
      <c r="B39" s="3" t="str">
        <f>DETAILS!B39</f>
        <v>TEJASVA TRIPATHI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990</v>
      </c>
      <c r="B40" s="3" t="str">
        <f>DETAILS!B40</f>
        <v>TRISHA YADAV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1860</v>
      </c>
      <c r="B41" s="3" t="str">
        <f>DETAILS!B41</f>
        <v>VIKAS VERMA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7" t="s">
        <v>109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102</v>
      </c>
      <c r="S2" s="40"/>
      <c r="T2" s="40"/>
      <c r="U2" s="40"/>
      <c r="V2" s="40"/>
      <c r="W2" s="48" t="s">
        <v>103</v>
      </c>
      <c r="X2" s="49"/>
      <c r="Y2" s="49"/>
      <c r="Z2" s="49"/>
      <c r="AA2" s="50"/>
      <c r="AB2" s="48" t="s">
        <v>104</v>
      </c>
      <c r="AC2" s="49"/>
      <c r="AD2" s="49"/>
      <c r="AE2" s="49"/>
      <c r="AF2" s="50"/>
      <c r="AG2" s="40" t="s">
        <v>15</v>
      </c>
      <c r="AH2" s="40"/>
      <c r="AI2" s="40"/>
      <c r="AJ2" s="40"/>
      <c r="AK2" s="40"/>
      <c r="AL2" s="52" t="s">
        <v>57</v>
      </c>
      <c r="AM2" s="52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52" t="s">
        <v>64</v>
      </c>
      <c r="AT2" s="51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2"/>
      <c r="AM3" s="52"/>
      <c r="AN3" s="42"/>
      <c r="AO3" s="42"/>
      <c r="AP3" s="42"/>
      <c r="AQ3" s="42"/>
      <c r="AR3" s="42"/>
      <c r="AS3" s="52"/>
      <c r="AT3" s="51"/>
    </row>
    <row r="4" spans="1:46" x14ac:dyDescent="0.3">
      <c r="A4" s="3">
        <f>DETAILS!A3</f>
        <v>1633</v>
      </c>
      <c r="B4" s="3" t="str">
        <f>DETAILS!B3</f>
        <v>AADVIK SRIVASTAVA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1119</v>
      </c>
      <c r="B5" s="3" t="str">
        <f>DETAILS!B4</f>
        <v>AARYASH SONI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1407</v>
      </c>
      <c r="B6" s="3" t="str">
        <f>DETAILS!B5</f>
        <v>AKSHAY DUBEY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1077</v>
      </c>
      <c r="B7" s="3" t="str">
        <f>DETAILS!B6</f>
        <v>ALISHA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1210</v>
      </c>
      <c r="B8" s="3" t="str">
        <f>DETAILS!B7</f>
        <v>ANJALI JHA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1286</v>
      </c>
      <c r="B9" s="3" t="str">
        <f>DETAILS!B8</f>
        <v>AROHI JAISWAL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1862</v>
      </c>
      <c r="B10" s="3" t="str">
        <f>DETAILS!B9</f>
        <v>ASHUTOSH MISHRA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1684</v>
      </c>
      <c r="B11" s="3" t="str">
        <f>DETAILS!B10</f>
        <v>AYUSH GUPTA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1662</v>
      </c>
      <c r="B12" s="3" t="str">
        <f>DETAILS!B11</f>
        <v>AYUSH KUMAR YOGI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1602</v>
      </c>
      <c r="B13" s="3" t="str">
        <f>DETAILS!B12</f>
        <v>AYUSHI MISHRA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1842</v>
      </c>
      <c r="B14" s="3" t="str">
        <f>DETAILS!B13</f>
        <v>DEEPANSH YADAV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1127</v>
      </c>
      <c r="B15" s="3" t="str">
        <f>DETAILS!B14</f>
        <v>DIKSHA MISHRA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1128</v>
      </c>
      <c r="B16" s="3" t="str">
        <f>DETAILS!B15</f>
        <v>DIVYANSHI KANAUJIA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1129</v>
      </c>
      <c r="B17" s="3" t="str">
        <f>DETAILS!B16</f>
        <v>KARTIKEY YADAV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1655</v>
      </c>
      <c r="B18" s="3" t="str">
        <f>DETAILS!B17</f>
        <v>KRISHNA KUMAR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1378</v>
      </c>
      <c r="B19" s="3" t="str">
        <f>DETAILS!B18</f>
        <v>KRISHNA SINGH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1606</v>
      </c>
      <c r="B20" s="3" t="str">
        <f>DETAILS!B19</f>
        <v>KRISHNA SINGH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1643</v>
      </c>
      <c r="B21" s="3" t="str">
        <f>DETAILS!B20</f>
        <v>KRISHNA SINGH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1377</v>
      </c>
      <c r="B22" s="3" t="str">
        <f>DETAILS!B21</f>
        <v>LATIKA GUPTA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1659</v>
      </c>
      <c r="B23" s="3" t="str">
        <f>DETAILS!B22</f>
        <v>MANSI GUPTA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1288</v>
      </c>
      <c r="B24" s="3" t="str">
        <f>DETAILS!B23</f>
        <v>MANVI SINGH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1131</v>
      </c>
      <c r="B25" s="3" t="str">
        <f>DETAILS!B24</f>
        <v>MOHD SAMEER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1113</v>
      </c>
      <c r="B26" s="3" t="str">
        <f>DETAILS!B25</f>
        <v>MOHD ZUHAIB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1501</v>
      </c>
      <c r="B27" s="3" t="str">
        <f>DETAILS!B26</f>
        <v>NISHANT YADAV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1482</v>
      </c>
      <c r="B28" s="3" t="str">
        <f>DETAILS!B27</f>
        <v>PRAVLEEN KAUR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1230</v>
      </c>
      <c r="B29" s="3" t="str">
        <f>DETAILS!B28</f>
        <v>PRITHVE RAJ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1395</v>
      </c>
      <c r="B30" s="3" t="str">
        <f>DETAILS!B29</f>
        <v>RASHI PANDEY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1897</v>
      </c>
      <c r="B31" s="3" t="str">
        <f>DETAILS!B30</f>
        <v>RIYA SATISH KARPE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1295</v>
      </c>
      <c r="B32" s="3" t="str">
        <f>DETAILS!B31</f>
        <v>RIYA SINGH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1728</v>
      </c>
      <c r="B33" s="3" t="str">
        <f>DETAILS!B32</f>
        <v>SAMAR SINGH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1660</v>
      </c>
      <c r="B34" s="3" t="str">
        <f>DETAILS!B33</f>
        <v>SAMARTH SRIVASTAVA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1942</v>
      </c>
      <c r="B35" s="3" t="str">
        <f>DETAILS!B34</f>
        <v>SHAGUN SHUKLA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1666</v>
      </c>
      <c r="B36" s="3" t="str">
        <f>DETAILS!B35</f>
        <v>SHAURYA RAWAT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1823</v>
      </c>
      <c r="B37" s="3" t="str">
        <f>DETAILS!B36</f>
        <v>SHIVIKA SRIVASTAVA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1848</v>
      </c>
      <c r="B38" s="3" t="str">
        <f>DETAILS!B37</f>
        <v>SHRUTI KUMARI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1137</v>
      </c>
      <c r="B39" s="3" t="str">
        <f>DETAILS!B38</f>
        <v>SONALI YADAV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1795</v>
      </c>
      <c r="B40" s="3" t="str">
        <f>DETAILS!B39</f>
        <v>TEJASVA TRIPATHI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990</v>
      </c>
      <c r="B41" s="3" t="str">
        <f>DETAILS!B40</f>
        <v>TRISHA YADAV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92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75" t="s">
        <v>89</v>
      </c>
      <c r="D14" s="76"/>
      <c r="E14" s="75" t="s">
        <v>100</v>
      </c>
      <c r="F14" s="76"/>
      <c r="G14" s="75" t="s">
        <v>101</v>
      </c>
      <c r="H14" s="76"/>
      <c r="I14" s="75" t="s">
        <v>90</v>
      </c>
      <c r="J14" s="77"/>
      <c r="K14" s="76"/>
      <c r="L14" s="75" t="s">
        <v>91</v>
      </c>
      <c r="M14" s="76"/>
      <c r="N14" s="10"/>
    </row>
    <row r="15" spans="1:14" x14ac:dyDescent="0.3">
      <c r="A15" s="9"/>
      <c r="B15" s="3" t="s">
        <v>12</v>
      </c>
      <c r="C15" s="54" t="e">
        <f>VLOOKUP($K$9,'HY Compile'!$1:$1048576,3,0)</f>
        <v>#N/A</v>
      </c>
      <c r="D15" s="55"/>
      <c r="E15" s="54" t="e">
        <f>VLOOKUP($K$9,'HY Compile'!$1:$1048576,4,0)</f>
        <v>#N/A</v>
      </c>
      <c r="F15" s="55"/>
      <c r="G15" s="54" t="e">
        <f>VLOOKUP($K$9,'HY Compile'!$1:$1048576,5,0)</f>
        <v>#N/A</v>
      </c>
      <c r="H15" s="55"/>
      <c r="I15" s="54" t="e">
        <f>VLOOKUP($K$9,'HY Compile'!$1:$1048576,6,0)</f>
        <v>#N/A</v>
      </c>
      <c r="J15" s="56"/>
      <c r="K15" s="55"/>
      <c r="L15" s="54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4" t="e">
        <f>VLOOKUP($K$9,'HY Compile'!$1:$1048576,8,0)</f>
        <v>#N/A</v>
      </c>
      <c r="D16" s="55"/>
      <c r="E16" s="54" t="e">
        <f>VLOOKUP($K$9,'HY Compile'!$1:$1048576,9,0)</f>
        <v>#N/A</v>
      </c>
      <c r="F16" s="55"/>
      <c r="G16" s="54" t="e">
        <f>VLOOKUP($K$9,'HY Compile'!$1:$1048576,10,0)</f>
        <v>#N/A</v>
      </c>
      <c r="H16" s="55"/>
      <c r="I16" s="54" t="e">
        <f>VLOOKUP($K$9,'HY Compile'!$1:$1048576,11,0)</f>
        <v>#N/A</v>
      </c>
      <c r="J16" s="56"/>
      <c r="K16" s="55"/>
      <c r="L16" s="54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4" t="e">
        <f>VLOOKUP($K$9,'HY Compile'!$1:$1048576,13,0)</f>
        <v>#N/A</v>
      </c>
      <c r="D17" s="55"/>
      <c r="E17" s="54" t="e">
        <f>VLOOKUP($K$9,'HY Compile'!$1:$1048576,14,0)</f>
        <v>#N/A</v>
      </c>
      <c r="F17" s="55"/>
      <c r="G17" s="54" t="e">
        <f>VLOOKUP($K$9,'HY Compile'!$1:$1048576,15,0)</f>
        <v>#N/A</v>
      </c>
      <c r="H17" s="55"/>
      <c r="I17" s="54" t="e">
        <f>VLOOKUP($K$9,'HY Compile'!$1:$1048576,16,0)</f>
        <v>#N/A</v>
      </c>
      <c r="J17" s="56"/>
      <c r="K17" s="55"/>
      <c r="L17" s="54" t="e">
        <f t="shared" si="0"/>
        <v>#N/A</v>
      </c>
      <c r="M17" s="55"/>
      <c r="N17" s="10"/>
    </row>
    <row r="18" spans="1:14" x14ac:dyDescent="0.3">
      <c r="A18" s="9"/>
      <c r="B18" s="3" t="s">
        <v>102</v>
      </c>
      <c r="C18" s="54" t="e">
        <f>VLOOKUP($K$9,'HY Compile'!$1:$1048576,18,0)</f>
        <v>#N/A</v>
      </c>
      <c r="D18" s="55"/>
      <c r="E18" s="54" t="e">
        <f>VLOOKUP($K$9,'HY Compile'!$1:$1048576,19,0)</f>
        <v>#N/A</v>
      </c>
      <c r="F18" s="55"/>
      <c r="G18" s="54" t="e">
        <f>VLOOKUP($K$9,'HY Compile'!$1:$1048576,20,0)</f>
        <v>#N/A</v>
      </c>
      <c r="H18" s="55"/>
      <c r="I18" s="54" t="e">
        <f>VLOOKUP($K$9,'HY Compile'!$1:$1048576,21,0)</f>
        <v>#N/A</v>
      </c>
      <c r="J18" s="56"/>
      <c r="K18" s="55"/>
      <c r="L18" s="54" t="e">
        <f t="shared" si="0"/>
        <v>#N/A</v>
      </c>
      <c r="M18" s="55"/>
      <c r="N18" s="10"/>
    </row>
    <row r="19" spans="1:14" x14ac:dyDescent="0.3">
      <c r="A19" s="9"/>
      <c r="B19" s="3" t="s">
        <v>103</v>
      </c>
      <c r="C19" s="54" t="e">
        <f>VLOOKUP($K$9,'HY Compile'!$1:$1048576,23,0)</f>
        <v>#N/A</v>
      </c>
      <c r="D19" s="55"/>
      <c r="E19" s="54" t="e">
        <f>VLOOKUP($K$9,'HY Compile'!$1:$1048576,24,0)</f>
        <v>#N/A</v>
      </c>
      <c r="F19" s="55"/>
      <c r="G19" s="54" t="e">
        <f>VLOOKUP($K$9,'HY Compile'!$1:$1048576,25,0)</f>
        <v>#N/A</v>
      </c>
      <c r="H19" s="55"/>
      <c r="I19" s="54" t="e">
        <f>VLOOKUP($K$9,'HY Compile'!$1:$1048576,26,0)</f>
        <v>#N/A</v>
      </c>
      <c r="J19" s="56"/>
      <c r="K19" s="55"/>
      <c r="L19" s="54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104</v>
      </c>
      <c r="C20" s="54" t="e">
        <f>VLOOKUP($K$9,'HY Compile'!$1:$1048576,28,0)</f>
        <v>#N/A</v>
      </c>
      <c r="D20" s="55"/>
      <c r="E20" s="54" t="e">
        <f>VLOOKUP($K$9,'HY Compile'!$1:$1048576,29,0)</f>
        <v>#N/A</v>
      </c>
      <c r="F20" s="55"/>
      <c r="G20" s="54" t="e">
        <f>VLOOKUP($K$9,'HY Compile'!$1:$1048576,30,0)</f>
        <v>#N/A</v>
      </c>
      <c r="H20" s="55"/>
      <c r="I20" s="54" t="e">
        <f>VLOOKUP($K$9,'HY Compile'!$1:$1048576,31,0)</f>
        <v>#N/A</v>
      </c>
      <c r="J20" s="56"/>
      <c r="K20" s="55"/>
      <c r="L20" s="54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4" t="e">
        <f>VLOOKUP($K$9,'HY Compile'!$1:$1048576,33,0)</f>
        <v>#N/A</v>
      </c>
      <c r="D21" s="55"/>
      <c r="E21" s="54" t="e">
        <f>VLOOKUP($K$9,'HY Compile'!$1:$1048576,34,0)</f>
        <v>#N/A</v>
      </c>
      <c r="F21" s="55"/>
      <c r="G21" s="54" t="e">
        <f>VLOOKUP($K$9,'HY Compile'!$1:$1048576,35,0)</f>
        <v>#N/A</v>
      </c>
      <c r="H21" s="55"/>
      <c r="I21" s="54" t="e">
        <f>VLOOKUP($K$9,'HY Compile'!$1:$1048576,36,0)</f>
        <v>#N/A</v>
      </c>
      <c r="J21" s="56"/>
      <c r="K21" s="55"/>
      <c r="L21" s="54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VLOOKUP($K$9,'HY Compile'!$1:$1048576,43,0)</f>
        <v>#N/A</v>
      </c>
      <c r="D23" s="70" t="e">
        <f>VLOOKUP($K$9,'HY Compile'!$1:$1048576,44,0)</f>
        <v>#N/A</v>
      </c>
      <c r="J23" s="20" t="s">
        <v>35</v>
      </c>
      <c r="K23" s="21"/>
      <c r="L23" s="71" t="e">
        <f>ROUND(SUM(L15:M21)/7,2)&amp;"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VLOOKUP($K$9,'HY Compile'!$1:$1048576,38,0)</f>
        <v>#N/A</v>
      </c>
      <c r="D24" s="70" t="e">
        <f>VLOOKUP($K$9,'HY Compile'!$1:$1048576,38,0)</f>
        <v>#N/A</v>
      </c>
      <c r="J24" s="20" t="s">
        <v>36</v>
      </c>
      <c r="K24" s="21"/>
      <c r="L24" s="71" t="e">
        <f>SUM(L15:M21)&amp; "/700"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54" t="e">
        <f>VLOOKUP($K$9,'HY Compile'!$1:$1048576,38,0)</f>
        <v>#N/A</v>
      </c>
      <c r="L28" s="56"/>
      <c r="M28" s="55"/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54" t="e">
        <f>VLOOKUP($K$9,'HY Compile'!$1:$1048576,39,0)</f>
        <v>#N/A</v>
      </c>
      <c r="L29" s="56"/>
      <c r="M29" s="55"/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54" t="e">
        <f>VLOOKUP($K$9,'HY Compile'!$1:$1048576,40,0)</f>
        <v>#N/A</v>
      </c>
      <c r="L30" s="56"/>
      <c r="M30" s="55"/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54" t="e">
        <f>VLOOKUP($K$9,'HY Compile'!$1:$1048576,41,0)</f>
        <v>#N/A</v>
      </c>
      <c r="L31" s="56"/>
      <c r="M31" s="55"/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54" t="e">
        <f>VLOOKUP($K$9,'HY Compile'!$1:$1048576,42,0)</f>
        <v>#N/A</v>
      </c>
      <c r="L32" s="56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108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"&amp;VLOOKUP($K$9,'HY Compile'!$1:$1048576,45,0)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N39" s="10"/>
    </row>
    <row r="40" spans="1:14" x14ac:dyDescent="0.3">
      <c r="A40" s="9"/>
      <c r="B40" s="57" t="s">
        <v>97</v>
      </c>
      <c r="C40" s="57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B38:M38"/>
    <mergeCell ref="B40:C40"/>
    <mergeCell ref="D34:E34"/>
    <mergeCell ref="F34:G34"/>
    <mergeCell ref="H34:I34"/>
    <mergeCell ref="J34:K34"/>
    <mergeCell ref="L34:M34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23:B24"/>
    <mergeCell ref="C23:C24"/>
    <mergeCell ref="D23:D24"/>
    <mergeCell ref="C21:D21"/>
    <mergeCell ref="C20:D20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K10:M10"/>
    <mergeCell ref="C10:G10"/>
    <mergeCell ref="I10:J10"/>
    <mergeCell ref="C11:G11"/>
    <mergeCell ref="I11:J11"/>
    <mergeCell ref="K11:M11"/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1633</v>
      </c>
      <c r="B4" s="29" t="str">
        <f>DETAILS!B3</f>
        <v>AADVIK SRIVASTAVA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1119</v>
      </c>
      <c r="B5" s="3" t="str">
        <f>DETAILS!B4</f>
        <v>AARYASH SONI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1407</v>
      </c>
      <c r="B6" s="3" t="str">
        <f>DETAILS!B5</f>
        <v>AKSHAY DUBEY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1077</v>
      </c>
      <c r="B7" s="3" t="str">
        <f>DETAILS!B6</f>
        <v>ALISHA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1210</v>
      </c>
      <c r="B8" s="3" t="str">
        <f>DETAILS!B7</f>
        <v>ANJALI JHA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1286</v>
      </c>
      <c r="B9" s="3" t="str">
        <f>DETAILS!B8</f>
        <v>AROHI JAISWAL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1862</v>
      </c>
      <c r="B10" s="3" t="str">
        <f>DETAILS!B9</f>
        <v>ASHUTOSH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1684</v>
      </c>
      <c r="B11" s="3" t="str">
        <f>DETAILS!B10</f>
        <v>AYUSH GUPTA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1662</v>
      </c>
      <c r="B12" s="3" t="str">
        <f>DETAILS!B11</f>
        <v>AYUSH KUMAR YOGI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1602</v>
      </c>
      <c r="B13" s="3" t="str">
        <f>DETAILS!B12</f>
        <v>AYUSHI MISHRA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1842</v>
      </c>
      <c r="B14" s="3" t="str">
        <f>DETAILS!B13</f>
        <v>DEEPANSH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1127</v>
      </c>
      <c r="B15" s="3" t="str">
        <f>DETAILS!B14</f>
        <v>DIKSHA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1128</v>
      </c>
      <c r="B16" s="3" t="str">
        <f>DETAILS!B15</f>
        <v>DIVYANSHI KANAUJIA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1129</v>
      </c>
      <c r="B17" s="3" t="str">
        <f>DETAILS!B16</f>
        <v>KARTIKEY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1655</v>
      </c>
      <c r="B18" s="3" t="str">
        <f>DETAILS!B17</f>
        <v>KRISHNA KUMAR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1378</v>
      </c>
      <c r="B19" s="3" t="str">
        <f>DETAILS!B18</f>
        <v>KRISHNA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1606</v>
      </c>
      <c r="B20" s="3" t="str">
        <f>DETAILS!B19</f>
        <v>KRISHNA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1643</v>
      </c>
      <c r="B21" s="3" t="str">
        <f>DETAILS!B20</f>
        <v>KRISHNA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1377</v>
      </c>
      <c r="B22" s="3" t="str">
        <f>DETAILS!B21</f>
        <v>LATIKA GUPTA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1659</v>
      </c>
      <c r="B23" s="3" t="str">
        <f>DETAILS!B22</f>
        <v>MANSI GUPTA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1288</v>
      </c>
      <c r="B24" s="3" t="str">
        <f>DETAILS!B23</f>
        <v>MANVI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1131</v>
      </c>
      <c r="B25" s="3" t="str">
        <f>DETAILS!B24</f>
        <v>MOHD SAMEER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1113</v>
      </c>
      <c r="B26" s="3" t="str">
        <f>DETAILS!B25</f>
        <v>MOHD ZUHAIB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1501</v>
      </c>
      <c r="B27" s="3" t="str">
        <f>DETAILS!B26</f>
        <v>NISHANT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1482</v>
      </c>
      <c r="B28" s="3" t="str">
        <f>DETAILS!B27</f>
        <v>PRAVLEEN KAUR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1230</v>
      </c>
      <c r="B29" s="3" t="str">
        <f>DETAILS!B28</f>
        <v>PRITHVE RAJ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1395</v>
      </c>
      <c r="B30" s="3" t="str">
        <f>DETAILS!B29</f>
        <v>RASHI PANDEY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1897</v>
      </c>
      <c r="B31" s="3" t="str">
        <f>DETAILS!B30</f>
        <v>RIYA SATISH KARPE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1295</v>
      </c>
      <c r="B32" s="3" t="str">
        <f>DETAILS!B31</f>
        <v>RIYA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1728</v>
      </c>
      <c r="B33" s="3" t="str">
        <f>DETAILS!B32</f>
        <v>SAMAR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1660</v>
      </c>
      <c r="B34" s="3" t="str">
        <f>DETAILS!B33</f>
        <v>SAMARTH SRIVASTAVA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1942</v>
      </c>
      <c r="B35" s="3" t="str">
        <f>DETAILS!B34</f>
        <v>SHAGUN SHUKLA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1666</v>
      </c>
      <c r="B36" s="3" t="str">
        <f>DETAILS!B35</f>
        <v>SHAURYA RAWAT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1823</v>
      </c>
      <c r="B37" s="3" t="str">
        <f>DETAILS!B36</f>
        <v>SHIVIKA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1848</v>
      </c>
      <c r="B38" s="3" t="str">
        <f>DETAILS!B37</f>
        <v>SHRUTI KUMARI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1137</v>
      </c>
      <c r="B39" s="3" t="str">
        <f>DETAILS!B38</f>
        <v>SONALI YADAV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1795</v>
      </c>
      <c r="B40" s="3" t="str">
        <f>DETAILS!B39</f>
        <v>TEJASVA TRIPATHI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990</v>
      </c>
      <c r="B41" s="3" t="str">
        <f>DETAILS!B40</f>
        <v>TRISHA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1860</v>
      </c>
      <c r="B42" s="3" t="str">
        <f>DETAILS!B41</f>
        <v>VIKAS VERMA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1633</v>
      </c>
      <c r="B4" s="3" t="str">
        <f>DETAILS!B3</f>
        <v>AADVIK SRIVASTAVA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1119</v>
      </c>
      <c r="B5" s="3" t="str">
        <f>DETAILS!B4</f>
        <v>AARYASH SONI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1407</v>
      </c>
      <c r="B6" s="3" t="str">
        <f>DETAILS!B5</f>
        <v>AKSHAY DUBEY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1077</v>
      </c>
      <c r="B7" s="3" t="str">
        <f>DETAILS!B6</f>
        <v>ALISHA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1210</v>
      </c>
      <c r="B8" s="3" t="str">
        <f>DETAILS!B7</f>
        <v>ANJALI JHA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1286</v>
      </c>
      <c r="B9" s="3" t="str">
        <f>DETAILS!B8</f>
        <v>AROHI JAISWAL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1862</v>
      </c>
      <c r="B10" s="3" t="str">
        <f>DETAILS!B9</f>
        <v>ASHUTOSH MISHRA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1684</v>
      </c>
      <c r="B11" s="3" t="str">
        <f>DETAILS!B10</f>
        <v>AYUSH GUPTA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1662</v>
      </c>
      <c r="B12" s="3" t="str">
        <f>DETAILS!B11</f>
        <v>AYUSH KUMAR YOGI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1602</v>
      </c>
      <c r="B13" s="3" t="str">
        <f>DETAILS!B12</f>
        <v>AYUSHI MISHRA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1842</v>
      </c>
      <c r="B14" s="3" t="str">
        <f>DETAILS!B13</f>
        <v>DEEPANSH YADAV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1127</v>
      </c>
      <c r="B15" s="3" t="str">
        <f>DETAILS!B14</f>
        <v>DIKSHA MISHRA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1128</v>
      </c>
      <c r="B16" s="3" t="str">
        <f>DETAILS!B15</f>
        <v>DIVYANSHI KANAUJIA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1129</v>
      </c>
      <c r="B17" s="3" t="str">
        <f>DETAILS!B16</f>
        <v>KARTIKEY YADAV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1655</v>
      </c>
      <c r="B18" s="3" t="str">
        <f>DETAILS!B17</f>
        <v>KRISHNA KUMAR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1378</v>
      </c>
      <c r="B19" s="3" t="str">
        <f>DETAILS!B18</f>
        <v>KRISHNA SINGH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1606</v>
      </c>
      <c r="B20" s="3" t="str">
        <f>DETAILS!B19</f>
        <v>KRISHNA SINGH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1643</v>
      </c>
      <c r="B21" s="3" t="str">
        <f>DETAILS!B20</f>
        <v>KRISHNA SINGH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1377</v>
      </c>
      <c r="B22" s="3" t="str">
        <f>DETAILS!B21</f>
        <v>LATIKA GUPTA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1659</v>
      </c>
      <c r="B23" s="3" t="str">
        <f>DETAILS!B22</f>
        <v>MANSI GUPTA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1288</v>
      </c>
      <c r="B24" s="3" t="str">
        <f>DETAILS!B23</f>
        <v>MANVI SINGH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1131</v>
      </c>
      <c r="B25" s="3" t="str">
        <f>DETAILS!B24</f>
        <v>MOHD SAMEER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1113</v>
      </c>
      <c r="B26" s="3" t="str">
        <f>DETAILS!B25</f>
        <v>MOHD ZUHAIB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1501</v>
      </c>
      <c r="B27" s="3" t="str">
        <f>DETAILS!B26</f>
        <v>NISHANT YADAV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1482</v>
      </c>
      <c r="B28" s="3" t="str">
        <f>DETAILS!B27</f>
        <v>PRAVLEEN KAUR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1230</v>
      </c>
      <c r="B29" s="3" t="str">
        <f>DETAILS!B28</f>
        <v>PRITHVE RAJ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1395</v>
      </c>
      <c r="B30" s="3" t="str">
        <f>DETAILS!B29</f>
        <v>RASHI PANDEY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1897</v>
      </c>
      <c r="B31" s="3" t="str">
        <f>DETAILS!B30</f>
        <v>RIYA SATISH KARPE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1295</v>
      </c>
      <c r="B32" s="3" t="str">
        <f>DETAILS!B31</f>
        <v>RIYA SINGH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1728</v>
      </c>
      <c r="B33" s="3" t="str">
        <f>DETAILS!B32</f>
        <v>SAMAR SINGH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1660</v>
      </c>
      <c r="B34" s="3" t="str">
        <f>DETAILS!B33</f>
        <v>SAMARTH SRIVASTAVA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1942</v>
      </c>
      <c r="B35" s="3" t="str">
        <f>DETAILS!B34</f>
        <v>SHAGUN SHUKLA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1666</v>
      </c>
      <c r="B36" s="3" t="str">
        <f>DETAILS!B35</f>
        <v>SHAURYA RAWAT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1823</v>
      </c>
      <c r="B37" s="3" t="str">
        <f>DETAILS!B36</f>
        <v>SHIVIKA SRIVASTAVA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1848</v>
      </c>
      <c r="B38" s="3" t="str">
        <f>DETAILS!B37</f>
        <v>SHRUTI KUMARI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1137</v>
      </c>
      <c r="B39" s="3" t="str">
        <f>DETAILS!B38</f>
        <v>SONALI YADAV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1795</v>
      </c>
      <c r="B40" s="3" t="str">
        <f>DETAILS!B39</f>
        <v>TEJASVA TRIPATHI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990</v>
      </c>
      <c r="B41" s="3" t="str">
        <f>DETAILS!B40</f>
        <v>TRISHA YADAV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1860</v>
      </c>
      <c r="B42" s="3" t="str">
        <f>DETAILS!B41</f>
        <v>VIKAS VERMA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111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1633</v>
      </c>
      <c r="B3" s="3" t="str">
        <f>DETAILS!B3</f>
        <v>AADVIK SRIVASTAVA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1119</v>
      </c>
      <c r="B4" s="3" t="str">
        <f>DETAILS!B4</f>
        <v>AARYASH SONI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1407</v>
      </c>
      <c r="B5" s="3" t="str">
        <f>DETAILS!B5</f>
        <v>AKSHAY DUBEY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1077</v>
      </c>
      <c r="B6" s="3" t="str">
        <f>DETAILS!B6</f>
        <v>ALISHA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1210</v>
      </c>
      <c r="B7" s="3" t="str">
        <f>DETAILS!B7</f>
        <v>ANJALI JHA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1286</v>
      </c>
      <c r="B8" s="3" t="str">
        <f>DETAILS!B8</f>
        <v>AROHI JAISWAL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1862</v>
      </c>
      <c r="B9" s="3" t="str">
        <f>DETAILS!B9</f>
        <v>ASHUTOSH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1684</v>
      </c>
      <c r="B10" s="3" t="str">
        <f>DETAILS!B10</f>
        <v>AYUSH GUPTA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1662</v>
      </c>
      <c r="B11" s="3" t="str">
        <f>DETAILS!B11</f>
        <v>AYUSH KUMAR YOGI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1602</v>
      </c>
      <c r="B12" s="3" t="str">
        <f>DETAILS!B12</f>
        <v>AYUSHI MISHRA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1842</v>
      </c>
      <c r="B13" s="3" t="str">
        <f>DETAILS!B13</f>
        <v>DEEPANSH YADAV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1127</v>
      </c>
      <c r="B14" s="3" t="str">
        <f>DETAILS!B14</f>
        <v>DIKSHA MISHRA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1128</v>
      </c>
      <c r="B15" s="3" t="str">
        <f>DETAILS!B15</f>
        <v>DIVYANSHI KANAUJIA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1129</v>
      </c>
      <c r="B16" s="3" t="str">
        <f>DETAILS!B16</f>
        <v>KARTIKEY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1655</v>
      </c>
      <c r="B17" s="3" t="str">
        <f>DETAILS!B17</f>
        <v>KRISHNA KUMAR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1378</v>
      </c>
      <c r="B18" s="3" t="str">
        <f>DETAILS!B18</f>
        <v>KRISHNA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1606</v>
      </c>
      <c r="B19" s="3" t="str">
        <f>DETAILS!B19</f>
        <v>KRISHNA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1643</v>
      </c>
      <c r="B20" s="3" t="str">
        <f>DETAILS!B20</f>
        <v>KRISHNA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1377</v>
      </c>
      <c r="B21" s="3" t="str">
        <f>DETAILS!B21</f>
        <v>LATIKA GUPTA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1659</v>
      </c>
      <c r="B22" s="3" t="str">
        <f>DETAILS!B22</f>
        <v>MANSI GUPTA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1288</v>
      </c>
      <c r="B23" s="3" t="str">
        <f>DETAILS!B23</f>
        <v>MANVI SINGH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1131</v>
      </c>
      <c r="B24" s="3" t="str">
        <f>DETAILS!B24</f>
        <v>MOHD SAMEER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1113</v>
      </c>
      <c r="B25" s="3" t="str">
        <f>DETAILS!B25</f>
        <v>MOHD ZUHAIB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1501</v>
      </c>
      <c r="B26" s="3" t="str">
        <f>DETAILS!B26</f>
        <v>NISHANT YADAV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1482</v>
      </c>
      <c r="B27" s="3" t="str">
        <f>DETAILS!B27</f>
        <v>PRAVLEEN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1230</v>
      </c>
      <c r="B28" s="3" t="str">
        <f>DETAILS!B28</f>
        <v>PRITHVE RAJ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1395</v>
      </c>
      <c r="B29" s="3" t="str">
        <f>DETAILS!B29</f>
        <v>RASHI PANDEY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1897</v>
      </c>
      <c r="B30" s="3" t="str">
        <f>DETAILS!B30</f>
        <v>RIYA SATISH KARPE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1295</v>
      </c>
      <c r="B31" s="3" t="str">
        <f>DETAILS!B31</f>
        <v>RIYA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1728</v>
      </c>
      <c r="B32" s="3" t="str">
        <f>DETAILS!B32</f>
        <v>SAMAR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1660</v>
      </c>
      <c r="B33" s="3" t="str">
        <f>DETAILS!B33</f>
        <v>SAMARTH SRIVASTAVA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1942</v>
      </c>
      <c r="B34" s="3" t="str">
        <f>DETAILS!B34</f>
        <v>SHAGUN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1666</v>
      </c>
      <c r="B35" s="3" t="str">
        <f>DETAILS!B35</f>
        <v>SHAURYA RAWAT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1823</v>
      </c>
      <c r="B36" s="3" t="str">
        <f>DETAILS!B36</f>
        <v>SHIVIKA SRIVASTAVA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1848</v>
      </c>
      <c r="B37" s="3" t="str">
        <f>DETAILS!B37</f>
        <v>SHRUTI KUMARI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1137</v>
      </c>
      <c r="B38" s="3" t="str">
        <f>DETAILS!B38</f>
        <v>SONALI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1795</v>
      </c>
      <c r="B39" s="3" t="str">
        <f>DETAILS!B39</f>
        <v>TEJASVA TRIPATHI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990</v>
      </c>
      <c r="B40" s="3" t="str">
        <f>DETAILS!B40</f>
        <v>TRISHA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1860</v>
      </c>
      <c r="B41" s="3" t="str">
        <f>DETAILS!B41</f>
        <v>VIKAS VERMA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1633</v>
      </c>
      <c r="B3" s="3" t="str">
        <f>DETAILS!B3</f>
        <v>AADVIK SRIVASTAVA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1119</v>
      </c>
      <c r="B4" s="3" t="str">
        <f>DETAILS!B4</f>
        <v>AARYASH SONI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1407</v>
      </c>
      <c r="B5" s="3" t="str">
        <f>DETAILS!B5</f>
        <v>AKSHAY DUBEY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1077</v>
      </c>
      <c r="B6" s="3" t="str">
        <f>DETAILS!B6</f>
        <v>ALISHA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1210</v>
      </c>
      <c r="B7" s="3" t="str">
        <f>DETAILS!B7</f>
        <v>ANJALI JHA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1286</v>
      </c>
      <c r="B8" s="3" t="str">
        <f>DETAILS!B8</f>
        <v>AROHI JAISWAL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1862</v>
      </c>
      <c r="B9" s="3" t="str">
        <f>DETAILS!B9</f>
        <v>ASHUTOSH MISHRA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1684</v>
      </c>
      <c r="B10" s="3" t="str">
        <f>DETAILS!B10</f>
        <v>AYUSH GUPTA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1662</v>
      </c>
      <c r="B11" s="3" t="str">
        <f>DETAILS!B11</f>
        <v>AYUSH KUMAR YOGI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1602</v>
      </c>
      <c r="B12" s="3" t="str">
        <f>DETAILS!B12</f>
        <v>AYUSHI MISHRA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1842</v>
      </c>
      <c r="B13" s="3" t="str">
        <f>DETAILS!B13</f>
        <v>DEEPANSH YADAV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1127</v>
      </c>
      <c r="B14" s="3" t="str">
        <f>DETAILS!B14</f>
        <v>DIKSHA MISHRA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1128</v>
      </c>
      <c r="B15" s="3" t="str">
        <f>DETAILS!B15</f>
        <v>DIVYANSHI KANAUJIA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1129</v>
      </c>
      <c r="B16" s="3" t="str">
        <f>DETAILS!B16</f>
        <v>KARTIKEY YADAV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1655</v>
      </c>
      <c r="B17" s="3" t="str">
        <f>DETAILS!B17</f>
        <v>KRISHNA KUMAR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1378</v>
      </c>
      <c r="B18" s="3" t="str">
        <f>DETAILS!B18</f>
        <v>KRISHNA SINGH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1606</v>
      </c>
      <c r="B19" s="3" t="str">
        <f>DETAILS!B19</f>
        <v>KRISHNA SINGH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1643</v>
      </c>
      <c r="B20" s="3" t="str">
        <f>DETAILS!B20</f>
        <v>KRISHNA SINGH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1377</v>
      </c>
      <c r="B21" s="3" t="str">
        <f>DETAILS!B21</f>
        <v>LATIKA GUPTA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1659</v>
      </c>
      <c r="B22" s="3" t="str">
        <f>DETAILS!B22</f>
        <v>MANSI GUPTA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1288</v>
      </c>
      <c r="B23" s="3" t="str">
        <f>DETAILS!B23</f>
        <v>MANVI SINGH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1131</v>
      </c>
      <c r="B24" s="3" t="str">
        <f>DETAILS!B24</f>
        <v>MOHD SAMEER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1113</v>
      </c>
      <c r="B25" s="3" t="str">
        <f>DETAILS!B25</f>
        <v>MOHD ZUHAIB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1501</v>
      </c>
      <c r="B26" s="3" t="str">
        <f>DETAILS!B26</f>
        <v>NISHANT YADAV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1482</v>
      </c>
      <c r="B27" s="3" t="str">
        <f>DETAILS!B27</f>
        <v>PRAVLEEN KAUR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1230</v>
      </c>
      <c r="B28" s="3" t="str">
        <f>DETAILS!B28</f>
        <v>PRITHVE RAJ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1395</v>
      </c>
      <c r="B29" s="3" t="str">
        <f>DETAILS!B29</f>
        <v>RASHI PANDEY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1897</v>
      </c>
      <c r="B30" s="3" t="str">
        <f>DETAILS!B30</f>
        <v>RIYA SATISH KARPE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1295</v>
      </c>
      <c r="B31" s="3" t="str">
        <f>DETAILS!B31</f>
        <v>RIYA SINGH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1728</v>
      </c>
      <c r="B32" s="3" t="str">
        <f>DETAILS!B32</f>
        <v>SAMAR SINGH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1660</v>
      </c>
      <c r="B33" s="3" t="str">
        <f>DETAILS!B33</f>
        <v>SAMARTH SRIVASTAVA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1942</v>
      </c>
      <c r="B34" s="3" t="str">
        <f>DETAILS!B34</f>
        <v>SHAGUN SHUKLA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1666</v>
      </c>
      <c r="B35" s="3" t="str">
        <f>DETAILS!B35</f>
        <v>SHAURYA RAWAT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1823</v>
      </c>
      <c r="B36" s="3" t="str">
        <f>DETAILS!B36</f>
        <v>SHIVIKA SRIVASTAVA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1848</v>
      </c>
      <c r="B37" s="3" t="str">
        <f>DETAILS!B37</f>
        <v>SHRUTI KUMARI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1137</v>
      </c>
      <c r="B38" s="3" t="str">
        <f>DETAILS!B38</f>
        <v>SONALI YADAV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1795</v>
      </c>
      <c r="B39" s="3" t="str">
        <f>DETAILS!B39</f>
        <v>TEJASVA TRIPATHI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990</v>
      </c>
      <c r="B40" s="3" t="str">
        <f>DETAILS!B40</f>
        <v>TRISHA YADAV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1860</v>
      </c>
      <c r="B41" s="3" t="str">
        <f>DETAILS!B41</f>
        <v>VIKAS VERMA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102</v>
      </c>
      <c r="AH2" s="40"/>
      <c r="AI2" s="40"/>
      <c r="AJ2" s="40"/>
      <c r="AK2" s="40"/>
      <c r="AL2" s="40"/>
      <c r="AM2" s="40"/>
      <c r="AN2" s="40"/>
      <c r="AO2" s="40"/>
      <c r="AP2" s="40"/>
      <c r="AQ2" s="48" t="s">
        <v>103</v>
      </c>
      <c r="AR2" s="49"/>
      <c r="AS2" s="49"/>
      <c r="AT2" s="49"/>
      <c r="AU2" s="49"/>
      <c r="AV2" s="49"/>
      <c r="AW2" s="49"/>
      <c r="AX2" s="49"/>
      <c r="AY2" s="49"/>
      <c r="AZ2" s="50"/>
      <c r="BA2" s="48" t="s">
        <v>104</v>
      </c>
      <c r="BB2" s="49"/>
      <c r="BC2" s="49"/>
      <c r="BD2" s="49"/>
      <c r="BE2" s="49"/>
      <c r="BF2" s="49"/>
      <c r="BG2" s="49"/>
      <c r="BH2" s="49"/>
      <c r="BI2" s="49"/>
      <c r="BJ2" s="50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52" t="s">
        <v>57</v>
      </c>
      <c r="BV2" s="52" t="s">
        <v>58</v>
      </c>
      <c r="BW2" s="52" t="s">
        <v>61</v>
      </c>
      <c r="BX2" s="52" t="s">
        <v>59</v>
      </c>
      <c r="BY2" s="52" t="s">
        <v>60</v>
      </c>
      <c r="BZ2" s="52" t="s">
        <v>62</v>
      </c>
      <c r="CA2" s="52" t="s">
        <v>63</v>
      </c>
      <c r="CB2" s="52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2"/>
      <c r="BV3" s="52"/>
      <c r="BW3" s="52"/>
      <c r="BX3" s="52"/>
      <c r="BY3" s="52"/>
      <c r="BZ3" s="52"/>
      <c r="CA3" s="52"/>
      <c r="CB3" s="52"/>
      <c r="CC3" s="80"/>
      <c r="CD3" s="81"/>
    </row>
    <row r="4" spans="1:82" x14ac:dyDescent="0.3">
      <c r="A4" s="23">
        <f>DETAILS!A3</f>
        <v>1633</v>
      </c>
      <c r="B4" s="23" t="str">
        <f>DETAILS!B3</f>
        <v>AADVIK SRIVASTAVA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1119</v>
      </c>
      <c r="B5" s="23" t="str">
        <f>DETAILS!B4</f>
        <v>AARYASH SONI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1407</v>
      </c>
      <c r="B6" s="23" t="str">
        <f>DETAILS!B5</f>
        <v>AKSHAY DUBEY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1077</v>
      </c>
      <c r="B7" s="23" t="str">
        <f>DETAILS!B6</f>
        <v>ALISHA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1210</v>
      </c>
      <c r="B8" s="23" t="str">
        <f>DETAILS!B7</f>
        <v>ANJALI JHA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1286</v>
      </c>
      <c r="B9" s="23" t="str">
        <f>DETAILS!B8</f>
        <v>AROHI JAISWAL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1862</v>
      </c>
      <c r="B10" s="23" t="str">
        <f>DETAILS!B9</f>
        <v>ASHUTOSH MISHRA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1684</v>
      </c>
      <c r="B11" s="23" t="str">
        <f>DETAILS!B10</f>
        <v>AYUSH GUPTA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1662</v>
      </c>
      <c r="B12" s="23" t="str">
        <f>DETAILS!B11</f>
        <v>AYUSH KUMAR YOGI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1602</v>
      </c>
      <c r="B13" s="23" t="str">
        <f>DETAILS!B12</f>
        <v>AYUSHI MISHRA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1842</v>
      </c>
      <c r="B14" s="23" t="str">
        <f>DETAILS!B13</f>
        <v>DEEPANSH YADAV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1127</v>
      </c>
      <c r="B15" s="23" t="str">
        <f>DETAILS!B14</f>
        <v>DIKSHA MISHRA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1128</v>
      </c>
      <c r="B16" s="23" t="str">
        <f>DETAILS!B15</f>
        <v>DIVYANSHI KANAUJIA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1129</v>
      </c>
      <c r="B17" s="23" t="str">
        <f>DETAILS!B16</f>
        <v>KARTIKEY YADAV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1655</v>
      </c>
      <c r="B18" s="23" t="str">
        <f>DETAILS!B17</f>
        <v>KRISHNA KUMAR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1378</v>
      </c>
      <c r="B19" s="23" t="str">
        <f>DETAILS!B18</f>
        <v>KRISHNA SINGH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1606</v>
      </c>
      <c r="B20" s="23" t="str">
        <f>DETAILS!B19</f>
        <v>KRISHNA SINGH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1643</v>
      </c>
      <c r="B21" s="23" t="str">
        <f>DETAILS!B20</f>
        <v>KRISHNA SINGH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1377</v>
      </c>
      <c r="B22" s="23" t="str">
        <f>DETAILS!B21</f>
        <v>LATIKA GUPTA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1659</v>
      </c>
      <c r="B23" s="23" t="str">
        <f>DETAILS!B22</f>
        <v>MANSI GUPTA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1288</v>
      </c>
      <c r="B24" s="23" t="str">
        <f>DETAILS!B23</f>
        <v>MANVI SINGH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1131</v>
      </c>
      <c r="B25" s="23" t="str">
        <f>DETAILS!B24</f>
        <v>MOHD SAMEER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1113</v>
      </c>
      <c r="B26" s="23" t="str">
        <f>DETAILS!B25</f>
        <v>MOHD ZUHAIB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1501</v>
      </c>
      <c r="B27" s="23" t="str">
        <f>DETAILS!B26</f>
        <v>NISHANT YADAV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1482</v>
      </c>
      <c r="B28" s="23" t="str">
        <f>DETAILS!B27</f>
        <v>PRAVLEEN KAUR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1230</v>
      </c>
      <c r="B29" s="23" t="str">
        <f>DETAILS!B28</f>
        <v>PRITHVE RAJ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1395</v>
      </c>
      <c r="B30" s="23" t="str">
        <f>DETAILS!B29</f>
        <v>RASHI PANDEY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1897</v>
      </c>
      <c r="B31" s="23" t="str">
        <f>DETAILS!B30</f>
        <v>RIYA SATISH KARPE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1295</v>
      </c>
      <c r="B32" s="23" t="str">
        <f>DETAILS!B31</f>
        <v>RIYA SINGH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1728</v>
      </c>
      <c r="B33" s="23" t="str">
        <f>DETAILS!B32</f>
        <v>SAMAR SINGH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1660</v>
      </c>
      <c r="B34" s="23" t="str">
        <f>DETAILS!B33</f>
        <v>SAMARTH SRIVASTAVA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1942</v>
      </c>
      <c r="B35" s="23" t="str">
        <f>DETAILS!B34</f>
        <v>SHAGUN SHUKLA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1666</v>
      </c>
      <c r="B36" s="23" t="str">
        <f>DETAILS!B35</f>
        <v>SHAURYA RAWAT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1823</v>
      </c>
      <c r="B37" s="23" t="str">
        <f>DETAILS!B36</f>
        <v>SHIVIKA SRIVASTAVA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1848</v>
      </c>
      <c r="B38" s="23" t="str">
        <f>DETAILS!B37</f>
        <v>SHRUTI KUMARI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1137</v>
      </c>
      <c r="B39" s="23" t="str">
        <f>DETAILS!B38</f>
        <v>SONALI YADAV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1795</v>
      </c>
      <c r="B40" s="23" t="str">
        <f>DETAILS!B39</f>
        <v>TEJASVA TRIPATHI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990</v>
      </c>
      <c r="B41" s="23" t="str">
        <f>DETAILS!B40</f>
        <v>TRISHA YADAV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1860</v>
      </c>
      <c r="B42" s="23" t="str">
        <f>DETAILS!B41</f>
        <v>VIKAS VERMA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  <mergeCell ref="BA2:BJ2"/>
    <mergeCell ref="A2:A3"/>
    <mergeCell ref="B2:B3"/>
    <mergeCell ref="C2:L2"/>
    <mergeCell ref="CC2:CC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8" zoomScale="85" zoomScaleNormal="85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3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VLOOKUP($K$9,'COMPILE REPORT'!$1:$1048576,78,0)</f>
        <v>#N/A</v>
      </c>
      <c r="D23" s="70" t="e">
        <f>VLOOKUP($K$9,'COMPILE REPORT'!$1:$1048576,79,0)</f>
        <v>#N/A</v>
      </c>
      <c r="J23" s="20" t="s">
        <v>35</v>
      </c>
      <c r="K23" s="21"/>
      <c r="L23" s="71" t="e">
        <f>ROUND(SUM(M15:M21)/14,2)&amp;"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VLOOKUP($K$9,'COMPILE REPORT'!$1:$1048576,53,0)</f>
        <v>#N/A</v>
      </c>
      <c r="D24" s="70" t="e">
        <f>VLOOKUP($K$9,'COMPILE REPORT'!$1:$1048576,53,0)</f>
        <v>#N/A</v>
      </c>
      <c r="J24" s="20" t="s">
        <v>36</v>
      </c>
      <c r="K24" s="21"/>
      <c r="L24" s="71" t="e">
        <f>SUM(M15:M21)&amp; "/1400"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82" t="e">
        <f>VLOOKUP($K$9,'COMPILE REPORT'!$1:$1048576,73,0)</f>
        <v>#N/A</v>
      </c>
      <c r="L28" s="82" t="e">
        <f>VLOOKUP($K$9,'COMPILE REPORT'!$1:$1048576,61,0)</f>
        <v>#N/A</v>
      </c>
      <c r="M28" s="82" t="e">
        <f>VLOOKUP($K$9,'COMPILE REPORT'!$1:$1048576,61,0)</f>
        <v>#N/A</v>
      </c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82" t="e">
        <f>VLOOKUP($K$9,'COMPILE REPORT'!$1:$1048576,74,0)</f>
        <v>#N/A</v>
      </c>
      <c r="L29" s="82" t="e">
        <f>VLOOKUP($K$9,'COMPILE REPORT'!$1:$1048576,61,0)</f>
        <v>#N/A</v>
      </c>
      <c r="M29" s="82" t="e">
        <f>VLOOKUP($K$9,'COMPILE REPORT'!$1:$1048576,61,0)</f>
        <v>#N/A</v>
      </c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82" t="e">
        <f>VLOOKUP($K$9,'COMPILE REPORT'!$1:$1048576,75,0)</f>
        <v>#N/A</v>
      </c>
      <c r="L30" s="82" t="e">
        <f>VLOOKUP($K$9,'COMPILE REPORT'!$1:$1048576,61,0)</f>
        <v>#N/A</v>
      </c>
      <c r="M30" s="82" t="e">
        <f>VLOOKUP($K$9,'COMPILE REPORT'!$1:$1048576,61,0)</f>
        <v>#N/A</v>
      </c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82" t="e">
        <f>VLOOKUP($K$9,'COMPILE REPORT'!$1:$1048576,76,0)</f>
        <v>#N/A</v>
      </c>
      <c r="L31" s="82" t="e">
        <f>VLOOKUP($K$9,'COMPILE REPORT'!$1:$1048576,61,0)</f>
        <v>#N/A</v>
      </c>
      <c r="M31" s="82" t="e">
        <f>VLOOKUP($K$9,'COMPILE REPORT'!$1:$1048576,61,0)</f>
        <v>#N/A</v>
      </c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82" t="e">
        <f>VLOOKUP($K$9,'COMPILE REPORT'!$1:$1048576,77,0)</f>
        <v>#N/A</v>
      </c>
      <c r="L32" s="82" t="e">
        <f>VLOOKUP($K$9,'COMPILE REPORT'!$1:$1048576,61,0)</f>
        <v>#N/A</v>
      </c>
      <c r="M32" s="82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28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"&amp;VLOOKUP($K$9,'COMPILE REPORT'!$1:$1048576,80,0)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J39" s="83" t="s">
        <v>116</v>
      </c>
      <c r="K39" s="83"/>
      <c r="L39" s="83"/>
      <c r="M39" s="83"/>
      <c r="N39" s="10"/>
    </row>
    <row r="40" spans="1:14" x14ac:dyDescent="0.3">
      <c r="A40" s="9"/>
      <c r="B40" s="57" t="s">
        <v>98</v>
      </c>
      <c r="C40" s="57"/>
      <c r="J40" s="83" t="s">
        <v>115</v>
      </c>
      <c r="K40" s="83"/>
      <c r="L40" s="83"/>
      <c r="M40" s="83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J39:M39"/>
    <mergeCell ref="J40:M40"/>
    <mergeCell ref="B40:C40"/>
    <mergeCell ref="J43:M43"/>
    <mergeCell ref="B43:D43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B6:M6"/>
    <mergeCell ref="B1:K1"/>
    <mergeCell ref="B2:M2"/>
    <mergeCell ref="B3:M3"/>
    <mergeCell ref="B4:M4"/>
    <mergeCell ref="B5:M5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2025-07-30T03:02:00Z</dcterms:modified>
</cp:coreProperties>
</file>