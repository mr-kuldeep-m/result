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79CE5DFD-3165-4843-A80C-19A2689791F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DETAILS" sheetId="1" r:id="rId1"/>
    <sheet name="UT-I" sheetId="2" r:id="rId2"/>
    <sheet name="HALF YEARLY" sheetId="3" r:id="rId3"/>
    <sheet name="UT-II" sheetId="4" state="hidden" r:id="rId4"/>
    <sheet name="ANNUAL" sheetId="5" state="hidden" r:id="rId5"/>
    <sheet name="COMIPLE RESULT" sheetId="6" state="hidden" r:id="rId6"/>
    <sheet name="REORT CARD" sheetId="7" state="hidden" r:id="rId7"/>
  </sheets>
  <calcPr calcId="181029"/>
</workbook>
</file>

<file path=xl/calcChain.xml><?xml version="1.0" encoding="utf-8"?>
<calcChain xmlns="http://schemas.openxmlformats.org/spreadsheetml/2006/main">
  <c r="B39" i="7" l="1"/>
  <c r="D32" i="7"/>
  <c r="C32" i="7"/>
  <c r="D31" i="7"/>
  <c r="C31" i="7"/>
  <c r="G29" i="7"/>
  <c r="H29" i="7" s="1"/>
  <c r="I29" i="7" s="1"/>
  <c r="F29" i="7"/>
  <c r="D29" i="7"/>
  <c r="E29" i="7" s="1"/>
  <c r="C29" i="7"/>
  <c r="G28" i="7"/>
  <c r="H28" i="7" s="1"/>
  <c r="I28" i="7" s="1"/>
  <c r="F28" i="7"/>
  <c r="D28" i="7"/>
  <c r="E28" i="7" s="1"/>
  <c r="C28" i="7"/>
  <c r="G27" i="7"/>
  <c r="H27" i="7" s="1"/>
  <c r="I27" i="7" s="1"/>
  <c r="F27" i="7"/>
  <c r="D27" i="7"/>
  <c r="E27" i="7" s="1"/>
  <c r="C27" i="7"/>
  <c r="G26" i="7"/>
  <c r="H26" i="7" s="1"/>
  <c r="I26" i="7" s="1"/>
  <c r="F26" i="7"/>
  <c r="D26" i="7"/>
  <c r="E26" i="7" s="1"/>
  <c r="C26" i="7"/>
  <c r="G25" i="7"/>
  <c r="H25" i="7" s="1"/>
  <c r="I25" i="7" s="1"/>
  <c r="F25" i="7"/>
  <c r="D25" i="7"/>
  <c r="E25" i="7" s="1"/>
  <c r="C25" i="7"/>
  <c r="G24" i="7"/>
  <c r="F24" i="7"/>
  <c r="H24" i="7" s="1"/>
  <c r="D24" i="7"/>
  <c r="C24" i="7"/>
  <c r="E24" i="7" s="1"/>
  <c r="I24" i="7" s="1"/>
  <c r="G23" i="7"/>
  <c r="F23" i="7"/>
  <c r="H23" i="7" s="1"/>
  <c r="D23" i="7"/>
  <c r="C23" i="7"/>
  <c r="E23" i="7" s="1"/>
  <c r="I23" i="7" s="1"/>
  <c r="G22" i="7"/>
  <c r="F22" i="7"/>
  <c r="H22" i="7" s="1"/>
  <c r="D22" i="7"/>
  <c r="C22" i="7"/>
  <c r="E22" i="7" s="1"/>
  <c r="I22" i="7" s="1"/>
  <c r="G21" i="7"/>
  <c r="F21" i="7"/>
  <c r="H21" i="7" s="1"/>
  <c r="D21" i="7"/>
  <c r="C21" i="7"/>
  <c r="E21" i="7" s="1"/>
  <c r="I21" i="7" s="1"/>
  <c r="G20" i="7"/>
  <c r="F20" i="7"/>
  <c r="H20" i="7" s="1"/>
  <c r="E20" i="7"/>
  <c r="I20" i="7" s="1"/>
  <c r="D20" i="7"/>
  <c r="C20" i="7"/>
  <c r="G19" i="7"/>
  <c r="F19" i="7"/>
  <c r="H19" i="7" s="1"/>
  <c r="D19" i="7"/>
  <c r="C19" i="7"/>
  <c r="E19" i="7" s="1"/>
  <c r="I19" i="7" s="1"/>
  <c r="G18" i="7"/>
  <c r="F18" i="7"/>
  <c r="H18" i="7" s="1"/>
  <c r="D18" i="7"/>
  <c r="C18" i="7"/>
  <c r="E18" i="7" s="1"/>
  <c r="I18" i="7" s="1"/>
  <c r="G17" i="7"/>
  <c r="F17" i="7"/>
  <c r="H17" i="7" s="1"/>
  <c r="D17" i="7"/>
  <c r="C17" i="7"/>
  <c r="E17" i="7" s="1"/>
  <c r="I17" i="7" s="1"/>
  <c r="G16" i="7"/>
  <c r="F16" i="7"/>
  <c r="H16" i="7" s="1"/>
  <c r="D16" i="7"/>
  <c r="C16" i="7"/>
  <c r="E16" i="7" s="1"/>
  <c r="I16" i="7" s="1"/>
  <c r="G15" i="7"/>
  <c r="F15" i="7"/>
  <c r="H15" i="7" s="1"/>
  <c r="D15" i="7"/>
  <c r="C15" i="7"/>
  <c r="E15" i="7" s="1"/>
  <c r="I15" i="7" s="1"/>
  <c r="H11" i="7"/>
  <c r="C11" i="7"/>
  <c r="H10" i="7"/>
  <c r="C10" i="7"/>
  <c r="C9" i="7"/>
  <c r="BM42" i="6"/>
  <c r="BL42" i="6"/>
  <c r="BK42" i="6"/>
  <c r="BJ42" i="6"/>
  <c r="BI42" i="6"/>
  <c r="BH42" i="6"/>
  <c r="BG42" i="6"/>
  <c r="BF42" i="6"/>
  <c r="BE42" i="6"/>
  <c r="BD42" i="6"/>
  <c r="BC42" i="6"/>
  <c r="BB42" i="6"/>
  <c r="BA42" i="6"/>
  <c r="AZ42" i="6"/>
  <c r="AY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K42" i="6"/>
  <c r="AJ42" i="6"/>
  <c r="AI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H42" i="6"/>
  <c r="G42" i="6"/>
  <c r="F42" i="6"/>
  <c r="E42" i="6"/>
  <c r="D42" i="6"/>
  <c r="C42" i="6"/>
  <c r="B42" i="6"/>
  <c r="A42" i="6"/>
  <c r="BM41" i="6"/>
  <c r="BL41" i="6"/>
  <c r="BK41" i="6"/>
  <c r="BJ41" i="6"/>
  <c r="BI41" i="6"/>
  <c r="BH41" i="6"/>
  <c r="BG41" i="6"/>
  <c r="BF41" i="6"/>
  <c r="BE41" i="6"/>
  <c r="BD41" i="6"/>
  <c r="BC41" i="6"/>
  <c r="BB41" i="6"/>
  <c r="BA41" i="6"/>
  <c r="AZ41" i="6"/>
  <c r="AY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K41" i="6"/>
  <c r="AJ41" i="6"/>
  <c r="AI41" i="6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41" i="6"/>
  <c r="BM40" i="6"/>
  <c r="BL40" i="6"/>
  <c r="BK40" i="6"/>
  <c r="BJ40" i="6"/>
  <c r="BI40" i="6"/>
  <c r="BH40" i="6"/>
  <c r="BG40" i="6"/>
  <c r="BF40" i="6"/>
  <c r="BE40" i="6"/>
  <c r="BD40" i="6"/>
  <c r="BC40" i="6"/>
  <c r="BB40" i="6"/>
  <c r="BA40" i="6"/>
  <c r="AZ40" i="6"/>
  <c r="AY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K40" i="6"/>
  <c r="AJ40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40" i="6"/>
  <c r="BM39" i="6"/>
  <c r="BL39" i="6"/>
  <c r="BK39" i="6"/>
  <c r="BJ39" i="6"/>
  <c r="BI39" i="6"/>
  <c r="BH39" i="6"/>
  <c r="BG39" i="6"/>
  <c r="BF39" i="6"/>
  <c r="BE39" i="6"/>
  <c r="BD39" i="6"/>
  <c r="BC39" i="6"/>
  <c r="BB39" i="6"/>
  <c r="BA39" i="6"/>
  <c r="AZ39" i="6"/>
  <c r="AY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K39" i="6"/>
  <c r="AJ39" i="6"/>
  <c r="AI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39" i="6"/>
  <c r="BM38" i="6"/>
  <c r="BL38" i="6"/>
  <c r="BK38" i="6"/>
  <c r="BJ38" i="6"/>
  <c r="BI38" i="6"/>
  <c r="BH38" i="6"/>
  <c r="BG38" i="6"/>
  <c r="BF38" i="6"/>
  <c r="BE38" i="6"/>
  <c r="BD38" i="6"/>
  <c r="BC38" i="6"/>
  <c r="BB38" i="6"/>
  <c r="BA38" i="6"/>
  <c r="AZ38" i="6"/>
  <c r="AY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K38" i="6"/>
  <c r="AJ38" i="6"/>
  <c r="AI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38" i="6"/>
  <c r="BM37" i="6"/>
  <c r="BL37" i="6"/>
  <c r="BK37" i="6"/>
  <c r="BJ37" i="6"/>
  <c r="BI37" i="6"/>
  <c r="BH37" i="6"/>
  <c r="BG37" i="6"/>
  <c r="BF37" i="6"/>
  <c r="BE37" i="6"/>
  <c r="BD37" i="6"/>
  <c r="BC37" i="6"/>
  <c r="BB37" i="6"/>
  <c r="BA37" i="6"/>
  <c r="AZ37" i="6"/>
  <c r="AY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K37" i="6"/>
  <c r="AJ37" i="6"/>
  <c r="AI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37" i="6"/>
  <c r="BM36" i="6"/>
  <c r="BL36" i="6"/>
  <c r="BK36" i="6"/>
  <c r="BJ36" i="6"/>
  <c r="BI36" i="6"/>
  <c r="BH36" i="6"/>
  <c r="BG36" i="6"/>
  <c r="BF36" i="6"/>
  <c r="BE36" i="6"/>
  <c r="BD36" i="6"/>
  <c r="BC36" i="6"/>
  <c r="BB36" i="6"/>
  <c r="BA36" i="6"/>
  <c r="AZ36" i="6"/>
  <c r="AY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K36" i="6"/>
  <c r="AJ36" i="6"/>
  <c r="AI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H36" i="6"/>
  <c r="G36" i="6"/>
  <c r="F36" i="6"/>
  <c r="E36" i="6"/>
  <c r="D36" i="6"/>
  <c r="C36" i="6"/>
  <c r="B36" i="6"/>
  <c r="A36" i="6"/>
  <c r="BM35" i="6"/>
  <c r="BL35" i="6"/>
  <c r="BK35" i="6"/>
  <c r="BJ35" i="6"/>
  <c r="BI35" i="6"/>
  <c r="BH35" i="6"/>
  <c r="BG35" i="6"/>
  <c r="BF35" i="6"/>
  <c r="BE35" i="6"/>
  <c r="BD35" i="6"/>
  <c r="BC35" i="6"/>
  <c r="BB35" i="6"/>
  <c r="BA35" i="6"/>
  <c r="AZ35" i="6"/>
  <c r="AY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K35" i="6"/>
  <c r="AJ35" i="6"/>
  <c r="AI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H35" i="6"/>
  <c r="G35" i="6"/>
  <c r="F35" i="6"/>
  <c r="E35" i="6"/>
  <c r="D35" i="6"/>
  <c r="C35" i="6"/>
  <c r="B35" i="6"/>
  <c r="A35" i="6"/>
  <c r="BM34" i="6"/>
  <c r="BL34" i="6"/>
  <c r="BK34" i="6"/>
  <c r="BJ34" i="6"/>
  <c r="BI34" i="6"/>
  <c r="BH34" i="6"/>
  <c r="BG34" i="6"/>
  <c r="BF34" i="6"/>
  <c r="BE34" i="6"/>
  <c r="BD34" i="6"/>
  <c r="BC34" i="6"/>
  <c r="BB34" i="6"/>
  <c r="BA34" i="6"/>
  <c r="AZ34" i="6"/>
  <c r="AY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K34" i="6"/>
  <c r="AJ34" i="6"/>
  <c r="AI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34" i="6"/>
  <c r="BM33" i="6"/>
  <c r="BL33" i="6"/>
  <c r="BK33" i="6"/>
  <c r="BJ33" i="6"/>
  <c r="BI33" i="6"/>
  <c r="BH33" i="6"/>
  <c r="BG33" i="6"/>
  <c r="BF33" i="6"/>
  <c r="BE33" i="6"/>
  <c r="BD33" i="6"/>
  <c r="BC33" i="6"/>
  <c r="BB33" i="6"/>
  <c r="BA33" i="6"/>
  <c r="AZ33" i="6"/>
  <c r="AY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K33" i="6"/>
  <c r="AJ33" i="6"/>
  <c r="AI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33" i="6"/>
  <c r="BM32" i="6"/>
  <c r="BL32" i="6"/>
  <c r="BK32" i="6"/>
  <c r="BJ32" i="6"/>
  <c r="BI32" i="6"/>
  <c r="BH32" i="6"/>
  <c r="BG32" i="6"/>
  <c r="BF32" i="6"/>
  <c r="BE32" i="6"/>
  <c r="BD32" i="6"/>
  <c r="BC32" i="6"/>
  <c r="BB32" i="6"/>
  <c r="BA32" i="6"/>
  <c r="AZ32" i="6"/>
  <c r="AY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K32" i="6"/>
  <c r="AJ32" i="6"/>
  <c r="AI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32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31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30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B29" i="6"/>
  <c r="A29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B28" i="6"/>
  <c r="A28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27" i="6"/>
  <c r="BM26" i="6"/>
  <c r="BL26" i="6"/>
  <c r="BK26" i="6"/>
  <c r="BJ26" i="6"/>
  <c r="BI26" i="6"/>
  <c r="BH26" i="6"/>
  <c r="BG26" i="6"/>
  <c r="BF26" i="6"/>
  <c r="BE26" i="6"/>
  <c r="BD26" i="6"/>
  <c r="BC26" i="6"/>
  <c r="BB26" i="6"/>
  <c r="BA26" i="6"/>
  <c r="AZ26" i="6"/>
  <c r="AY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K26" i="6"/>
  <c r="AJ26" i="6"/>
  <c r="AI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26" i="6"/>
  <c r="BM25" i="6"/>
  <c r="BL25" i="6"/>
  <c r="BK25" i="6"/>
  <c r="BJ25" i="6"/>
  <c r="BI25" i="6"/>
  <c r="BH25" i="6"/>
  <c r="BG25" i="6"/>
  <c r="BF25" i="6"/>
  <c r="BE25" i="6"/>
  <c r="BD25" i="6"/>
  <c r="BC25" i="6"/>
  <c r="BB25" i="6"/>
  <c r="BA25" i="6"/>
  <c r="AZ25" i="6"/>
  <c r="AY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K25" i="6"/>
  <c r="AJ25" i="6"/>
  <c r="AI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25" i="6"/>
  <c r="BM24" i="6"/>
  <c r="BL24" i="6"/>
  <c r="BK24" i="6"/>
  <c r="BJ24" i="6"/>
  <c r="BI24" i="6"/>
  <c r="BH24" i="6"/>
  <c r="BG24" i="6"/>
  <c r="BF24" i="6"/>
  <c r="BE24" i="6"/>
  <c r="BD24" i="6"/>
  <c r="BC24" i="6"/>
  <c r="BB24" i="6"/>
  <c r="BA24" i="6"/>
  <c r="AZ24" i="6"/>
  <c r="AY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L24" i="6"/>
  <c r="AK24" i="6"/>
  <c r="AJ24" i="6"/>
  <c r="AI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24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23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A22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A21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20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B19" i="6"/>
  <c r="A19" i="6"/>
  <c r="BM18" i="6"/>
  <c r="BL18" i="6"/>
  <c r="BK18" i="6"/>
  <c r="BJ18" i="6"/>
  <c r="BI18" i="6"/>
  <c r="BH18" i="6"/>
  <c r="BG18" i="6"/>
  <c r="BF18" i="6"/>
  <c r="BE18" i="6"/>
  <c r="BD18" i="6"/>
  <c r="BC18" i="6"/>
  <c r="BB18" i="6"/>
  <c r="BA18" i="6"/>
  <c r="AZ18" i="6"/>
  <c r="AY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B18" i="6"/>
  <c r="A18" i="6"/>
  <c r="BM17" i="6"/>
  <c r="BL17" i="6"/>
  <c r="BK17" i="6"/>
  <c r="BJ17" i="6"/>
  <c r="BI17" i="6"/>
  <c r="BH17" i="6"/>
  <c r="BG17" i="6"/>
  <c r="BF17" i="6"/>
  <c r="BE17" i="6"/>
  <c r="BD17" i="6"/>
  <c r="BC17" i="6"/>
  <c r="BB17" i="6"/>
  <c r="BA17" i="6"/>
  <c r="AZ17" i="6"/>
  <c r="AY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B17" i="6"/>
  <c r="A17" i="6"/>
  <c r="BM16" i="6"/>
  <c r="BL16" i="6"/>
  <c r="BK16" i="6"/>
  <c r="BJ16" i="6"/>
  <c r="BI16" i="6"/>
  <c r="BH16" i="6"/>
  <c r="BG16" i="6"/>
  <c r="BF16" i="6"/>
  <c r="BE16" i="6"/>
  <c r="BD16" i="6"/>
  <c r="BC16" i="6"/>
  <c r="BB16" i="6"/>
  <c r="BA16" i="6"/>
  <c r="AZ16" i="6"/>
  <c r="AY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G16" i="6"/>
  <c r="F16" i="6"/>
  <c r="E16" i="6"/>
  <c r="D16" i="6"/>
  <c r="C16" i="6"/>
  <c r="B16" i="6"/>
  <c r="A16" i="6"/>
  <c r="BM15" i="6"/>
  <c r="BL15" i="6"/>
  <c r="BK15" i="6"/>
  <c r="BJ15" i="6"/>
  <c r="BI15" i="6"/>
  <c r="BH15" i="6"/>
  <c r="BG15" i="6"/>
  <c r="BF15" i="6"/>
  <c r="BE15" i="6"/>
  <c r="BD15" i="6"/>
  <c r="BC15" i="6"/>
  <c r="BB15" i="6"/>
  <c r="BA15" i="6"/>
  <c r="AZ15" i="6"/>
  <c r="AY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C15" i="6"/>
  <c r="B15" i="6"/>
  <c r="A15" i="6"/>
  <c r="BM14" i="6"/>
  <c r="BL14" i="6"/>
  <c r="BK14" i="6"/>
  <c r="BJ14" i="6"/>
  <c r="BI14" i="6"/>
  <c r="BH14" i="6"/>
  <c r="BG14" i="6"/>
  <c r="BF14" i="6"/>
  <c r="BE14" i="6"/>
  <c r="BD14" i="6"/>
  <c r="BC14" i="6"/>
  <c r="BB14" i="6"/>
  <c r="BA14" i="6"/>
  <c r="AZ14" i="6"/>
  <c r="AY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S14" i="6"/>
  <c r="R14" i="6"/>
  <c r="Q14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A14" i="6"/>
  <c r="BM13" i="6"/>
  <c r="BL13" i="6"/>
  <c r="BK13" i="6"/>
  <c r="BJ13" i="6"/>
  <c r="BI13" i="6"/>
  <c r="BH13" i="6"/>
  <c r="BG13" i="6"/>
  <c r="BF13" i="6"/>
  <c r="BE13" i="6"/>
  <c r="BD13" i="6"/>
  <c r="BC13" i="6"/>
  <c r="BB13" i="6"/>
  <c r="BA13" i="6"/>
  <c r="AZ13" i="6"/>
  <c r="AY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K13" i="6"/>
  <c r="AJ13" i="6"/>
  <c r="AI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A13" i="6"/>
  <c r="BM12" i="6"/>
  <c r="BL12" i="6"/>
  <c r="BK12" i="6"/>
  <c r="BJ12" i="6"/>
  <c r="BI12" i="6"/>
  <c r="BH12" i="6"/>
  <c r="BG12" i="6"/>
  <c r="BF12" i="6"/>
  <c r="BE12" i="6"/>
  <c r="BD12" i="6"/>
  <c r="BC12" i="6"/>
  <c r="BB12" i="6"/>
  <c r="BA12" i="6"/>
  <c r="AZ12" i="6"/>
  <c r="AY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A12" i="6"/>
  <c r="BM11" i="6"/>
  <c r="BL11" i="6"/>
  <c r="BK11" i="6"/>
  <c r="BJ11" i="6"/>
  <c r="BI11" i="6"/>
  <c r="BH11" i="6"/>
  <c r="BG11" i="6"/>
  <c r="BF11" i="6"/>
  <c r="BE11" i="6"/>
  <c r="BD11" i="6"/>
  <c r="BC11" i="6"/>
  <c r="BB11" i="6"/>
  <c r="BA11" i="6"/>
  <c r="AZ11" i="6"/>
  <c r="AY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K11" i="6"/>
  <c r="AJ11" i="6"/>
  <c r="AI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A11" i="6"/>
  <c r="BM10" i="6"/>
  <c r="BL10" i="6"/>
  <c r="BK10" i="6"/>
  <c r="BJ10" i="6"/>
  <c r="BI10" i="6"/>
  <c r="BH10" i="6"/>
  <c r="BG10" i="6"/>
  <c r="BF10" i="6"/>
  <c r="BE10" i="6"/>
  <c r="BD10" i="6"/>
  <c r="BC10" i="6"/>
  <c r="BB10" i="6"/>
  <c r="BA10" i="6"/>
  <c r="AZ10" i="6"/>
  <c r="AY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K10" i="6"/>
  <c r="AJ10" i="6"/>
  <c r="AI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H10" i="6"/>
  <c r="G10" i="6"/>
  <c r="F10" i="6"/>
  <c r="E10" i="6"/>
  <c r="D10" i="6"/>
  <c r="C10" i="6"/>
  <c r="B10" i="6"/>
  <c r="A10" i="6"/>
  <c r="BM9" i="6"/>
  <c r="BL9" i="6"/>
  <c r="BK9" i="6"/>
  <c r="BJ9" i="6"/>
  <c r="BI9" i="6"/>
  <c r="BH9" i="6"/>
  <c r="BG9" i="6"/>
  <c r="BF9" i="6"/>
  <c r="BE9" i="6"/>
  <c r="BD9" i="6"/>
  <c r="BC9" i="6"/>
  <c r="BB9" i="6"/>
  <c r="BA9" i="6"/>
  <c r="AZ9" i="6"/>
  <c r="AY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K9" i="6"/>
  <c r="AJ9" i="6"/>
  <c r="AI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H9" i="6"/>
  <c r="G9" i="6"/>
  <c r="F9" i="6"/>
  <c r="E9" i="6"/>
  <c r="D9" i="6"/>
  <c r="C9" i="6"/>
  <c r="B9" i="6"/>
  <c r="A9" i="6"/>
  <c r="BM8" i="6"/>
  <c r="BL8" i="6"/>
  <c r="BK8" i="6"/>
  <c r="BJ8" i="6"/>
  <c r="BI8" i="6"/>
  <c r="BH8" i="6"/>
  <c r="BG8" i="6"/>
  <c r="BF8" i="6"/>
  <c r="BE8" i="6"/>
  <c r="BD8" i="6"/>
  <c r="BC8" i="6"/>
  <c r="BB8" i="6"/>
  <c r="BA8" i="6"/>
  <c r="AZ8" i="6"/>
  <c r="AY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K8" i="6"/>
  <c r="AJ8" i="6"/>
  <c r="AI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H8" i="6"/>
  <c r="G8" i="6"/>
  <c r="F8" i="6"/>
  <c r="E8" i="6"/>
  <c r="D8" i="6"/>
  <c r="C8" i="6"/>
  <c r="B8" i="6"/>
  <c r="A8" i="6"/>
  <c r="BM7" i="6"/>
  <c r="BL7" i="6"/>
  <c r="BK7" i="6"/>
  <c r="BJ7" i="6"/>
  <c r="BI7" i="6"/>
  <c r="BH7" i="6"/>
  <c r="BG7" i="6"/>
  <c r="BF7" i="6"/>
  <c r="BE7" i="6"/>
  <c r="BD7" i="6"/>
  <c r="BC7" i="6"/>
  <c r="BB7" i="6"/>
  <c r="BA7" i="6"/>
  <c r="AZ7" i="6"/>
  <c r="AY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K7" i="6"/>
  <c r="AJ7" i="6"/>
  <c r="AI7" i="6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BM6" i="6"/>
  <c r="BL6" i="6"/>
  <c r="BK6" i="6"/>
  <c r="BJ6" i="6"/>
  <c r="BI6" i="6"/>
  <c r="BH6" i="6"/>
  <c r="BG6" i="6"/>
  <c r="BF6" i="6"/>
  <c r="BE6" i="6"/>
  <c r="BD6" i="6"/>
  <c r="BC6" i="6"/>
  <c r="BB6" i="6"/>
  <c r="BA6" i="6"/>
  <c r="AZ6" i="6"/>
  <c r="AY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K6" i="6"/>
  <c r="AJ6" i="6"/>
  <c r="AI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S6" i="6"/>
  <c r="R6" i="6"/>
  <c r="Q6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BM5" i="6"/>
  <c r="BL5" i="6"/>
  <c r="BK5" i="6"/>
  <c r="BJ5" i="6"/>
  <c r="BI5" i="6"/>
  <c r="BH5" i="6"/>
  <c r="BG5" i="6"/>
  <c r="BF5" i="6"/>
  <c r="BE5" i="6"/>
  <c r="BD5" i="6"/>
  <c r="BC5" i="6"/>
  <c r="BB5" i="6"/>
  <c r="BA5" i="6"/>
  <c r="AZ5" i="6"/>
  <c r="AY5" i="6"/>
  <c r="AX5" i="6"/>
  <c r="AW5" i="6"/>
  <c r="AV5" i="6"/>
  <c r="AU5" i="6"/>
  <c r="AT5" i="6"/>
  <c r="AS5" i="6"/>
  <c r="AR5" i="6"/>
  <c r="AQ5" i="6"/>
  <c r="AP5" i="6"/>
  <c r="AO5" i="6"/>
  <c r="AN5" i="6"/>
  <c r="AM5" i="6"/>
  <c r="AL5" i="6"/>
  <c r="AK5" i="6"/>
  <c r="AJ5" i="6"/>
  <c r="AI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BM4" i="6"/>
  <c r="BL4" i="6"/>
  <c r="BK4" i="6"/>
  <c r="BJ4" i="6"/>
  <c r="BI4" i="6"/>
  <c r="BH4" i="6"/>
  <c r="BG4" i="6"/>
  <c r="BF4" i="6"/>
  <c r="BE4" i="6"/>
  <c r="BD4" i="6"/>
  <c r="BC4" i="6"/>
  <c r="BB4" i="6"/>
  <c r="BA4" i="6"/>
  <c r="AZ4" i="6"/>
  <c r="AY4" i="6"/>
  <c r="AX4" i="6"/>
  <c r="AW4" i="6"/>
  <c r="AV4" i="6"/>
  <c r="AU4" i="6"/>
  <c r="AT4" i="6"/>
  <c r="AS4" i="6"/>
  <c r="AR4" i="6"/>
  <c r="AQ4" i="6"/>
  <c r="AP4" i="6"/>
  <c r="AO4" i="6"/>
  <c r="AN4" i="6"/>
  <c r="AM4" i="6"/>
  <c r="AL4" i="6"/>
  <c r="AK4" i="6"/>
  <c r="AJ4" i="6"/>
  <c r="AI4" i="6"/>
  <c r="AH4" i="6"/>
  <c r="AG4" i="6"/>
  <c r="AF4" i="6"/>
  <c r="AE4" i="6"/>
  <c r="AD4" i="6"/>
  <c r="AC4" i="6"/>
  <c r="AB4" i="6"/>
  <c r="AA4" i="6"/>
  <c r="Z4" i="6"/>
  <c r="Y4" i="6"/>
  <c r="X4" i="6"/>
  <c r="W4" i="6"/>
  <c r="V4" i="6"/>
  <c r="U4" i="6"/>
  <c r="T4" i="6"/>
  <c r="S4" i="6"/>
  <c r="R4" i="6"/>
  <c r="Q4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U41" i="5"/>
  <c r="B41" i="5"/>
  <c r="A41" i="5"/>
  <c r="U40" i="5"/>
  <c r="B40" i="5"/>
  <c r="A40" i="5"/>
  <c r="U39" i="5"/>
  <c r="B39" i="5"/>
  <c r="A39" i="5"/>
  <c r="U38" i="5"/>
  <c r="B38" i="5"/>
  <c r="A38" i="5"/>
  <c r="U37" i="5"/>
  <c r="B37" i="5"/>
  <c r="A37" i="5"/>
  <c r="U36" i="5"/>
  <c r="B36" i="5"/>
  <c r="A36" i="5"/>
  <c r="U35" i="5"/>
  <c r="B35" i="5"/>
  <c r="A35" i="5"/>
  <c r="U34" i="5"/>
  <c r="B34" i="5"/>
  <c r="A34" i="5"/>
  <c r="U33" i="5"/>
  <c r="B33" i="5"/>
  <c r="A33" i="5"/>
  <c r="U32" i="5"/>
  <c r="B32" i="5"/>
  <c r="A32" i="5"/>
  <c r="U31" i="5"/>
  <c r="B31" i="5"/>
  <c r="A31" i="5"/>
  <c r="U30" i="5"/>
  <c r="B30" i="5"/>
  <c r="A30" i="5"/>
  <c r="U29" i="5"/>
  <c r="B29" i="5"/>
  <c r="A29" i="5"/>
  <c r="U28" i="5"/>
  <c r="B28" i="5"/>
  <c r="A28" i="5"/>
  <c r="U27" i="5"/>
  <c r="B27" i="5"/>
  <c r="A27" i="5"/>
  <c r="U26" i="5"/>
  <c r="B26" i="5"/>
  <c r="A26" i="5"/>
  <c r="U25" i="5"/>
  <c r="B25" i="5"/>
  <c r="A25" i="5"/>
  <c r="U24" i="5"/>
  <c r="B24" i="5"/>
  <c r="A24" i="5"/>
  <c r="U23" i="5"/>
  <c r="B23" i="5"/>
  <c r="A23" i="5"/>
  <c r="U22" i="5"/>
  <c r="B22" i="5"/>
  <c r="A22" i="5"/>
  <c r="U21" i="5"/>
  <c r="B21" i="5"/>
  <c r="A21" i="5"/>
  <c r="U20" i="5"/>
  <c r="B20" i="5"/>
  <c r="A20" i="5"/>
  <c r="U19" i="5"/>
  <c r="B19" i="5"/>
  <c r="A19" i="5"/>
  <c r="U18" i="5"/>
  <c r="B18" i="5"/>
  <c r="A18" i="5"/>
  <c r="U17" i="5"/>
  <c r="B17" i="5"/>
  <c r="A17" i="5"/>
  <c r="U16" i="5"/>
  <c r="B16" i="5"/>
  <c r="A16" i="5"/>
  <c r="U15" i="5"/>
  <c r="B15" i="5"/>
  <c r="A15" i="5"/>
  <c r="U14" i="5"/>
  <c r="B14" i="5"/>
  <c r="A14" i="5"/>
  <c r="U13" i="5"/>
  <c r="B13" i="5"/>
  <c r="A13" i="5"/>
  <c r="U12" i="5"/>
  <c r="B12" i="5"/>
  <c r="A12" i="5"/>
  <c r="U11" i="5"/>
  <c r="B11" i="5"/>
  <c r="A11" i="5"/>
  <c r="U10" i="5"/>
  <c r="B10" i="5"/>
  <c r="A10" i="5"/>
  <c r="U9" i="5"/>
  <c r="B9" i="5"/>
  <c r="A9" i="5"/>
  <c r="U8" i="5"/>
  <c r="B8" i="5"/>
  <c r="A8" i="5"/>
  <c r="U7" i="5"/>
  <c r="B7" i="5"/>
  <c r="A7" i="5"/>
  <c r="U6" i="5"/>
  <c r="B6" i="5"/>
  <c r="A6" i="5"/>
  <c r="U5" i="5"/>
  <c r="B5" i="5"/>
  <c r="A5" i="5"/>
  <c r="U4" i="5"/>
  <c r="B4" i="5"/>
  <c r="A4" i="5"/>
  <c r="U3" i="5"/>
  <c r="B3" i="5"/>
  <c r="A3" i="5"/>
  <c r="R41" i="4"/>
  <c r="B41" i="4"/>
  <c r="A41" i="4"/>
  <c r="R40" i="4"/>
  <c r="B40" i="4"/>
  <c r="A40" i="4"/>
  <c r="R39" i="4"/>
  <c r="B39" i="4"/>
  <c r="A39" i="4"/>
  <c r="R38" i="4"/>
  <c r="B38" i="4"/>
  <c r="A38" i="4"/>
  <c r="R37" i="4"/>
  <c r="B37" i="4"/>
  <c r="A37" i="4"/>
  <c r="R36" i="4"/>
  <c r="B36" i="4"/>
  <c r="A36" i="4"/>
  <c r="R35" i="4"/>
  <c r="B35" i="4"/>
  <c r="A35" i="4"/>
  <c r="R34" i="4"/>
  <c r="B34" i="4"/>
  <c r="A34" i="4"/>
  <c r="R33" i="4"/>
  <c r="B33" i="4"/>
  <c r="A33" i="4"/>
  <c r="R32" i="4"/>
  <c r="B32" i="4"/>
  <c r="A32" i="4"/>
  <c r="R31" i="4"/>
  <c r="B31" i="4"/>
  <c r="A31" i="4"/>
  <c r="R30" i="4"/>
  <c r="B30" i="4"/>
  <c r="A30" i="4"/>
  <c r="R29" i="4"/>
  <c r="B29" i="4"/>
  <c r="A29" i="4"/>
  <c r="R28" i="4"/>
  <c r="B28" i="4"/>
  <c r="A28" i="4"/>
  <c r="R27" i="4"/>
  <c r="B27" i="4"/>
  <c r="A27" i="4"/>
  <c r="R26" i="4"/>
  <c r="B26" i="4"/>
  <c r="A26" i="4"/>
  <c r="R25" i="4"/>
  <c r="B25" i="4"/>
  <c r="A25" i="4"/>
  <c r="R24" i="4"/>
  <c r="B24" i="4"/>
  <c r="A24" i="4"/>
  <c r="R23" i="4"/>
  <c r="B23" i="4"/>
  <c r="A23" i="4"/>
  <c r="R22" i="4"/>
  <c r="B22" i="4"/>
  <c r="A22" i="4"/>
  <c r="R21" i="4"/>
  <c r="B21" i="4"/>
  <c r="A21" i="4"/>
  <c r="R20" i="4"/>
  <c r="B20" i="4"/>
  <c r="A20" i="4"/>
  <c r="R19" i="4"/>
  <c r="B19" i="4"/>
  <c r="A19" i="4"/>
  <c r="R18" i="4"/>
  <c r="B18" i="4"/>
  <c r="A18" i="4"/>
  <c r="R17" i="4"/>
  <c r="B17" i="4"/>
  <c r="A17" i="4"/>
  <c r="R16" i="4"/>
  <c r="B16" i="4"/>
  <c r="A16" i="4"/>
  <c r="R15" i="4"/>
  <c r="B15" i="4"/>
  <c r="A15" i="4"/>
  <c r="R14" i="4"/>
  <c r="B14" i="4"/>
  <c r="A14" i="4"/>
  <c r="R13" i="4"/>
  <c r="B13" i="4"/>
  <c r="A13" i="4"/>
  <c r="R12" i="4"/>
  <c r="B12" i="4"/>
  <c r="A12" i="4"/>
  <c r="R11" i="4"/>
  <c r="B11" i="4"/>
  <c r="A11" i="4"/>
  <c r="R10" i="4"/>
  <c r="B10" i="4"/>
  <c r="A10" i="4"/>
  <c r="R9" i="4"/>
  <c r="B9" i="4"/>
  <c r="A9" i="4"/>
  <c r="R8" i="4"/>
  <c r="B8" i="4"/>
  <c r="A8" i="4"/>
  <c r="R7" i="4"/>
  <c r="B7" i="4"/>
  <c r="A7" i="4"/>
  <c r="R6" i="4"/>
  <c r="B6" i="4"/>
  <c r="A6" i="4"/>
  <c r="R5" i="4"/>
  <c r="B5" i="4"/>
  <c r="A5" i="4"/>
  <c r="R4" i="4"/>
  <c r="B4" i="4"/>
  <c r="A4" i="4"/>
  <c r="R3" i="4"/>
  <c r="B3" i="4"/>
  <c r="A3" i="4"/>
  <c r="R19" i="3"/>
  <c r="Q19" i="3"/>
  <c r="B19" i="3"/>
  <c r="A19" i="3"/>
  <c r="R18" i="3"/>
  <c r="Q18" i="3"/>
  <c r="B18" i="3"/>
  <c r="A18" i="3"/>
  <c r="R17" i="3"/>
  <c r="Q17" i="3"/>
  <c r="B17" i="3"/>
  <c r="A17" i="3"/>
  <c r="R16" i="3"/>
  <c r="Q16" i="3"/>
  <c r="B16" i="3"/>
  <c r="A16" i="3"/>
  <c r="R15" i="3"/>
  <c r="Q15" i="3"/>
  <c r="B15" i="3"/>
  <c r="A15" i="3"/>
  <c r="R14" i="3"/>
  <c r="Q14" i="3"/>
  <c r="B14" i="3"/>
  <c r="A14" i="3"/>
  <c r="R13" i="3"/>
  <c r="Q13" i="3"/>
  <c r="B13" i="3"/>
  <c r="A13" i="3"/>
  <c r="R12" i="3"/>
  <c r="Q12" i="3"/>
  <c r="B12" i="3"/>
  <c r="A12" i="3"/>
  <c r="R11" i="3"/>
  <c r="Q11" i="3"/>
  <c r="B11" i="3"/>
  <c r="A11" i="3"/>
  <c r="R10" i="3"/>
  <c r="Q10" i="3"/>
  <c r="B10" i="3"/>
  <c r="A10" i="3"/>
  <c r="R9" i="3"/>
  <c r="Q9" i="3"/>
  <c r="B9" i="3"/>
  <c r="A9" i="3"/>
  <c r="R8" i="3"/>
  <c r="Q8" i="3"/>
  <c r="B8" i="3"/>
  <c r="A8" i="3"/>
  <c r="R7" i="3"/>
  <c r="Q7" i="3"/>
  <c r="B7" i="3"/>
  <c r="A7" i="3"/>
  <c r="R6" i="3"/>
  <c r="Q6" i="3"/>
  <c r="B6" i="3"/>
  <c r="A6" i="3"/>
  <c r="R5" i="3"/>
  <c r="Q5" i="3"/>
  <c r="B5" i="3"/>
  <c r="A5" i="3"/>
  <c r="R4" i="3"/>
  <c r="Q4" i="3"/>
  <c r="B4" i="3"/>
  <c r="A4" i="3"/>
  <c r="R3" i="3"/>
  <c r="Q3" i="3"/>
  <c r="B3" i="3"/>
  <c r="A3" i="3"/>
  <c r="R19" i="2"/>
  <c r="Q19" i="2"/>
  <c r="B19" i="2"/>
  <c r="A19" i="2"/>
  <c r="R18" i="2"/>
  <c r="Q18" i="2"/>
  <c r="B18" i="2"/>
  <c r="A18" i="2"/>
  <c r="R17" i="2"/>
  <c r="Q17" i="2"/>
  <c r="B17" i="2"/>
  <c r="A17" i="2"/>
  <c r="R16" i="2"/>
  <c r="Q16" i="2"/>
  <c r="B16" i="2"/>
  <c r="A16" i="2"/>
  <c r="R15" i="2"/>
  <c r="Q15" i="2"/>
  <c r="B15" i="2"/>
  <c r="A15" i="2"/>
  <c r="R14" i="2"/>
  <c r="Q14" i="2"/>
  <c r="B14" i="2"/>
  <c r="A14" i="2"/>
  <c r="R13" i="2"/>
  <c r="Q13" i="2"/>
  <c r="B13" i="2"/>
  <c r="A13" i="2"/>
  <c r="R12" i="2"/>
  <c r="Q12" i="2"/>
  <c r="B12" i="2"/>
  <c r="A12" i="2"/>
  <c r="R11" i="2"/>
  <c r="Q11" i="2"/>
  <c r="B11" i="2"/>
  <c r="A11" i="2"/>
  <c r="R10" i="2"/>
  <c r="Q10" i="2"/>
  <c r="B10" i="2"/>
  <c r="A10" i="2"/>
  <c r="R9" i="2"/>
  <c r="Q9" i="2"/>
  <c r="B9" i="2"/>
  <c r="A9" i="2"/>
  <c r="B8" i="2"/>
  <c r="A8" i="2"/>
  <c r="R7" i="2"/>
  <c r="Q7" i="2"/>
  <c r="B7" i="2"/>
  <c r="A7" i="2"/>
  <c r="R6" i="2"/>
  <c r="Q6" i="2"/>
  <c r="B6" i="2"/>
  <c r="A6" i="2"/>
  <c r="R5" i="2"/>
  <c r="Q5" i="2"/>
  <c r="B5" i="2"/>
  <c r="A5" i="2"/>
  <c r="R4" i="2"/>
  <c r="Q4" i="2"/>
  <c r="B4" i="2"/>
  <c r="A4" i="2"/>
  <c r="R3" i="2"/>
  <c r="Q3" i="2"/>
  <c r="B3" i="2"/>
  <c r="A3" i="2"/>
  <c r="H31" i="7" l="1"/>
  <c r="H32" i="7"/>
</calcChain>
</file>

<file path=xl/sharedStrings.xml><?xml version="1.0" encoding="utf-8"?>
<sst xmlns="http://schemas.openxmlformats.org/spreadsheetml/2006/main" count="674" uniqueCount="163">
  <si>
    <t>STUDENT'S DETAIL</t>
  </si>
  <si>
    <t>SR NO</t>
  </si>
  <si>
    <t xml:space="preserve">NAME </t>
  </si>
  <si>
    <t>MOTHER'S NAME</t>
  </si>
  <si>
    <t>FATHER'S NAME</t>
  </si>
  <si>
    <t>DOB</t>
  </si>
  <si>
    <t>CLASS &amp; SEC</t>
  </si>
  <si>
    <t>AARUSH YADUVANSHI</t>
  </si>
  <si>
    <t>ANTIMA YADAV</t>
  </si>
  <si>
    <t>MANMOHAN YADAV</t>
  </si>
  <si>
    <t>22.08.2022</t>
  </si>
  <si>
    <t>NURSERY</t>
  </si>
  <si>
    <t>ADITRI CHAUDHARI</t>
  </si>
  <si>
    <t>KIRAN BHARTI</t>
  </si>
  <si>
    <t>CHAUDHARI KARAMVEER</t>
  </si>
  <si>
    <t>01.01.2022</t>
  </si>
  <si>
    <t>AHEM</t>
  </si>
  <si>
    <t>RAJWANTI</t>
  </si>
  <si>
    <t>LAVKUSH KUMAR</t>
  </si>
  <si>
    <t>26.03.2020</t>
  </si>
  <si>
    <t>ANUSHKA RAJ</t>
  </si>
  <si>
    <t>BRIJRANI</t>
  </si>
  <si>
    <t>SUSHEEL KUMAR</t>
  </si>
  <si>
    <t>20.08.2020</t>
  </si>
  <si>
    <t>ARNAV SINGH</t>
  </si>
  <si>
    <t>REKHA RAJPOOT</t>
  </si>
  <si>
    <t>ANIL KUMAR</t>
  </si>
  <si>
    <t>02.02.2022</t>
  </si>
  <si>
    <t>ATHRAV SINGH</t>
  </si>
  <si>
    <t>JYOTIMA</t>
  </si>
  <si>
    <t>SHIV RAM SINGH</t>
  </si>
  <si>
    <t>02.04.2021</t>
  </si>
  <si>
    <t>AVANTIKA</t>
  </si>
  <si>
    <t>SHIVANI</t>
  </si>
  <si>
    <t>SATESH KUMAR</t>
  </si>
  <si>
    <t>07.08.2021</t>
  </si>
  <si>
    <t>AVIKA MAURYA</t>
  </si>
  <si>
    <t>SUMAN MAURYA</t>
  </si>
  <si>
    <t>RAHUL KUMAR MAURYA</t>
  </si>
  <si>
    <t>29.05.2022</t>
  </si>
  <si>
    <t>DAKSH</t>
  </si>
  <si>
    <t>MAMTA</t>
  </si>
  <si>
    <t>ABHISHEK KUMAR</t>
  </si>
  <si>
    <t>22.04.2021</t>
  </si>
  <si>
    <t>DEV MISHRA</t>
  </si>
  <si>
    <t>LAXMI MISHRA</t>
  </si>
  <si>
    <t>KRISHNA KUMAR MISHRA</t>
  </si>
  <si>
    <t>31.03.2022</t>
  </si>
  <si>
    <t>DEVESH RAJPOOT</t>
  </si>
  <si>
    <t>NEHA</t>
  </si>
  <si>
    <t>DIWAKAR SINGH</t>
  </si>
  <si>
    <t>07.11.2021</t>
  </si>
  <si>
    <t>INDRABH YADAV</t>
  </si>
  <si>
    <t>KAVITA YADAV</t>
  </si>
  <si>
    <t>INDRAJEET SINGH</t>
  </si>
  <si>
    <t>18.01.2022</t>
  </si>
  <si>
    <t>KARTIKEY SINGH</t>
  </si>
  <si>
    <t>POONAM SINGH</t>
  </si>
  <si>
    <t>RAMENDRA PRATAP SINGH</t>
  </si>
  <si>
    <t>27.03.2021</t>
  </si>
  <si>
    <t>MOHD. ARIZ</t>
  </si>
  <si>
    <t>SHAZIA PARVEEN</t>
  </si>
  <si>
    <t>MOHD. ILIYAS</t>
  </si>
  <si>
    <t>27.10.2021</t>
  </si>
  <si>
    <t>RAVNOOR KAUR</t>
  </si>
  <si>
    <t>MANPREER KAUR</t>
  </si>
  <si>
    <t>RAVINDRER SINGN</t>
  </si>
  <si>
    <t>SEHRISH</t>
  </si>
  <si>
    <t>BUSHRA KHATOON</t>
  </si>
  <si>
    <t>MOHD SHAMEEM</t>
  </si>
  <si>
    <t>09.06.2020</t>
  </si>
  <si>
    <t>SR. NO.</t>
  </si>
  <si>
    <t>NAME</t>
  </si>
  <si>
    <t>ENGLISH WRITTEN</t>
  </si>
  <si>
    <t>ENGLISH ORAL</t>
  </si>
  <si>
    <t>ENGLISH DICTATION</t>
  </si>
  <si>
    <t>HINDI WRITTEN</t>
  </si>
  <si>
    <t>HINDI ORAL</t>
  </si>
  <si>
    <t>HINDI DICTATION</t>
  </si>
  <si>
    <t>MATHS WRITTEN</t>
  </si>
  <si>
    <t>MATHS ORAL</t>
  </si>
  <si>
    <t>EVS</t>
  </si>
  <si>
    <t>CONVERSATION</t>
  </si>
  <si>
    <t>GK</t>
  </si>
  <si>
    <t>DRAWING</t>
  </si>
  <si>
    <t>RHYMES</t>
  </si>
  <si>
    <t>P.T. &amp; GAMES</t>
  </si>
  <si>
    <t>TOTAL</t>
  </si>
  <si>
    <t>UNIT TEST -II (2024-25) CLASS - NUR</t>
  </si>
  <si>
    <t>MORAL VALUES</t>
  </si>
  <si>
    <t>ANNUAL EXAMINATION (2024-25) CLASS -NUR</t>
  </si>
  <si>
    <t>TOTAL ATTENDACE</t>
  </si>
  <si>
    <t>TOTAL WORKING DAY</t>
  </si>
  <si>
    <t>REMARKS</t>
  </si>
  <si>
    <t>A</t>
  </si>
  <si>
    <t>Great Potential- Stay Focused!</t>
  </si>
  <si>
    <t>Outstanding effort all year.</t>
  </si>
  <si>
    <t>B</t>
  </si>
  <si>
    <t>Needs improvement.</t>
  </si>
  <si>
    <t>Excellent progress this year!</t>
  </si>
  <si>
    <t xml:space="preserve">B </t>
  </si>
  <si>
    <t xml:space="preserve">A </t>
  </si>
  <si>
    <t>Keep up the great work !</t>
  </si>
  <si>
    <t>Good. Can do better.</t>
  </si>
  <si>
    <t>Out standing effort all year.</t>
  </si>
  <si>
    <t>COMPILE TABULATION(2024-25) CLASS -NUR</t>
  </si>
  <si>
    <t>PT. &amp; GAMES</t>
  </si>
  <si>
    <t>ATTENDANCE</t>
  </si>
  <si>
    <t>UT-I</t>
  </si>
  <si>
    <t>HY</t>
  </si>
  <si>
    <t>UT-II</t>
  </si>
  <si>
    <t>ANNUAL</t>
  </si>
  <si>
    <t>PRESENT</t>
  </si>
  <si>
    <t>WORKING DAYS</t>
  </si>
  <si>
    <t>SAINIK PUBLIC SCHOOL</t>
  </si>
  <si>
    <t>(Affiliated to C.B.S.E. New Delhi- Reg. No. : 2131299)</t>
  </si>
  <si>
    <t>Building NO. VB1893, Vikas Bhawan Ward,</t>
  </si>
  <si>
    <t>Nagar Palika Parishad, Nawabganj, Barabanki</t>
  </si>
  <si>
    <t xml:space="preserve">ANNUAL REPORT CARD </t>
  </si>
  <si>
    <t>SESSION 2024-25</t>
  </si>
  <si>
    <t>STUDENT PROFILE</t>
  </si>
  <si>
    <t>Student's Name</t>
  </si>
  <si>
    <t>Admission No.  :</t>
  </si>
  <si>
    <t>Mother's Name</t>
  </si>
  <si>
    <t>Class &amp; Sec.      :</t>
  </si>
  <si>
    <t>Father's Name</t>
  </si>
  <si>
    <t>Date of Birth    :</t>
  </si>
  <si>
    <t>ACADEMIC ASSESSMENT</t>
  </si>
  <si>
    <t>SUBJECT</t>
  </si>
  <si>
    <t>Unit Test-1 (50)</t>
  </si>
  <si>
    <t>Half Yearly (50)</t>
  </si>
  <si>
    <t>TOTAL           (100)</t>
  </si>
  <si>
    <t>Unit Test-2 (50)</t>
  </si>
  <si>
    <t>Annual       (50)</t>
  </si>
  <si>
    <t>TOTAL            (100)</t>
  </si>
  <si>
    <t>GRAND TOTAL                (200)</t>
  </si>
  <si>
    <t xml:space="preserve">Attendance </t>
  </si>
  <si>
    <t>PERCENTAGE</t>
  </si>
  <si>
    <t>GRAND TOTAL</t>
  </si>
  <si>
    <t>Issue Date: 28.03.2025</t>
  </si>
  <si>
    <t>Class Teacher's Signature</t>
  </si>
  <si>
    <t>Principal's Signature</t>
  </si>
  <si>
    <t>D</t>
  </si>
  <si>
    <t>C</t>
  </si>
  <si>
    <t>TOTAL PRESENT</t>
  </si>
  <si>
    <t>RANK IN CLASS</t>
  </si>
  <si>
    <t>PARENT'S SIGNATURE</t>
  </si>
  <si>
    <t>AB</t>
  </si>
  <si>
    <t xml:space="preserve"> AB</t>
  </si>
  <si>
    <t>NA</t>
  </si>
  <si>
    <t>UNIT TEST-I (2025-26) CLASS - NUR</t>
  </si>
  <si>
    <t>CLASS TEACHER'S SIGNATURE</t>
  </si>
  <si>
    <t>PRINCIPAL'S SIGNATURE</t>
  </si>
  <si>
    <t>ATHARV UPADHYAY</t>
  </si>
  <si>
    <t>14.01.2021</t>
  </si>
  <si>
    <t>PANKAJ UPADHAYAY</t>
  </si>
  <si>
    <t>PRIYA UPADHAYAY</t>
  </si>
  <si>
    <t>HALF YEARLY EXAMINATION (2025-26) CLASS - NURSERY-B</t>
  </si>
  <si>
    <t xml:space="preserve"> A</t>
  </si>
  <si>
    <t>II</t>
  </si>
  <si>
    <t>I</t>
  </si>
  <si>
    <t>III</t>
  </si>
  <si>
    <t>TOTAL             (500)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</si>
</sst>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4">
    <font>
      <sz val="11"/>
      <name val="Calibri"/>
    </font>
    <font>
      <b/>
      <sz val="11"/>
      <color rgb="FFFFFFFF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charset val="134"/>
    </font>
    <font>
      <b/>
      <sz val="11"/>
      <name val="Calibri"/>
    </font>
    <font>
      <b/>
      <sz val="11"/>
      <color rgb="FF000000"/>
      <name val="Calibri"/>
    </font>
    <font>
      <sz val="11"/>
      <name val="Calibri"/>
    </font>
    <font>
      <b/>
      <sz val="26"/>
      <color rgb="FF000000"/>
      <name val="Cambria"/>
      <charset val="134"/>
    </font>
    <font>
      <b/>
      <sz val="12"/>
      <color rgb="FF10A017"/>
      <name val="Calibri"/>
      <charset val="134"/>
    </font>
    <font>
      <b/>
      <sz val="12"/>
      <color rgb="FFFF0000"/>
      <name val="Arial"/>
      <charset val="134"/>
    </font>
    <font>
      <b/>
      <sz val="10"/>
      <color rgb="FFFF0000"/>
      <name val="Arial"/>
      <charset val="134"/>
    </font>
    <font>
      <b/>
      <sz val="12"/>
      <color rgb="FF000000"/>
      <name val="Calibri"/>
      <charset val="134"/>
    </font>
    <font>
      <b/>
      <sz val="10"/>
      <color rgb="FF000000"/>
      <name val="Calibri"/>
      <charset val="134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8EAADB"/>
        <bgColor rgb="FF8EAADB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2" fillId="3" borderId="1" xfId="0" applyFont="1" applyFill="1" applyBorder="1" applyAlignment="1"/>
    <xf numFmtId="164" fontId="2" fillId="0" borderId="1" xfId="0" applyNumberFormat="1" applyFont="1" applyBorder="1" applyAlignment="1"/>
    <xf numFmtId="0" fontId="2" fillId="0" borderId="1" xfId="0" applyFont="1" applyBorder="1" applyAlignment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/>
    <xf numFmtId="0" fontId="3" fillId="3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3" borderId="7" xfId="0" applyFont="1" applyFill="1" applyBorder="1" applyAlignment="1"/>
    <xf numFmtId="0" fontId="2" fillId="0" borderId="7" xfId="0" applyFont="1" applyBorder="1" applyAlignment="1"/>
    <xf numFmtId="0" fontId="2" fillId="0" borderId="9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3" fillId="0" borderId="2" xfId="0" applyFont="1" applyBorder="1" applyAlignment="1"/>
    <xf numFmtId="0" fontId="3" fillId="0" borderId="17" xfId="0" applyFont="1" applyBorder="1" applyAlignment="1"/>
    <xf numFmtId="0" fontId="2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2" fillId="0" borderId="0" xfId="0" applyFont="1">
      <alignment vertical="center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  <xf numFmtId="0" fontId="13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14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8" xfId="0" applyFont="1" applyBorder="1" applyAlignment="1">
      <alignment horizontal="left"/>
    </xf>
    <xf numFmtId="0" fontId="9" fillId="0" borderId="0" xfId="0" applyFont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left"/>
    </xf>
    <xf numFmtId="0" fontId="3" fillId="0" borderId="0" xfId="0" applyFont="1" applyAlignment="1">
      <alignment horizontal="center" vertical="center"/>
    </xf>
    <xf numFmtId="0" fontId="3" fillId="0" borderId="19" xfId="0" applyFont="1" applyBorder="1" applyAlignment="1">
      <alignment horizontal="left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www.wps.cn/officeDocument/2020/cellImage" Target="NUL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33</xdr:row>
      <xdr:rowOff>114300</xdr:rowOff>
    </xdr:from>
    <xdr:to>
      <xdr:col>9</xdr:col>
      <xdr:colOff>10655</xdr:colOff>
      <xdr:row>36</xdr:row>
      <xdr:rowOff>0</xdr:rowOff>
    </xdr:to>
    <xdr:grpSp>
      <xdr:nvGrpSpPr>
        <xdr:cNvPr id="2" name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pSpPr/>
      </xdr:nvGrpSpPr>
      <xdr:grpSpPr>
        <a:xfrm>
          <a:off x="716280" y="7421880"/>
          <a:ext cx="5138915" cy="601980"/>
          <a:chOff x="118242" y="7541172"/>
          <a:chExt cx="6105523" cy="541388"/>
        </a:xfrm>
      </xdr:grpSpPr>
      <xdr:grpSp>
        <xdr:nvGrpSpPr>
          <xdr:cNvPr id="3" name=" 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GrpSpPr/>
        </xdr:nvGrpSpPr>
        <xdr:grpSpPr>
          <a:xfrm>
            <a:off x="1301820" y="7541172"/>
            <a:ext cx="1067934" cy="539167"/>
            <a:chOff x="1305008" y="7854715"/>
            <a:chExt cx="961382" cy="533399"/>
          </a:xfrm>
        </xdr:grpSpPr>
        <xdr:sp macro="" textlink="">
          <xdr:nvSpPr>
            <xdr:cNvPr id="4" name="rect">
              <a:extLst>
                <a:ext uri="{FF2B5EF4-FFF2-40B4-BE49-F238E27FC236}">
                  <a16:creationId xmlns:a16="http://schemas.microsoft.com/office/drawing/2014/main" id="{00000000-0008-0000-0600-000004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100-81</a:t>
              </a:r>
            </a:p>
          </xdr:txBody>
        </xdr:sp>
        <xdr:sp macro="" textlink="">
          <xdr:nvSpPr>
            <xdr:cNvPr id="5" name="rect">
              <a:extLst>
                <a:ext uri="{FF2B5EF4-FFF2-40B4-BE49-F238E27FC236}">
                  <a16:creationId xmlns:a16="http://schemas.microsoft.com/office/drawing/2014/main" id="{00000000-0008-0000-0600-000005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A</a:t>
              </a:r>
            </a:p>
          </xdr:txBody>
        </xdr:sp>
      </xdr:grpSp>
      <xdr:grpSp>
        <xdr:nvGrpSpPr>
          <xdr:cNvPr id="6" name=" ">
            <a:extLst>
              <a:ext uri="{FF2B5EF4-FFF2-40B4-BE49-F238E27FC236}">
                <a16:creationId xmlns:a16="http://schemas.microsoft.com/office/drawing/2014/main" id="{00000000-0008-0000-0600-000006000000}"/>
              </a:ext>
            </a:extLst>
          </xdr:cNvPr>
          <xdr:cNvGrpSpPr/>
        </xdr:nvGrpSpPr>
        <xdr:grpSpPr>
          <a:xfrm>
            <a:off x="2370397" y="7541683"/>
            <a:ext cx="967565" cy="539776"/>
            <a:chOff x="1305008" y="7854715"/>
            <a:chExt cx="961382" cy="533399"/>
          </a:xfrm>
        </xdr:grpSpPr>
        <xdr:sp macro="" textlink="">
          <xdr:nvSpPr>
            <xdr:cNvPr id="7" name="rect">
              <a:extLst>
                <a:ext uri="{FF2B5EF4-FFF2-40B4-BE49-F238E27FC236}">
                  <a16:creationId xmlns:a16="http://schemas.microsoft.com/office/drawing/2014/main" id="{00000000-0008-0000-0600-000007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80-61</a:t>
              </a:r>
            </a:p>
          </xdr:txBody>
        </xdr:sp>
        <xdr:sp macro="" textlink="">
          <xdr:nvSpPr>
            <xdr:cNvPr id="8" name="rect">
              <a:extLst>
                <a:ext uri="{FF2B5EF4-FFF2-40B4-BE49-F238E27FC236}">
                  <a16:creationId xmlns:a16="http://schemas.microsoft.com/office/drawing/2014/main" id="{00000000-0008-0000-0600-000008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B</a:t>
              </a:r>
            </a:p>
          </xdr:txBody>
        </xdr:sp>
      </xdr:grpSp>
      <xdr:grpSp>
        <xdr:nvGrpSpPr>
          <xdr:cNvPr id="9" name=" ">
            <a:extLst>
              <a:ext uri="{FF2B5EF4-FFF2-40B4-BE49-F238E27FC236}">
                <a16:creationId xmlns:a16="http://schemas.microsoft.com/office/drawing/2014/main" id="{00000000-0008-0000-0600-000009000000}"/>
              </a:ext>
            </a:extLst>
          </xdr:cNvPr>
          <xdr:cNvGrpSpPr/>
        </xdr:nvGrpSpPr>
        <xdr:grpSpPr>
          <a:xfrm>
            <a:off x="3336924" y="7542839"/>
            <a:ext cx="965593" cy="538547"/>
            <a:chOff x="1305008" y="7854715"/>
            <a:chExt cx="961382" cy="533399"/>
          </a:xfrm>
        </xdr:grpSpPr>
        <xdr:sp macro="" textlink="">
          <xdr:nvSpPr>
            <xdr:cNvPr id="10" name="rect">
              <a:extLst>
                <a:ext uri="{FF2B5EF4-FFF2-40B4-BE49-F238E27FC236}">
                  <a16:creationId xmlns:a16="http://schemas.microsoft.com/office/drawing/2014/main" id="{00000000-0008-0000-0600-00000A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60-41</a:t>
              </a:r>
            </a:p>
          </xdr:txBody>
        </xdr:sp>
        <xdr:sp macro="" textlink="">
          <xdr:nvSpPr>
            <xdr:cNvPr id="11" name="rect">
              <a:extLst>
                <a:ext uri="{FF2B5EF4-FFF2-40B4-BE49-F238E27FC236}">
                  <a16:creationId xmlns:a16="http://schemas.microsoft.com/office/drawing/2014/main" id="{00000000-0008-0000-0600-00000B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C</a:t>
              </a:r>
            </a:p>
          </xdr:txBody>
        </xdr:sp>
      </xdr:grpSp>
      <xdr:grpSp>
        <xdr:nvGrpSpPr>
          <xdr:cNvPr id="12" name=" ">
            <a:extLst>
              <a:ext uri="{FF2B5EF4-FFF2-40B4-BE49-F238E27FC236}">
                <a16:creationId xmlns:a16="http://schemas.microsoft.com/office/drawing/2014/main" id="{00000000-0008-0000-0600-00000C000000}"/>
              </a:ext>
            </a:extLst>
          </xdr:cNvPr>
          <xdr:cNvGrpSpPr/>
        </xdr:nvGrpSpPr>
        <xdr:grpSpPr>
          <a:xfrm>
            <a:off x="4298073" y="7541663"/>
            <a:ext cx="966100" cy="540897"/>
            <a:chOff x="1305008" y="7854715"/>
            <a:chExt cx="961382" cy="533399"/>
          </a:xfrm>
        </xdr:grpSpPr>
        <xdr:sp macro="" textlink="">
          <xdr:nvSpPr>
            <xdr:cNvPr id="13" name="rect">
              <a:extLst>
                <a:ext uri="{FF2B5EF4-FFF2-40B4-BE49-F238E27FC236}">
                  <a16:creationId xmlns:a16="http://schemas.microsoft.com/office/drawing/2014/main" id="{00000000-0008-0000-0600-00000D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40-33</a:t>
              </a:r>
            </a:p>
          </xdr:txBody>
        </xdr:sp>
        <xdr:sp macro="" textlink="">
          <xdr:nvSpPr>
            <xdr:cNvPr id="14" name="rect">
              <a:extLst>
                <a:ext uri="{FF2B5EF4-FFF2-40B4-BE49-F238E27FC236}">
                  <a16:creationId xmlns:a16="http://schemas.microsoft.com/office/drawing/2014/main" id="{00000000-0008-0000-0600-00000E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D</a:t>
              </a:r>
            </a:p>
          </xdr:txBody>
        </xdr:sp>
      </xdr:grpSp>
      <xdr:grpSp>
        <xdr:nvGrpSpPr>
          <xdr:cNvPr id="15" name=" ">
            <a:extLst>
              <a:ext uri="{FF2B5EF4-FFF2-40B4-BE49-F238E27FC236}">
                <a16:creationId xmlns:a16="http://schemas.microsoft.com/office/drawing/2014/main" id="{00000000-0008-0000-0600-00000F000000}"/>
              </a:ext>
            </a:extLst>
          </xdr:cNvPr>
          <xdr:cNvGrpSpPr/>
        </xdr:nvGrpSpPr>
        <xdr:grpSpPr>
          <a:xfrm>
            <a:off x="5261785" y="7541172"/>
            <a:ext cx="961980" cy="539979"/>
            <a:chOff x="1305008" y="7854715"/>
            <a:chExt cx="961382" cy="533399"/>
          </a:xfrm>
        </xdr:grpSpPr>
        <xdr:sp macro="" textlink="">
          <xdr:nvSpPr>
            <xdr:cNvPr id="16" name="rect">
              <a:extLst>
                <a:ext uri="{FF2B5EF4-FFF2-40B4-BE49-F238E27FC236}">
                  <a16:creationId xmlns:a16="http://schemas.microsoft.com/office/drawing/2014/main" id="{00000000-0008-0000-0600-000010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32-0</a:t>
              </a:r>
            </a:p>
          </xdr:txBody>
        </xdr:sp>
        <xdr:sp macro="" textlink="">
          <xdr:nvSpPr>
            <xdr:cNvPr id="17" name="rect">
              <a:extLst>
                <a:ext uri="{FF2B5EF4-FFF2-40B4-BE49-F238E27FC236}">
                  <a16:creationId xmlns:a16="http://schemas.microsoft.com/office/drawing/2014/main" id="{00000000-0008-0000-0600-000011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t"/>
            <a:lstStyle/>
            <a:p>
              <a:pPr algn="ctr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E</a:t>
              </a:r>
            </a:p>
          </xdr:txBody>
        </xdr:sp>
      </xdr:grpSp>
      <xdr:grpSp>
        <xdr:nvGrpSpPr>
          <xdr:cNvPr id="18" name=" ">
            <a:extLst>
              <a:ext uri="{FF2B5EF4-FFF2-40B4-BE49-F238E27FC236}">
                <a16:creationId xmlns:a16="http://schemas.microsoft.com/office/drawing/2014/main" id="{00000000-0008-0000-0600-000012000000}"/>
              </a:ext>
            </a:extLst>
          </xdr:cNvPr>
          <xdr:cNvGrpSpPr/>
        </xdr:nvGrpSpPr>
        <xdr:grpSpPr>
          <a:xfrm>
            <a:off x="118242" y="7541172"/>
            <a:ext cx="1180246" cy="539167"/>
            <a:chOff x="1305008" y="7854715"/>
            <a:chExt cx="961382" cy="533399"/>
          </a:xfrm>
        </xdr:grpSpPr>
        <xdr:sp macro="" textlink="">
          <xdr:nvSpPr>
            <xdr:cNvPr id="19" name="rect">
              <a:extLst>
                <a:ext uri="{FF2B5EF4-FFF2-40B4-BE49-F238E27FC236}">
                  <a16:creationId xmlns:a16="http://schemas.microsoft.com/office/drawing/2014/main" id="{00000000-0008-0000-0600-000013000000}"/>
                </a:ext>
              </a:extLst>
            </xdr:cNvPr>
            <xdr:cNvSpPr/>
          </xdr:nvSpPr>
          <xdr:spPr>
            <a:xfrm>
              <a:off x="1305008" y="7854715"/>
              <a:ext cx="960733" cy="263530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ctr"/>
            <a:lstStyle/>
            <a:p>
              <a:pPr algn="l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MARKS RANGE</a:t>
              </a:r>
            </a:p>
          </xdr:txBody>
        </xdr:sp>
        <xdr:sp macro="" textlink="">
          <xdr:nvSpPr>
            <xdr:cNvPr id="20" name="rect">
              <a:extLst>
                <a:ext uri="{FF2B5EF4-FFF2-40B4-BE49-F238E27FC236}">
                  <a16:creationId xmlns:a16="http://schemas.microsoft.com/office/drawing/2014/main" id="{00000000-0008-0000-0600-000014000000}"/>
                </a:ext>
              </a:extLst>
            </xdr:cNvPr>
            <xdr:cNvSpPr/>
          </xdr:nvSpPr>
          <xdr:spPr>
            <a:xfrm>
              <a:off x="1306777" y="8122280"/>
              <a:ext cx="959613" cy="265834"/>
            </a:xfrm>
            <a:prstGeom prst="rect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/>
            </a:ln>
            <a:effectLst/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lIns="90000" tIns="46800" rIns="90000" bIns="46800" anchor="ctr"/>
            <a:lstStyle/>
            <a:p>
              <a:pPr algn="l"/>
              <a:r>
                <a:rPr lang="en-US" altLang="zh-CN" sz="1100">
                  <a:solidFill>
                    <a:srgbClr val="000000"/>
                  </a:solidFill>
                  <a:latin typeface="Calibri" panose="00000000000000000000" charset="0"/>
                  <a:ea typeface="Calibri" panose="00000000000000000000" charset="0"/>
                </a:rPr>
                <a:t>GRADE</a:t>
              </a:r>
            </a:p>
          </xdr:txBody>
        </xdr:sp>
      </xdr:grpSp>
    </xdr:grpSp>
    <xdr:clientData/>
  </xdr:twoCellAnchor>
  <xdr:twoCellAnchor>
    <xdr:from>
      <xdr:col>0</xdr:col>
      <xdr:colOff>548415</xdr:colOff>
      <xdr:row>1</xdr:row>
      <xdr:rowOff>114300</xdr:rowOff>
    </xdr:from>
    <xdr:to>
      <xdr:col>1</xdr:col>
      <xdr:colOff>1047146</xdr:colOff>
      <xdr:row>6</xdr:row>
      <xdr:rowOff>75344</xdr:rowOff>
    </xdr:to>
    <xdr:pic>
      <xdr:nvPicPr>
        <xdr:cNvPr id="21" name="Picture 2" descr=" 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0545" y="723900"/>
          <a:ext cx="1234440" cy="1188720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47299</xdr:colOff>
      <xdr:row>1</xdr:row>
      <xdr:rowOff>114300</xdr:rowOff>
    </xdr:from>
    <xdr:to>
      <xdr:col>9</xdr:col>
      <xdr:colOff>63935</xdr:colOff>
      <xdr:row>6</xdr:row>
      <xdr:rowOff>88403</xdr:rowOff>
    </xdr:to>
    <xdr:pic>
      <xdr:nvPicPr>
        <xdr:cNvPr id="22" name="Picture 1" descr=" 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4885690" y="728345"/>
          <a:ext cx="1182370" cy="120078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zoomScale="79" workbookViewId="0">
      <selection activeCell="C9" sqref="C9"/>
    </sheetView>
  </sheetViews>
  <sheetFormatPr defaultColWidth="9" defaultRowHeight="14.4"/>
  <cols>
    <col min="2" max="2" width="24" customWidth="1"/>
    <col min="3" max="3" width="18.5546875" customWidth="1"/>
    <col min="4" max="4" width="25.6640625" customWidth="1"/>
    <col min="5" max="6" width="11.109375" customWidth="1"/>
  </cols>
  <sheetData>
    <row r="1" spans="1:6">
      <c r="A1" s="34" t="s">
        <v>0</v>
      </c>
      <c r="B1" s="34"/>
      <c r="C1" s="34"/>
      <c r="D1" s="34"/>
      <c r="E1" s="34"/>
      <c r="F1" s="34"/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>
        <v>1944</v>
      </c>
      <c r="B3" s="2" t="s">
        <v>7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>
      <c r="A4" s="1">
        <v>1940</v>
      </c>
      <c r="B4" s="2" t="s">
        <v>12</v>
      </c>
      <c r="C4" s="3" t="s">
        <v>13</v>
      </c>
      <c r="D4" s="3" t="s">
        <v>14</v>
      </c>
      <c r="E4" s="3" t="s">
        <v>15</v>
      </c>
      <c r="F4" s="3" t="s">
        <v>11</v>
      </c>
    </row>
    <row r="5" spans="1:6">
      <c r="A5" s="1">
        <v>1948</v>
      </c>
      <c r="B5" s="2" t="s">
        <v>16</v>
      </c>
      <c r="C5" s="3" t="s">
        <v>17</v>
      </c>
      <c r="D5" s="3" t="s">
        <v>18</v>
      </c>
      <c r="E5" s="3" t="s">
        <v>19</v>
      </c>
      <c r="F5" s="3" t="s">
        <v>11</v>
      </c>
    </row>
    <row r="6" spans="1:6">
      <c r="A6" s="1">
        <v>1868</v>
      </c>
      <c r="B6" s="2" t="s">
        <v>20</v>
      </c>
      <c r="C6" s="3" t="s">
        <v>21</v>
      </c>
      <c r="D6" s="3" t="s">
        <v>22</v>
      </c>
      <c r="E6" s="3" t="s">
        <v>23</v>
      </c>
      <c r="F6" s="3" t="s">
        <v>11</v>
      </c>
    </row>
    <row r="7" spans="1:6">
      <c r="A7" s="1">
        <v>1939</v>
      </c>
      <c r="B7" s="2" t="s">
        <v>24</v>
      </c>
      <c r="C7" s="3" t="s">
        <v>25</v>
      </c>
      <c r="D7" s="3" t="s">
        <v>26</v>
      </c>
      <c r="E7" s="3" t="s">
        <v>27</v>
      </c>
      <c r="F7" s="3" t="s">
        <v>11</v>
      </c>
    </row>
    <row r="8" spans="1:6">
      <c r="A8" s="1">
        <v>1956</v>
      </c>
      <c r="B8" s="3" t="s">
        <v>153</v>
      </c>
      <c r="C8" s="3" t="s">
        <v>156</v>
      </c>
      <c r="D8" s="3" t="s">
        <v>155</v>
      </c>
      <c r="E8" s="3" t="s">
        <v>154</v>
      </c>
      <c r="F8" s="3" t="s">
        <v>11</v>
      </c>
    </row>
    <row r="9" spans="1:6">
      <c r="A9" s="1">
        <v>1882</v>
      </c>
      <c r="B9" s="2" t="s">
        <v>28</v>
      </c>
      <c r="C9" s="3" t="s">
        <v>29</v>
      </c>
      <c r="D9" s="3" t="s">
        <v>30</v>
      </c>
      <c r="E9" s="3" t="s">
        <v>31</v>
      </c>
      <c r="F9" s="3" t="s">
        <v>11</v>
      </c>
    </row>
    <row r="10" spans="1:6">
      <c r="A10" s="1">
        <v>1954</v>
      </c>
      <c r="B10" s="2" t="s">
        <v>32</v>
      </c>
      <c r="C10" s="3" t="s">
        <v>33</v>
      </c>
      <c r="D10" s="3" t="s">
        <v>34</v>
      </c>
      <c r="E10" s="3" t="s">
        <v>35</v>
      </c>
      <c r="F10" s="3" t="s">
        <v>11</v>
      </c>
    </row>
    <row r="11" spans="1:6">
      <c r="A11" s="1">
        <v>1923</v>
      </c>
      <c r="B11" s="2" t="s">
        <v>36</v>
      </c>
      <c r="C11" s="3" t="s">
        <v>37</v>
      </c>
      <c r="D11" s="3" t="s">
        <v>38</v>
      </c>
      <c r="E11" s="3" t="s">
        <v>39</v>
      </c>
      <c r="F11" s="3" t="s">
        <v>11</v>
      </c>
    </row>
    <row r="12" spans="1:6">
      <c r="A12" s="1">
        <v>1893</v>
      </c>
      <c r="B12" s="2" t="s">
        <v>40</v>
      </c>
      <c r="C12" s="3" t="s">
        <v>41</v>
      </c>
      <c r="D12" s="3" t="s">
        <v>42</v>
      </c>
      <c r="E12" s="3" t="s">
        <v>43</v>
      </c>
      <c r="F12" s="3" t="s">
        <v>11</v>
      </c>
    </row>
    <row r="13" spans="1:6">
      <c r="A13" s="1">
        <v>1843</v>
      </c>
      <c r="B13" s="2" t="s">
        <v>44</v>
      </c>
      <c r="C13" s="3" t="s">
        <v>45</v>
      </c>
      <c r="D13" s="3" t="s">
        <v>46</v>
      </c>
      <c r="E13" s="3" t="s">
        <v>47</v>
      </c>
      <c r="F13" s="3" t="s">
        <v>11</v>
      </c>
    </row>
    <row r="14" spans="1:6">
      <c r="A14" s="1">
        <v>1858</v>
      </c>
      <c r="B14" s="2" t="s">
        <v>48</v>
      </c>
      <c r="C14" s="3" t="s">
        <v>49</v>
      </c>
      <c r="D14" s="3" t="s">
        <v>50</v>
      </c>
      <c r="E14" s="3" t="s">
        <v>51</v>
      </c>
      <c r="F14" s="3" t="s">
        <v>11</v>
      </c>
    </row>
    <row r="15" spans="1:6">
      <c r="A15" s="1">
        <v>1877</v>
      </c>
      <c r="B15" s="2" t="s">
        <v>52</v>
      </c>
      <c r="C15" s="3" t="s">
        <v>53</v>
      </c>
      <c r="D15" s="3" t="s">
        <v>54</v>
      </c>
      <c r="E15" s="3" t="s">
        <v>55</v>
      </c>
      <c r="F15" s="3" t="s">
        <v>11</v>
      </c>
    </row>
    <row r="16" spans="1:6">
      <c r="A16" s="1">
        <v>1851</v>
      </c>
      <c r="B16" s="2" t="s">
        <v>56</v>
      </c>
      <c r="C16" s="3" t="s">
        <v>57</v>
      </c>
      <c r="D16" s="3" t="s">
        <v>58</v>
      </c>
      <c r="E16" s="3" t="s">
        <v>59</v>
      </c>
      <c r="F16" s="3" t="s">
        <v>11</v>
      </c>
    </row>
    <row r="17" spans="1:6">
      <c r="A17" s="1">
        <v>1889</v>
      </c>
      <c r="B17" s="2" t="s">
        <v>60</v>
      </c>
      <c r="C17" s="3" t="s">
        <v>61</v>
      </c>
      <c r="D17" s="3" t="s">
        <v>62</v>
      </c>
      <c r="E17" s="3" t="s">
        <v>63</v>
      </c>
      <c r="F17" s="3" t="s">
        <v>11</v>
      </c>
    </row>
    <row r="18" spans="1:6">
      <c r="A18" s="1">
        <v>1905</v>
      </c>
      <c r="B18" s="2" t="s">
        <v>64</v>
      </c>
      <c r="C18" s="3" t="s">
        <v>65</v>
      </c>
      <c r="D18" s="3" t="s">
        <v>66</v>
      </c>
      <c r="E18" s="3" t="s">
        <v>43</v>
      </c>
      <c r="F18" s="3" t="s">
        <v>11</v>
      </c>
    </row>
    <row r="19" spans="1:6">
      <c r="A19" s="1">
        <v>1874</v>
      </c>
      <c r="B19" s="2" t="s">
        <v>67</v>
      </c>
      <c r="C19" s="3" t="s">
        <v>68</v>
      </c>
      <c r="D19" s="3" t="s">
        <v>69</v>
      </c>
      <c r="E19" s="3" t="s">
        <v>70</v>
      </c>
      <c r="F19" s="3" t="s">
        <v>11</v>
      </c>
    </row>
    <row r="20" spans="1:6">
      <c r="A20" s="1"/>
      <c r="B20" s="3"/>
      <c r="C20" s="3"/>
      <c r="D20" s="3"/>
      <c r="E20" s="3"/>
      <c r="F20" s="3"/>
    </row>
    <row r="21" spans="1:6">
      <c r="A21" s="1"/>
      <c r="B21" s="3"/>
      <c r="C21" s="3"/>
      <c r="D21" s="3"/>
      <c r="E21" s="3"/>
      <c r="F21" s="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23"/>
  <sheetViews>
    <sheetView zoomScale="85" workbookViewId="0">
      <selection activeCell="C21" sqref="C21"/>
    </sheetView>
  </sheetViews>
  <sheetFormatPr defaultColWidth="9" defaultRowHeight="14.4"/>
  <cols>
    <col min="2" max="2" width="28.33203125" customWidth="1"/>
    <col min="14" max="14" width="8.33203125" customWidth="1"/>
    <col min="19" max="19" width="9.44140625" customWidth="1"/>
    <col min="22" max="22" width="11.5546875" customWidth="1"/>
  </cols>
  <sheetData>
    <row r="1" spans="1:22">
      <c r="A1" s="35" t="s">
        <v>150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40.799999999999997" customHeight="1">
      <c r="A2" s="4" t="s">
        <v>71</v>
      </c>
      <c r="B2" s="4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80</v>
      </c>
      <c r="K2" s="5" t="s">
        <v>81</v>
      </c>
      <c r="L2" s="5" t="s">
        <v>82</v>
      </c>
      <c r="M2" s="5" t="s">
        <v>83</v>
      </c>
      <c r="N2" s="5" t="s">
        <v>84</v>
      </c>
      <c r="O2" s="5" t="s">
        <v>85</v>
      </c>
      <c r="P2" s="5" t="s">
        <v>86</v>
      </c>
      <c r="Q2" s="5" t="s">
        <v>87</v>
      </c>
      <c r="R2" s="6" t="s">
        <v>137</v>
      </c>
      <c r="S2" s="7" t="s">
        <v>144</v>
      </c>
      <c r="T2" s="7" t="s">
        <v>92</v>
      </c>
      <c r="U2" s="7" t="s">
        <v>145</v>
      </c>
      <c r="V2" s="7" t="s">
        <v>146</v>
      </c>
    </row>
    <row r="3" spans="1:22">
      <c r="A3" s="1">
        <f>DETAILS!A3</f>
        <v>1944</v>
      </c>
      <c r="B3" s="3" t="str">
        <f>DETAILS!B3</f>
        <v>AARUSH YADUVANSHI</v>
      </c>
      <c r="C3" s="8" t="s">
        <v>149</v>
      </c>
      <c r="D3" s="8">
        <v>17</v>
      </c>
      <c r="E3" s="8" t="s">
        <v>149</v>
      </c>
      <c r="F3" s="8" t="s">
        <v>149</v>
      </c>
      <c r="G3" s="8">
        <v>17</v>
      </c>
      <c r="H3" s="8" t="s">
        <v>149</v>
      </c>
      <c r="I3" s="8" t="s">
        <v>149</v>
      </c>
      <c r="J3" s="8">
        <v>17</v>
      </c>
      <c r="K3" s="8">
        <v>17</v>
      </c>
      <c r="L3" s="8">
        <v>17</v>
      </c>
      <c r="M3" s="8" t="s">
        <v>147</v>
      </c>
      <c r="N3" s="8" t="s">
        <v>149</v>
      </c>
      <c r="O3" s="8" t="s">
        <v>97</v>
      </c>
      <c r="P3" s="8" t="s">
        <v>97</v>
      </c>
      <c r="Q3" s="9">
        <f t="shared" ref="Q3:Q19" si="0">SUM(C3:P3)</f>
        <v>85</v>
      </c>
      <c r="R3" s="9" t="str">
        <f>Q3/5&amp;" %"</f>
        <v>17 %</v>
      </c>
      <c r="S3" s="10">
        <v>2</v>
      </c>
      <c r="T3" s="10">
        <v>7</v>
      </c>
      <c r="U3" s="11"/>
      <c r="V3" s="12"/>
    </row>
    <row r="4" spans="1:22">
      <c r="A4" s="1">
        <f>DETAILS!A4</f>
        <v>1940</v>
      </c>
      <c r="B4" s="3" t="str">
        <f>DETAILS!B4</f>
        <v>ADITRI CHAUDHARI</v>
      </c>
      <c r="C4" s="8" t="s">
        <v>149</v>
      </c>
      <c r="D4" s="8">
        <v>17</v>
      </c>
      <c r="E4" s="8" t="s">
        <v>149</v>
      </c>
      <c r="F4" s="8" t="s">
        <v>149</v>
      </c>
      <c r="G4" s="8">
        <v>17</v>
      </c>
      <c r="H4" s="8" t="s">
        <v>149</v>
      </c>
      <c r="I4" s="8" t="s">
        <v>149</v>
      </c>
      <c r="J4" s="8">
        <v>17</v>
      </c>
      <c r="K4" s="8">
        <v>17</v>
      </c>
      <c r="L4" s="8">
        <v>17</v>
      </c>
      <c r="M4" s="8" t="s">
        <v>142</v>
      </c>
      <c r="N4" s="8" t="s">
        <v>149</v>
      </c>
      <c r="O4" s="8" t="s">
        <v>142</v>
      </c>
      <c r="P4" s="8" t="s">
        <v>142</v>
      </c>
      <c r="Q4" s="9">
        <f t="shared" si="0"/>
        <v>85</v>
      </c>
      <c r="R4" s="9" t="str">
        <f t="shared" ref="R4:R19" si="1">Q4/5&amp;" %"</f>
        <v>17 %</v>
      </c>
      <c r="S4" s="10">
        <v>12</v>
      </c>
      <c r="T4" s="10">
        <v>12</v>
      </c>
      <c r="U4" s="11"/>
      <c r="V4" s="12"/>
    </row>
    <row r="5" spans="1:22">
      <c r="A5" s="1">
        <f>DETAILS!A5</f>
        <v>1948</v>
      </c>
      <c r="B5" s="3" t="str">
        <f>DETAILS!B5</f>
        <v>AHEM</v>
      </c>
      <c r="C5" s="8" t="s">
        <v>149</v>
      </c>
      <c r="D5" s="8" t="s">
        <v>149</v>
      </c>
      <c r="E5" s="8">
        <v>50</v>
      </c>
      <c r="F5" s="8" t="s">
        <v>149</v>
      </c>
      <c r="G5" s="8" t="s">
        <v>149</v>
      </c>
      <c r="H5" s="8" t="s">
        <v>149</v>
      </c>
      <c r="I5" s="8" t="s">
        <v>149</v>
      </c>
      <c r="J5" s="8" t="s">
        <v>149</v>
      </c>
      <c r="K5" s="8" t="s">
        <v>149</v>
      </c>
      <c r="L5" s="8" t="s">
        <v>149</v>
      </c>
      <c r="M5" s="8" t="s">
        <v>149</v>
      </c>
      <c r="N5" s="8" t="s">
        <v>149</v>
      </c>
      <c r="O5" s="8" t="s">
        <v>149</v>
      </c>
      <c r="P5" s="8" t="s">
        <v>149</v>
      </c>
      <c r="Q5" s="9">
        <f t="shared" si="0"/>
        <v>50</v>
      </c>
      <c r="R5" s="9" t="str">
        <f t="shared" si="1"/>
        <v>10 %</v>
      </c>
      <c r="S5" s="10">
        <v>2</v>
      </c>
      <c r="T5" s="10">
        <v>2</v>
      </c>
      <c r="U5" s="11"/>
      <c r="V5" s="12"/>
    </row>
    <row r="6" spans="1:22">
      <c r="A6" s="1">
        <f>DETAILS!A6</f>
        <v>1868</v>
      </c>
      <c r="B6" s="3" t="str">
        <f>DETAILS!B6</f>
        <v>ANUSHKA RAJ</v>
      </c>
      <c r="C6" s="8">
        <v>43</v>
      </c>
      <c r="D6" s="8">
        <v>40</v>
      </c>
      <c r="E6" s="8">
        <v>30</v>
      </c>
      <c r="F6" s="8">
        <v>43</v>
      </c>
      <c r="G6" s="8">
        <v>40</v>
      </c>
      <c r="H6" s="8">
        <v>30</v>
      </c>
      <c r="I6" s="8">
        <v>39</v>
      </c>
      <c r="J6" s="8">
        <v>50</v>
      </c>
      <c r="K6" s="8">
        <v>50</v>
      </c>
      <c r="L6" s="8">
        <v>40</v>
      </c>
      <c r="M6" s="8" t="s">
        <v>97</v>
      </c>
      <c r="N6" s="8" t="s">
        <v>94</v>
      </c>
      <c r="O6" s="8" t="s">
        <v>97</v>
      </c>
      <c r="P6" s="8" t="s">
        <v>97</v>
      </c>
      <c r="Q6" s="9">
        <f t="shared" si="0"/>
        <v>405</v>
      </c>
      <c r="R6" s="9" t="str">
        <f t="shared" si="1"/>
        <v>81 %</v>
      </c>
      <c r="S6" s="10">
        <v>32</v>
      </c>
      <c r="T6" s="10">
        <v>55</v>
      </c>
      <c r="U6" s="11"/>
      <c r="V6" s="12"/>
    </row>
    <row r="7" spans="1:22">
      <c r="A7" s="1">
        <f>DETAILS!A7</f>
        <v>1939</v>
      </c>
      <c r="B7" s="3" t="str">
        <f>DETAILS!B7</f>
        <v>ARNAV SINGH</v>
      </c>
      <c r="C7" s="8">
        <v>47</v>
      </c>
      <c r="D7" s="8">
        <v>50</v>
      </c>
      <c r="E7" s="8">
        <v>45</v>
      </c>
      <c r="F7" s="8">
        <v>46</v>
      </c>
      <c r="G7" s="8">
        <v>50</v>
      </c>
      <c r="H7" s="8">
        <v>45</v>
      </c>
      <c r="I7" s="8">
        <v>46</v>
      </c>
      <c r="J7" s="8">
        <v>50</v>
      </c>
      <c r="K7" s="8">
        <v>50</v>
      </c>
      <c r="L7" s="8">
        <v>50</v>
      </c>
      <c r="M7" s="8" t="s">
        <v>94</v>
      </c>
      <c r="N7" s="8" t="s">
        <v>94</v>
      </c>
      <c r="O7" s="8" t="s">
        <v>94</v>
      </c>
      <c r="P7" s="8" t="s">
        <v>94</v>
      </c>
      <c r="Q7" s="9">
        <f t="shared" si="0"/>
        <v>479</v>
      </c>
      <c r="R7" s="9" t="str">
        <f t="shared" si="1"/>
        <v>95.8 %</v>
      </c>
      <c r="S7" s="10">
        <v>15</v>
      </c>
      <c r="T7" s="10">
        <v>17</v>
      </c>
      <c r="U7" s="11"/>
      <c r="V7" s="12"/>
    </row>
    <row r="8" spans="1:22">
      <c r="A8" s="1">
        <f>DETAILS!A8</f>
        <v>1956</v>
      </c>
      <c r="B8" s="3" t="str">
        <f>DETAILS!B8</f>
        <v>ATHARV UPADHYAY</v>
      </c>
      <c r="C8" s="8" t="s">
        <v>149</v>
      </c>
      <c r="D8" s="8" t="s">
        <v>149</v>
      </c>
      <c r="E8" s="8" t="s">
        <v>149</v>
      </c>
      <c r="F8" s="8" t="s">
        <v>149</v>
      </c>
      <c r="G8" s="8" t="s">
        <v>149</v>
      </c>
      <c r="H8" s="8" t="s">
        <v>149</v>
      </c>
      <c r="I8" s="8" t="s">
        <v>149</v>
      </c>
      <c r="J8" s="8" t="s">
        <v>149</v>
      </c>
      <c r="K8" s="8" t="s">
        <v>149</v>
      </c>
      <c r="L8" s="8" t="s">
        <v>149</v>
      </c>
      <c r="M8" s="8" t="s">
        <v>149</v>
      </c>
      <c r="N8" s="8" t="s">
        <v>149</v>
      </c>
      <c r="O8" s="8" t="s">
        <v>149</v>
      </c>
      <c r="P8" s="8" t="s">
        <v>149</v>
      </c>
      <c r="Q8" s="8" t="s">
        <v>149</v>
      </c>
      <c r="R8" s="8" t="s">
        <v>149</v>
      </c>
      <c r="S8" s="8" t="s">
        <v>149</v>
      </c>
      <c r="T8" s="8" t="s">
        <v>149</v>
      </c>
      <c r="U8" s="8" t="s">
        <v>149</v>
      </c>
      <c r="V8" s="8" t="s">
        <v>149</v>
      </c>
    </row>
    <row r="9" spans="1:22">
      <c r="A9" s="1">
        <f>DETAILS!A9</f>
        <v>1882</v>
      </c>
      <c r="B9" s="3" t="str">
        <f>DETAILS!B9</f>
        <v>ATHRAV SINGH</v>
      </c>
      <c r="C9" s="8">
        <v>49</v>
      </c>
      <c r="D9" s="8">
        <v>50</v>
      </c>
      <c r="E9" s="8">
        <v>48</v>
      </c>
      <c r="F9" s="8">
        <v>50</v>
      </c>
      <c r="G9" s="8">
        <v>50</v>
      </c>
      <c r="H9" s="8">
        <v>48</v>
      </c>
      <c r="I9" s="8">
        <v>48</v>
      </c>
      <c r="J9" s="8">
        <v>50</v>
      </c>
      <c r="K9" s="8">
        <v>50</v>
      </c>
      <c r="L9" s="8">
        <v>50</v>
      </c>
      <c r="M9" s="8" t="s">
        <v>94</v>
      </c>
      <c r="N9" s="8" t="s">
        <v>94</v>
      </c>
      <c r="O9" s="8" t="s">
        <v>94</v>
      </c>
      <c r="P9" s="8" t="s">
        <v>94</v>
      </c>
      <c r="Q9" s="9">
        <f t="shared" si="0"/>
        <v>493</v>
      </c>
      <c r="R9" s="9" t="str">
        <f t="shared" si="1"/>
        <v>98.6 %</v>
      </c>
      <c r="S9" s="10">
        <v>37</v>
      </c>
      <c r="T9" s="10">
        <v>55</v>
      </c>
      <c r="U9" s="11"/>
      <c r="V9" s="12"/>
    </row>
    <row r="10" spans="1:22">
      <c r="A10" s="1">
        <f>DETAILS!A10</f>
        <v>1954</v>
      </c>
      <c r="B10" s="3" t="str">
        <f>DETAILS!B10</f>
        <v>AVANTIKA</v>
      </c>
      <c r="C10" s="8" t="s">
        <v>149</v>
      </c>
      <c r="D10" s="8" t="s">
        <v>149</v>
      </c>
      <c r="E10" s="8" t="s">
        <v>149</v>
      </c>
      <c r="F10" s="8" t="s">
        <v>149</v>
      </c>
      <c r="G10" s="8" t="s">
        <v>149</v>
      </c>
      <c r="H10" s="8" t="s">
        <v>149</v>
      </c>
      <c r="I10" s="8" t="s">
        <v>149</v>
      </c>
      <c r="J10" s="8" t="s">
        <v>149</v>
      </c>
      <c r="K10" s="8" t="s">
        <v>149</v>
      </c>
      <c r="L10" s="8" t="s">
        <v>149</v>
      </c>
      <c r="M10" s="8" t="s">
        <v>149</v>
      </c>
      <c r="N10" s="8" t="s">
        <v>149</v>
      </c>
      <c r="O10" s="8" t="s">
        <v>149</v>
      </c>
      <c r="P10" s="8" t="s">
        <v>149</v>
      </c>
      <c r="Q10" s="9">
        <f t="shared" si="0"/>
        <v>0</v>
      </c>
      <c r="R10" s="9" t="str">
        <f t="shared" si="1"/>
        <v>0 %</v>
      </c>
      <c r="S10" s="10" t="s">
        <v>149</v>
      </c>
      <c r="T10" s="10" t="s">
        <v>149</v>
      </c>
      <c r="U10" s="11"/>
      <c r="V10" s="12"/>
    </row>
    <row r="11" spans="1:22">
      <c r="A11" s="1">
        <f>DETAILS!A11</f>
        <v>1923</v>
      </c>
      <c r="B11" s="3" t="str">
        <f>DETAILS!B11</f>
        <v>AVIKA MAURYA</v>
      </c>
      <c r="C11" s="8">
        <v>39</v>
      </c>
      <c r="D11" s="8">
        <v>40</v>
      </c>
      <c r="E11" s="8">
        <v>30</v>
      </c>
      <c r="F11" s="8">
        <v>40</v>
      </c>
      <c r="G11" s="8">
        <v>40</v>
      </c>
      <c r="H11" s="8">
        <v>30</v>
      </c>
      <c r="I11" s="8">
        <v>39</v>
      </c>
      <c r="J11" s="8">
        <v>40</v>
      </c>
      <c r="K11" s="8">
        <v>50</v>
      </c>
      <c r="L11" s="8">
        <v>40</v>
      </c>
      <c r="M11" s="8" t="s">
        <v>97</v>
      </c>
      <c r="N11" s="8" t="s">
        <v>94</v>
      </c>
      <c r="O11" s="8" t="s">
        <v>97</v>
      </c>
      <c r="P11" s="8" t="s">
        <v>97</v>
      </c>
      <c r="Q11" s="9">
        <f t="shared" si="0"/>
        <v>388</v>
      </c>
      <c r="R11" s="9" t="str">
        <f t="shared" si="1"/>
        <v>77.6 %</v>
      </c>
      <c r="S11" s="10">
        <v>13</v>
      </c>
      <c r="T11" s="10">
        <v>17</v>
      </c>
      <c r="U11" s="11"/>
      <c r="V11" s="12"/>
    </row>
    <row r="12" spans="1:22">
      <c r="A12" s="1">
        <f>DETAILS!A12</f>
        <v>1893</v>
      </c>
      <c r="B12" s="3" t="str">
        <f>DETAILS!B12</f>
        <v>DAKSH</v>
      </c>
      <c r="C12" s="8">
        <v>28</v>
      </c>
      <c r="D12" s="8">
        <v>17</v>
      </c>
      <c r="E12" s="8">
        <v>20</v>
      </c>
      <c r="F12" s="8">
        <v>28</v>
      </c>
      <c r="G12" s="8">
        <v>17</v>
      </c>
      <c r="H12" s="8">
        <v>25</v>
      </c>
      <c r="I12" s="8">
        <v>31</v>
      </c>
      <c r="J12" s="8">
        <v>17</v>
      </c>
      <c r="K12" s="8">
        <v>25</v>
      </c>
      <c r="L12" s="8">
        <v>17</v>
      </c>
      <c r="M12" s="8" t="s">
        <v>142</v>
      </c>
      <c r="N12" s="8" t="s">
        <v>97</v>
      </c>
      <c r="O12" s="8" t="s">
        <v>142</v>
      </c>
      <c r="P12" s="8" t="s">
        <v>143</v>
      </c>
      <c r="Q12" s="9">
        <f t="shared" si="0"/>
        <v>225</v>
      </c>
      <c r="R12" s="9" t="str">
        <f t="shared" si="1"/>
        <v>45 %</v>
      </c>
      <c r="S12" s="10">
        <v>26</v>
      </c>
      <c r="T12" s="10">
        <v>55</v>
      </c>
      <c r="U12" s="11"/>
      <c r="V12" s="12"/>
    </row>
    <row r="13" spans="1:22">
      <c r="A13" s="1">
        <f>DETAILS!A13</f>
        <v>1843</v>
      </c>
      <c r="B13" s="3" t="str">
        <f>DETAILS!B13</f>
        <v>DEV MISHRA</v>
      </c>
      <c r="C13" s="8">
        <v>42</v>
      </c>
      <c r="D13" s="8">
        <v>40</v>
      </c>
      <c r="E13" s="8">
        <v>30</v>
      </c>
      <c r="F13" s="8">
        <v>38</v>
      </c>
      <c r="G13" s="8">
        <v>30</v>
      </c>
      <c r="H13" s="8">
        <v>30</v>
      </c>
      <c r="I13" s="8">
        <v>36</v>
      </c>
      <c r="J13" s="8">
        <v>50</v>
      </c>
      <c r="K13" s="8">
        <v>50</v>
      </c>
      <c r="L13" s="8">
        <v>40</v>
      </c>
      <c r="M13" s="8" t="s">
        <v>97</v>
      </c>
      <c r="N13" s="8" t="s">
        <v>97</v>
      </c>
      <c r="O13" s="8" t="s">
        <v>94</v>
      </c>
      <c r="P13" s="8" t="s">
        <v>94</v>
      </c>
      <c r="Q13" s="9">
        <f t="shared" si="0"/>
        <v>386</v>
      </c>
      <c r="R13" s="9" t="str">
        <f t="shared" si="1"/>
        <v>77.2 %</v>
      </c>
      <c r="S13" s="10">
        <v>45</v>
      </c>
      <c r="T13" s="10">
        <v>55</v>
      </c>
      <c r="U13" s="11"/>
      <c r="V13" s="12"/>
    </row>
    <row r="14" spans="1:22">
      <c r="A14" s="1">
        <f>DETAILS!A14</f>
        <v>1858</v>
      </c>
      <c r="B14" s="3" t="str">
        <f>DETAILS!B14</f>
        <v>DEVESH RAJPOOT</v>
      </c>
      <c r="C14" s="8">
        <v>46</v>
      </c>
      <c r="D14" s="8">
        <v>45</v>
      </c>
      <c r="E14" s="8">
        <v>40</v>
      </c>
      <c r="F14" s="8">
        <v>44</v>
      </c>
      <c r="G14" s="8">
        <v>50</v>
      </c>
      <c r="H14" s="8">
        <v>40</v>
      </c>
      <c r="I14" s="8">
        <v>40</v>
      </c>
      <c r="J14" s="8">
        <v>40</v>
      </c>
      <c r="K14" s="8">
        <v>40</v>
      </c>
      <c r="L14" s="8">
        <v>40</v>
      </c>
      <c r="M14" s="8" t="s">
        <v>94</v>
      </c>
      <c r="N14" s="8" t="s">
        <v>94</v>
      </c>
      <c r="O14" s="8" t="s">
        <v>94</v>
      </c>
      <c r="P14" s="8" t="s">
        <v>94</v>
      </c>
      <c r="Q14" s="9">
        <f t="shared" si="0"/>
        <v>425</v>
      </c>
      <c r="R14" s="9" t="str">
        <f t="shared" si="1"/>
        <v>85 %</v>
      </c>
      <c r="S14" s="10">
        <v>42</v>
      </c>
      <c r="T14" s="10">
        <v>55</v>
      </c>
      <c r="U14" s="11"/>
      <c r="V14" s="12"/>
    </row>
    <row r="15" spans="1:22">
      <c r="A15" s="1">
        <f>DETAILS!A15</f>
        <v>1877</v>
      </c>
      <c r="B15" s="3" t="str">
        <f>DETAILS!B15</f>
        <v>INDRABH YADAV</v>
      </c>
      <c r="C15" s="8">
        <v>43</v>
      </c>
      <c r="D15" s="8">
        <v>50</v>
      </c>
      <c r="E15" s="8">
        <v>40</v>
      </c>
      <c r="F15" s="8">
        <v>41</v>
      </c>
      <c r="G15" s="8">
        <v>45</v>
      </c>
      <c r="H15" s="8">
        <v>40</v>
      </c>
      <c r="I15" s="8">
        <v>45</v>
      </c>
      <c r="J15" s="8">
        <v>45</v>
      </c>
      <c r="K15" s="8">
        <v>50</v>
      </c>
      <c r="L15" s="8">
        <v>50</v>
      </c>
      <c r="M15" s="8" t="s">
        <v>94</v>
      </c>
      <c r="N15" s="8" t="s">
        <v>94</v>
      </c>
      <c r="O15" s="8" t="s">
        <v>94</v>
      </c>
      <c r="P15" s="8" t="s">
        <v>94</v>
      </c>
      <c r="Q15" s="9">
        <f t="shared" si="0"/>
        <v>449</v>
      </c>
      <c r="R15" s="9" t="str">
        <f t="shared" si="1"/>
        <v>89.8 %</v>
      </c>
      <c r="S15" s="10">
        <v>41</v>
      </c>
      <c r="T15" s="10">
        <v>55</v>
      </c>
      <c r="U15" s="11"/>
      <c r="V15" s="12"/>
    </row>
    <row r="16" spans="1:22">
      <c r="A16" s="1">
        <f>DETAILS!A16</f>
        <v>1851</v>
      </c>
      <c r="B16" s="3" t="str">
        <f>DETAILS!B16</f>
        <v>KARTIKEY SINGH</v>
      </c>
      <c r="C16" s="8">
        <v>47</v>
      </c>
      <c r="D16" s="8">
        <v>45</v>
      </c>
      <c r="E16" s="8">
        <v>47</v>
      </c>
      <c r="F16" s="8">
        <v>40</v>
      </c>
      <c r="G16" s="8">
        <v>50</v>
      </c>
      <c r="H16" s="8">
        <v>47</v>
      </c>
      <c r="I16" s="8">
        <v>47</v>
      </c>
      <c r="J16" s="8">
        <v>50</v>
      </c>
      <c r="K16" s="8">
        <v>50</v>
      </c>
      <c r="L16" s="8">
        <v>50</v>
      </c>
      <c r="M16" s="8" t="s">
        <v>94</v>
      </c>
      <c r="N16" s="8" t="s">
        <v>94</v>
      </c>
      <c r="O16" s="8" t="s">
        <v>94</v>
      </c>
      <c r="P16" s="8" t="s">
        <v>94</v>
      </c>
      <c r="Q16" s="9">
        <f t="shared" si="0"/>
        <v>473</v>
      </c>
      <c r="R16" s="9" t="str">
        <f t="shared" si="1"/>
        <v>94.6 %</v>
      </c>
      <c r="S16" s="10">
        <v>41</v>
      </c>
      <c r="T16" s="10">
        <v>55</v>
      </c>
      <c r="U16" s="11"/>
      <c r="V16" s="12"/>
    </row>
    <row r="17" spans="1:22">
      <c r="A17" s="1">
        <f>DETAILS!A17</f>
        <v>1889</v>
      </c>
      <c r="B17" s="3" t="str">
        <f>DETAILS!B17</f>
        <v>MOHD. ARIZ</v>
      </c>
      <c r="C17" s="8">
        <v>44</v>
      </c>
      <c r="D17" s="8">
        <v>45</v>
      </c>
      <c r="E17" s="8">
        <v>30</v>
      </c>
      <c r="F17" s="8">
        <v>46</v>
      </c>
      <c r="G17" s="8">
        <v>50</v>
      </c>
      <c r="H17" s="8">
        <v>30</v>
      </c>
      <c r="I17" s="8">
        <v>46</v>
      </c>
      <c r="J17" s="8">
        <v>50</v>
      </c>
      <c r="K17" s="8">
        <v>45</v>
      </c>
      <c r="L17" s="8">
        <v>50</v>
      </c>
      <c r="M17" s="8" t="s">
        <v>94</v>
      </c>
      <c r="N17" s="8" t="s">
        <v>94</v>
      </c>
      <c r="O17" s="8" t="s">
        <v>94</v>
      </c>
      <c r="P17" s="8" t="s">
        <v>94</v>
      </c>
      <c r="Q17" s="9">
        <f t="shared" si="0"/>
        <v>436</v>
      </c>
      <c r="R17" s="9" t="str">
        <f t="shared" si="1"/>
        <v>87.2 %</v>
      </c>
      <c r="S17" s="10">
        <v>29</v>
      </c>
      <c r="T17" s="10">
        <v>55</v>
      </c>
      <c r="U17" s="11"/>
      <c r="V17" s="12"/>
    </row>
    <row r="18" spans="1:22">
      <c r="A18" s="1">
        <f>DETAILS!A18</f>
        <v>1905</v>
      </c>
      <c r="B18" s="3" t="str">
        <f>DETAILS!B18</f>
        <v>RAVNOOR KAUR</v>
      </c>
      <c r="C18" s="8" t="s">
        <v>147</v>
      </c>
      <c r="D18" s="8" t="s">
        <v>147</v>
      </c>
      <c r="E18" s="8">
        <v>48</v>
      </c>
      <c r="F18" s="8">
        <v>40</v>
      </c>
      <c r="G18" s="8">
        <v>50</v>
      </c>
      <c r="H18" s="8">
        <v>48</v>
      </c>
      <c r="I18" s="8">
        <v>49</v>
      </c>
      <c r="J18" s="8">
        <v>50</v>
      </c>
      <c r="K18" s="8" t="s">
        <v>147</v>
      </c>
      <c r="L18" s="8">
        <v>40</v>
      </c>
      <c r="M18" s="8" t="s">
        <v>94</v>
      </c>
      <c r="N18" s="8" t="s">
        <v>148</v>
      </c>
      <c r="O18" s="8" t="s">
        <v>94</v>
      </c>
      <c r="P18" s="8" t="s">
        <v>94</v>
      </c>
      <c r="Q18" s="9">
        <f t="shared" si="0"/>
        <v>325</v>
      </c>
      <c r="R18" s="9" t="str">
        <f t="shared" si="1"/>
        <v>65 %</v>
      </c>
      <c r="S18" s="10">
        <v>21</v>
      </c>
      <c r="T18" s="10">
        <v>55</v>
      </c>
      <c r="U18" s="11"/>
      <c r="V18" s="12"/>
    </row>
    <row r="19" spans="1:22">
      <c r="A19" s="1">
        <f>DETAILS!A19</f>
        <v>1874</v>
      </c>
      <c r="B19" s="3" t="str">
        <f>DETAILS!B19</f>
        <v>SEHRISH</v>
      </c>
      <c r="C19" s="8">
        <v>47</v>
      </c>
      <c r="D19" s="8">
        <v>50</v>
      </c>
      <c r="E19" s="8">
        <v>45</v>
      </c>
      <c r="F19" s="8">
        <v>40</v>
      </c>
      <c r="G19" s="8">
        <v>45</v>
      </c>
      <c r="H19" s="8">
        <v>45</v>
      </c>
      <c r="I19" s="8">
        <v>40</v>
      </c>
      <c r="J19" s="8">
        <v>50</v>
      </c>
      <c r="K19" s="8">
        <v>50</v>
      </c>
      <c r="L19" s="8">
        <v>50</v>
      </c>
      <c r="M19" s="8" t="s">
        <v>147</v>
      </c>
      <c r="N19" s="8" t="s">
        <v>94</v>
      </c>
      <c r="O19" s="8" t="s">
        <v>94</v>
      </c>
      <c r="P19" s="8" t="s">
        <v>94</v>
      </c>
      <c r="Q19" s="9">
        <f t="shared" si="0"/>
        <v>462</v>
      </c>
      <c r="R19" s="9" t="str">
        <f t="shared" si="1"/>
        <v>92.4 %</v>
      </c>
      <c r="S19" s="10">
        <v>41</v>
      </c>
      <c r="T19" s="10">
        <v>55</v>
      </c>
      <c r="U19" s="11"/>
      <c r="V19" s="12"/>
    </row>
    <row r="23" spans="1:22">
      <c r="B23" s="37" t="s">
        <v>151</v>
      </c>
      <c r="C23" s="37"/>
      <c r="D23" s="37"/>
      <c r="E23" s="37"/>
      <c r="S23" s="37" t="s">
        <v>152</v>
      </c>
      <c r="T23" s="37"/>
      <c r="U23" s="37"/>
      <c r="V23" s="37"/>
    </row>
  </sheetData>
  <sheetProtection algorithmName="SHA-512" hashValue="71QuOdDCa662CYvuZ8NNAXh5I/EFNyj/mQ2PlP/CyxhYleKOfdZMS5O2MAbryMh3NuqyELMd7GO1arcWRzREbw==" saltValue="NuG/Gp8WCXQWUhrHfJ8cug==" spinCount="100000" sheet="1" objects="1" scenarios="1"/>
  <mergeCells count="3">
    <mergeCell ref="A1:V1"/>
    <mergeCell ref="B23:E23"/>
    <mergeCell ref="S23:V23"/>
  </mergeCells>
  <pageMargins left="0.2" right="0.2" top="0.75" bottom="0.75" header="0.3" footer="0.3"/>
  <pageSetup paperSize="9" scale="6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V23"/>
  <sheetViews>
    <sheetView tabSelected="1" zoomScaleNormal="100" workbookViewId="0">
      <selection activeCell="H10" sqref="H10"/>
    </sheetView>
  </sheetViews>
  <sheetFormatPr defaultColWidth="9" defaultRowHeight="14.4"/>
  <cols>
    <col min="2" max="2" width="28.33203125" customWidth="1"/>
    <col min="5" max="5" width="10.77734375" customWidth="1"/>
    <col min="8" max="8" width="10.6640625" customWidth="1"/>
  </cols>
  <sheetData>
    <row r="1" spans="1:22">
      <c r="A1" s="35" t="s">
        <v>157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</row>
    <row r="2" spans="1:22" ht="39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80</v>
      </c>
      <c r="K2" s="5" t="s">
        <v>81</v>
      </c>
      <c r="L2" s="5" t="s">
        <v>82</v>
      </c>
      <c r="M2" s="5" t="s">
        <v>83</v>
      </c>
      <c r="N2" s="5" t="s">
        <v>84</v>
      </c>
      <c r="O2" s="5" t="s">
        <v>85</v>
      </c>
      <c r="P2" s="5" t="s">
        <v>86</v>
      </c>
      <c r="Q2" s="13" t="s">
        <v>162</v>
      </c>
      <c r="R2" s="6" t="s">
        <v>137</v>
      </c>
      <c r="S2" s="7" t="s">
        <v>144</v>
      </c>
      <c r="T2" s="7" t="s">
        <v>92</v>
      </c>
      <c r="U2" s="7" t="s">
        <v>145</v>
      </c>
      <c r="V2" s="7" t="s">
        <v>146</v>
      </c>
    </row>
    <row r="3" spans="1:22">
      <c r="A3" s="1">
        <f>DETAILS!A3</f>
        <v>1944</v>
      </c>
      <c r="B3" s="3" t="str">
        <f>DETAILS!B3</f>
        <v>AARUSH YADUVANSHI</v>
      </c>
      <c r="C3" s="14" t="s">
        <v>147</v>
      </c>
      <c r="D3" s="14" t="s">
        <v>147</v>
      </c>
      <c r="E3" s="14" t="s">
        <v>147</v>
      </c>
      <c r="F3" s="14" t="s">
        <v>147</v>
      </c>
      <c r="G3" s="14" t="s">
        <v>147</v>
      </c>
      <c r="H3" s="14" t="s">
        <v>147</v>
      </c>
      <c r="I3" s="14" t="s">
        <v>147</v>
      </c>
      <c r="J3" s="14" t="s">
        <v>147</v>
      </c>
      <c r="K3" s="14" t="s">
        <v>147</v>
      </c>
      <c r="L3" s="14" t="s">
        <v>147</v>
      </c>
      <c r="M3" s="14" t="s">
        <v>147</v>
      </c>
      <c r="N3" s="14" t="s">
        <v>147</v>
      </c>
      <c r="O3" s="14" t="s">
        <v>147</v>
      </c>
      <c r="P3" s="14" t="s">
        <v>147</v>
      </c>
      <c r="Q3" s="33">
        <f t="shared" ref="Q3:Q19" si="0">SUM(C3:P3)</f>
        <v>0</v>
      </c>
      <c r="R3" s="33" t="str">
        <f>Q3/5&amp;" %"</f>
        <v>0 %</v>
      </c>
      <c r="S3" s="14">
        <v>4</v>
      </c>
      <c r="T3" s="14">
        <v>64</v>
      </c>
      <c r="U3" s="33"/>
      <c r="V3" s="14"/>
    </row>
    <row r="4" spans="1:22">
      <c r="A4" s="1">
        <f>DETAILS!A4</f>
        <v>1940</v>
      </c>
      <c r="B4" s="3" t="str">
        <f>DETAILS!B4</f>
        <v>ADITRI CHAUDHARI</v>
      </c>
      <c r="C4" s="14">
        <v>41</v>
      </c>
      <c r="D4" s="14">
        <v>30</v>
      </c>
      <c r="E4" s="14">
        <v>21</v>
      </c>
      <c r="F4" s="14">
        <v>43</v>
      </c>
      <c r="G4" s="14">
        <v>30</v>
      </c>
      <c r="H4" s="14">
        <v>25</v>
      </c>
      <c r="I4" s="14">
        <v>37</v>
      </c>
      <c r="J4" s="14">
        <v>20</v>
      </c>
      <c r="K4" s="14">
        <v>20</v>
      </c>
      <c r="L4" s="14">
        <v>20</v>
      </c>
      <c r="M4" s="14" t="s">
        <v>142</v>
      </c>
      <c r="N4" s="14" t="s">
        <v>143</v>
      </c>
      <c r="O4" s="14" t="s">
        <v>94</v>
      </c>
      <c r="P4" s="14" t="s">
        <v>97</v>
      </c>
      <c r="Q4" s="33">
        <f t="shared" si="0"/>
        <v>287</v>
      </c>
      <c r="R4" s="33" t="str">
        <f t="shared" ref="R4:R19" si="1">Q4/5&amp;" %"</f>
        <v>57.4 %</v>
      </c>
      <c r="S4" s="14">
        <v>64</v>
      </c>
      <c r="T4" s="14">
        <v>69</v>
      </c>
      <c r="U4" s="33"/>
      <c r="V4" s="14"/>
    </row>
    <row r="5" spans="1:22">
      <c r="A5" s="1">
        <f>DETAILS!A5</f>
        <v>1948</v>
      </c>
      <c r="B5" s="3" t="str">
        <f>DETAILS!B5</f>
        <v>AHEM</v>
      </c>
      <c r="C5" s="14">
        <v>46</v>
      </c>
      <c r="D5" s="14">
        <v>35</v>
      </c>
      <c r="E5" s="14">
        <v>48</v>
      </c>
      <c r="F5" s="14">
        <v>48</v>
      </c>
      <c r="G5" s="14">
        <v>45</v>
      </c>
      <c r="H5" s="14">
        <v>49</v>
      </c>
      <c r="I5" s="14">
        <v>42</v>
      </c>
      <c r="J5" s="14">
        <v>35</v>
      </c>
      <c r="K5" s="14">
        <v>30</v>
      </c>
      <c r="L5" s="14">
        <v>40</v>
      </c>
      <c r="M5" s="14" t="s">
        <v>158</v>
      </c>
      <c r="N5" s="14" t="s">
        <v>94</v>
      </c>
      <c r="O5" s="14" t="s">
        <v>94</v>
      </c>
      <c r="P5" s="14" t="s">
        <v>94</v>
      </c>
      <c r="Q5" s="33">
        <f t="shared" si="0"/>
        <v>418</v>
      </c>
      <c r="R5" s="33" t="str">
        <f t="shared" si="1"/>
        <v>83.6 %</v>
      </c>
      <c r="S5" s="14">
        <v>55</v>
      </c>
      <c r="T5" s="14">
        <v>59</v>
      </c>
      <c r="U5" s="33"/>
      <c r="V5" s="14"/>
    </row>
    <row r="6" spans="1:22">
      <c r="A6" s="1">
        <f>DETAILS!A6</f>
        <v>1868</v>
      </c>
      <c r="B6" s="3" t="str">
        <f>DETAILS!B6</f>
        <v>ANUSHKA RAJ</v>
      </c>
      <c r="C6" s="14">
        <v>47</v>
      </c>
      <c r="D6" s="14">
        <v>45</v>
      </c>
      <c r="E6" s="14">
        <v>49</v>
      </c>
      <c r="F6" s="14">
        <v>43</v>
      </c>
      <c r="G6" s="14">
        <v>40</v>
      </c>
      <c r="H6" s="14" t="s">
        <v>147</v>
      </c>
      <c r="I6" s="14">
        <v>36</v>
      </c>
      <c r="J6" s="14">
        <v>35</v>
      </c>
      <c r="K6" s="14">
        <v>30</v>
      </c>
      <c r="L6" s="14" t="s">
        <v>147</v>
      </c>
      <c r="M6" s="14" t="s">
        <v>143</v>
      </c>
      <c r="N6" s="14" t="s">
        <v>94</v>
      </c>
      <c r="O6" s="14" t="s">
        <v>94</v>
      </c>
      <c r="P6" s="14" t="s">
        <v>94</v>
      </c>
      <c r="Q6" s="33">
        <f t="shared" si="0"/>
        <v>325</v>
      </c>
      <c r="R6" s="33" t="str">
        <f t="shared" si="1"/>
        <v>65 %</v>
      </c>
      <c r="S6" s="14">
        <v>85</v>
      </c>
      <c r="T6" s="14">
        <v>102</v>
      </c>
      <c r="U6" s="33"/>
      <c r="V6" s="14"/>
    </row>
    <row r="7" spans="1:22">
      <c r="A7" s="1">
        <f>DETAILS!A7</f>
        <v>1939</v>
      </c>
      <c r="B7" s="3" t="str">
        <f>DETAILS!B7</f>
        <v>ARNAV SINGH</v>
      </c>
      <c r="C7" s="14">
        <v>46</v>
      </c>
      <c r="D7" s="14">
        <v>50</v>
      </c>
      <c r="E7" s="14">
        <v>44</v>
      </c>
      <c r="F7" s="14">
        <v>49</v>
      </c>
      <c r="G7" s="14">
        <v>50</v>
      </c>
      <c r="H7" s="14">
        <v>46</v>
      </c>
      <c r="I7" s="14">
        <v>45</v>
      </c>
      <c r="J7" s="14">
        <v>50</v>
      </c>
      <c r="K7" s="14">
        <v>45</v>
      </c>
      <c r="L7" s="14">
        <v>50</v>
      </c>
      <c r="M7" s="14" t="s">
        <v>94</v>
      </c>
      <c r="N7" s="14" t="s">
        <v>94</v>
      </c>
      <c r="O7" s="14" t="s">
        <v>94</v>
      </c>
      <c r="P7" s="14" t="s">
        <v>94</v>
      </c>
      <c r="Q7" s="33">
        <f t="shared" si="0"/>
        <v>475</v>
      </c>
      <c r="R7" s="33" t="str">
        <f t="shared" si="1"/>
        <v>95 %</v>
      </c>
      <c r="S7" s="14">
        <v>70</v>
      </c>
      <c r="T7" s="14">
        <v>72</v>
      </c>
      <c r="U7" s="33" t="s">
        <v>159</v>
      </c>
      <c r="V7" s="14"/>
    </row>
    <row r="8" spans="1:22">
      <c r="A8" s="1">
        <f>DETAILS!A8</f>
        <v>1956</v>
      </c>
      <c r="B8" s="3" t="str">
        <f>DETAILS!B8</f>
        <v>ATHARV UPADHYAY</v>
      </c>
      <c r="C8" s="14">
        <v>34</v>
      </c>
      <c r="D8" s="14">
        <v>25</v>
      </c>
      <c r="E8" s="14">
        <v>35</v>
      </c>
      <c r="F8" s="14">
        <v>42</v>
      </c>
      <c r="G8" s="14">
        <v>20</v>
      </c>
      <c r="H8" s="14">
        <v>38</v>
      </c>
      <c r="I8" s="14">
        <v>34</v>
      </c>
      <c r="J8" s="14">
        <v>20</v>
      </c>
      <c r="K8" s="14">
        <v>20</v>
      </c>
      <c r="L8" s="14">
        <v>30</v>
      </c>
      <c r="M8" s="14" t="s">
        <v>142</v>
      </c>
      <c r="N8" s="14" t="s">
        <v>94</v>
      </c>
      <c r="O8" s="14" t="s">
        <v>143</v>
      </c>
      <c r="P8" s="14" t="s">
        <v>94</v>
      </c>
      <c r="Q8" s="33">
        <f t="shared" si="0"/>
        <v>298</v>
      </c>
      <c r="R8" s="33" t="str">
        <f t="shared" si="1"/>
        <v>59.6 %</v>
      </c>
      <c r="S8" s="14">
        <v>36</v>
      </c>
      <c r="T8" s="14">
        <v>41</v>
      </c>
      <c r="U8" s="33"/>
      <c r="V8" s="14"/>
    </row>
    <row r="9" spans="1:22">
      <c r="A9" s="1">
        <f>DETAILS!A9</f>
        <v>1882</v>
      </c>
      <c r="B9" s="3" t="str">
        <f>DETAILS!B9</f>
        <v>ATHRAV SINGH</v>
      </c>
      <c r="C9" s="14">
        <v>50</v>
      </c>
      <c r="D9" s="14">
        <v>50</v>
      </c>
      <c r="E9" s="14">
        <v>47</v>
      </c>
      <c r="F9" s="14">
        <v>50</v>
      </c>
      <c r="G9" s="14">
        <v>50</v>
      </c>
      <c r="H9" s="14">
        <v>49</v>
      </c>
      <c r="I9" s="14">
        <v>50</v>
      </c>
      <c r="J9" s="14">
        <v>50</v>
      </c>
      <c r="K9" s="14">
        <v>50</v>
      </c>
      <c r="L9" s="14">
        <v>50</v>
      </c>
      <c r="M9" s="14" t="s">
        <v>94</v>
      </c>
      <c r="N9" s="14" t="s">
        <v>94</v>
      </c>
      <c r="O9" s="14" t="s">
        <v>94</v>
      </c>
      <c r="P9" s="14" t="s">
        <v>94</v>
      </c>
      <c r="Q9" s="33">
        <f t="shared" si="0"/>
        <v>496</v>
      </c>
      <c r="R9" s="33" t="str">
        <f t="shared" si="1"/>
        <v>99.2 %</v>
      </c>
      <c r="S9" s="14">
        <v>93</v>
      </c>
      <c r="T9" s="14">
        <v>96</v>
      </c>
      <c r="U9" s="33" t="s">
        <v>160</v>
      </c>
      <c r="V9" s="14"/>
    </row>
    <row r="10" spans="1:22">
      <c r="A10" s="1">
        <f>DETAILS!A10</f>
        <v>1954</v>
      </c>
      <c r="B10" s="3" t="str">
        <f>DETAILS!B10</f>
        <v>AVANTIKA</v>
      </c>
      <c r="C10" s="14">
        <v>44</v>
      </c>
      <c r="D10" s="14">
        <v>20</v>
      </c>
      <c r="E10" s="14">
        <v>42</v>
      </c>
      <c r="F10" s="14">
        <v>40</v>
      </c>
      <c r="G10" s="14">
        <v>30</v>
      </c>
      <c r="H10" s="14">
        <v>40</v>
      </c>
      <c r="I10" s="14">
        <v>33</v>
      </c>
      <c r="J10" s="14">
        <v>20</v>
      </c>
      <c r="K10" s="14">
        <v>20</v>
      </c>
      <c r="L10" s="14">
        <v>30</v>
      </c>
      <c r="M10" s="14" t="s">
        <v>142</v>
      </c>
      <c r="N10" s="14" t="s">
        <v>94</v>
      </c>
      <c r="O10" s="14" t="s">
        <v>97</v>
      </c>
      <c r="P10" s="14" t="s">
        <v>94</v>
      </c>
      <c r="Q10" s="33">
        <f t="shared" si="0"/>
        <v>319</v>
      </c>
      <c r="R10" s="33" t="str">
        <f t="shared" si="1"/>
        <v>63.8 %</v>
      </c>
      <c r="S10" s="14">
        <v>52</v>
      </c>
      <c r="T10" s="14">
        <v>56</v>
      </c>
      <c r="U10" s="33"/>
      <c r="V10" s="14"/>
    </row>
    <row r="11" spans="1:22">
      <c r="A11" s="1">
        <f>DETAILS!A11</f>
        <v>1923</v>
      </c>
      <c r="B11" s="3" t="str">
        <f>DETAILS!B11</f>
        <v>AVIKA MAURYA</v>
      </c>
      <c r="C11" s="14">
        <v>41</v>
      </c>
      <c r="D11" s="14">
        <v>45</v>
      </c>
      <c r="E11" s="14">
        <v>31</v>
      </c>
      <c r="F11" s="14">
        <v>36</v>
      </c>
      <c r="G11" s="14">
        <v>30</v>
      </c>
      <c r="H11" s="14" t="s">
        <v>147</v>
      </c>
      <c r="I11" s="14">
        <v>35</v>
      </c>
      <c r="J11" s="14">
        <v>30</v>
      </c>
      <c r="K11" s="14">
        <v>40</v>
      </c>
      <c r="L11" s="14" t="s">
        <v>147</v>
      </c>
      <c r="M11" s="14" t="s">
        <v>94</v>
      </c>
      <c r="N11" s="14" t="s">
        <v>97</v>
      </c>
      <c r="O11" s="14" t="s">
        <v>97</v>
      </c>
      <c r="P11" s="14" t="s">
        <v>94</v>
      </c>
      <c r="Q11" s="33">
        <f t="shared" si="0"/>
        <v>288</v>
      </c>
      <c r="R11" s="33" t="str">
        <f t="shared" si="1"/>
        <v>57.6 %</v>
      </c>
      <c r="S11" s="14">
        <v>64</v>
      </c>
      <c r="T11" s="14">
        <v>72</v>
      </c>
      <c r="U11" s="33"/>
      <c r="V11" s="14"/>
    </row>
    <row r="12" spans="1:22">
      <c r="A12" s="1">
        <f>DETAILS!A12</f>
        <v>1893</v>
      </c>
      <c r="B12" s="3" t="str">
        <f>DETAILS!B12</f>
        <v>DAKSH</v>
      </c>
      <c r="C12" s="14">
        <v>30</v>
      </c>
      <c r="D12" s="14">
        <v>17</v>
      </c>
      <c r="E12" s="14">
        <v>41</v>
      </c>
      <c r="F12" s="14">
        <v>34</v>
      </c>
      <c r="G12" s="14">
        <v>20</v>
      </c>
      <c r="H12" s="14">
        <v>22</v>
      </c>
      <c r="I12" s="14">
        <v>27</v>
      </c>
      <c r="J12" s="14">
        <v>20</v>
      </c>
      <c r="K12" s="14">
        <v>17</v>
      </c>
      <c r="L12" s="14">
        <v>17</v>
      </c>
      <c r="M12" s="14" t="s">
        <v>142</v>
      </c>
      <c r="N12" s="14" t="s">
        <v>97</v>
      </c>
      <c r="O12" s="14" t="s">
        <v>142</v>
      </c>
      <c r="P12" s="14" t="s">
        <v>94</v>
      </c>
      <c r="Q12" s="33">
        <f t="shared" si="0"/>
        <v>245</v>
      </c>
      <c r="R12" s="33" t="str">
        <f t="shared" si="1"/>
        <v>49 %</v>
      </c>
      <c r="S12" s="14">
        <v>74</v>
      </c>
      <c r="T12" s="14">
        <v>94</v>
      </c>
      <c r="U12" s="33"/>
      <c r="V12" s="14"/>
    </row>
    <row r="13" spans="1:22">
      <c r="A13" s="1">
        <f>DETAILS!A13</f>
        <v>1843</v>
      </c>
      <c r="B13" s="3" t="str">
        <f>DETAILS!B13</f>
        <v>DEV MISHRA</v>
      </c>
      <c r="C13" s="14">
        <v>39</v>
      </c>
      <c r="D13" s="14">
        <v>35</v>
      </c>
      <c r="E13" s="14" t="s">
        <v>147</v>
      </c>
      <c r="F13" s="14">
        <v>35</v>
      </c>
      <c r="G13" s="14">
        <v>25</v>
      </c>
      <c r="H13" s="14">
        <v>30</v>
      </c>
      <c r="I13" s="14">
        <v>33</v>
      </c>
      <c r="J13" s="14">
        <v>30</v>
      </c>
      <c r="K13" s="14">
        <v>30</v>
      </c>
      <c r="L13" s="14">
        <v>27</v>
      </c>
      <c r="M13" s="14" t="s">
        <v>147</v>
      </c>
      <c r="N13" s="14" t="s">
        <v>97</v>
      </c>
      <c r="O13" s="14" t="s">
        <v>143</v>
      </c>
      <c r="P13" s="14" t="s">
        <v>94</v>
      </c>
      <c r="Q13" s="33">
        <f t="shared" si="0"/>
        <v>284</v>
      </c>
      <c r="R13" s="33" t="str">
        <f t="shared" si="1"/>
        <v>56.8 %</v>
      </c>
      <c r="S13" s="14">
        <v>98</v>
      </c>
      <c r="T13" s="14">
        <v>107</v>
      </c>
      <c r="U13" s="33"/>
      <c r="V13" s="14"/>
    </row>
    <row r="14" spans="1:22">
      <c r="A14" s="1">
        <f>DETAILS!A14</f>
        <v>1858</v>
      </c>
      <c r="B14" s="3" t="str">
        <f>DETAILS!B14</f>
        <v>DEVESH RAJPOOT</v>
      </c>
      <c r="C14" s="14">
        <v>34</v>
      </c>
      <c r="D14" s="14">
        <v>25</v>
      </c>
      <c r="E14" s="14">
        <v>38</v>
      </c>
      <c r="F14" s="14">
        <v>37</v>
      </c>
      <c r="G14" s="14">
        <v>20</v>
      </c>
      <c r="H14" s="14">
        <v>41</v>
      </c>
      <c r="I14" s="14">
        <v>27</v>
      </c>
      <c r="J14" s="14">
        <v>20</v>
      </c>
      <c r="K14" s="14">
        <v>30</v>
      </c>
      <c r="L14" s="14">
        <v>27</v>
      </c>
      <c r="M14" s="14" t="s">
        <v>142</v>
      </c>
      <c r="N14" s="14" t="s">
        <v>94</v>
      </c>
      <c r="O14" s="14" t="s">
        <v>97</v>
      </c>
      <c r="P14" s="14" t="s">
        <v>94</v>
      </c>
      <c r="Q14" s="33">
        <f t="shared" si="0"/>
        <v>299</v>
      </c>
      <c r="R14" s="33" t="str">
        <f t="shared" si="1"/>
        <v>59.8 %</v>
      </c>
      <c r="S14" s="14">
        <v>83</v>
      </c>
      <c r="T14" s="14">
        <v>104</v>
      </c>
      <c r="U14" s="33"/>
      <c r="V14" s="14"/>
    </row>
    <row r="15" spans="1:22">
      <c r="A15" s="1">
        <f>DETAILS!A15</f>
        <v>1877</v>
      </c>
      <c r="B15" s="3" t="str">
        <f>DETAILS!B15</f>
        <v>INDRABH YADAV</v>
      </c>
      <c r="C15" s="14">
        <v>25</v>
      </c>
      <c r="D15" s="14">
        <v>25</v>
      </c>
      <c r="E15" s="14">
        <v>41</v>
      </c>
      <c r="F15" s="14">
        <v>40</v>
      </c>
      <c r="G15" s="14">
        <v>35</v>
      </c>
      <c r="H15" s="14">
        <v>25</v>
      </c>
      <c r="I15" s="14">
        <v>39</v>
      </c>
      <c r="J15" s="14">
        <v>45</v>
      </c>
      <c r="K15" s="14">
        <v>45</v>
      </c>
      <c r="L15" s="14">
        <v>25</v>
      </c>
      <c r="M15" s="14" t="s">
        <v>94</v>
      </c>
      <c r="N15" s="14" t="s">
        <v>143</v>
      </c>
      <c r="O15" s="14" t="s">
        <v>94</v>
      </c>
      <c r="P15" s="14" t="s">
        <v>94</v>
      </c>
      <c r="Q15" s="33">
        <f t="shared" si="0"/>
        <v>345</v>
      </c>
      <c r="R15" s="33" t="str">
        <f t="shared" si="1"/>
        <v>69 %</v>
      </c>
      <c r="S15" s="14">
        <v>87</v>
      </c>
      <c r="T15" s="14">
        <v>100</v>
      </c>
      <c r="U15" s="33"/>
      <c r="V15" s="14"/>
    </row>
    <row r="16" spans="1:22">
      <c r="A16" s="1">
        <f>DETAILS!A16</f>
        <v>1851</v>
      </c>
      <c r="B16" s="3" t="str">
        <f>DETAILS!B16</f>
        <v>KARTIKEY SINGH</v>
      </c>
      <c r="C16" s="14">
        <v>46</v>
      </c>
      <c r="D16" s="14">
        <v>30</v>
      </c>
      <c r="E16" s="14">
        <v>44</v>
      </c>
      <c r="F16" s="14">
        <v>45</v>
      </c>
      <c r="G16" s="14">
        <v>48</v>
      </c>
      <c r="H16" s="14">
        <v>46</v>
      </c>
      <c r="I16" s="14">
        <v>32</v>
      </c>
      <c r="J16" s="14">
        <v>45</v>
      </c>
      <c r="K16" s="14">
        <v>40</v>
      </c>
      <c r="L16" s="14">
        <v>45</v>
      </c>
      <c r="M16" s="14" t="s">
        <v>97</v>
      </c>
      <c r="N16" s="14" t="s">
        <v>94</v>
      </c>
      <c r="O16" s="14" t="s">
        <v>94</v>
      </c>
      <c r="P16" s="14" t="s">
        <v>94</v>
      </c>
      <c r="Q16" s="33">
        <f t="shared" si="0"/>
        <v>421</v>
      </c>
      <c r="R16" s="33" t="str">
        <f t="shared" si="1"/>
        <v>84.2 %</v>
      </c>
      <c r="S16" s="14">
        <v>88</v>
      </c>
      <c r="T16" s="14">
        <v>108</v>
      </c>
      <c r="U16" s="33" t="s">
        <v>161</v>
      </c>
      <c r="V16" s="14"/>
    </row>
    <row r="17" spans="1:22">
      <c r="A17" s="1">
        <f>DETAILS!A17</f>
        <v>1889</v>
      </c>
      <c r="B17" s="3" t="str">
        <f>DETAILS!B17</f>
        <v>MOHD. ARIZ</v>
      </c>
      <c r="C17" s="14">
        <v>48</v>
      </c>
      <c r="D17" s="14">
        <v>35</v>
      </c>
      <c r="E17" s="14">
        <v>31</v>
      </c>
      <c r="F17" s="14">
        <v>40</v>
      </c>
      <c r="G17" s="14">
        <v>35</v>
      </c>
      <c r="H17" s="14">
        <v>36</v>
      </c>
      <c r="I17" s="14">
        <v>32</v>
      </c>
      <c r="J17" s="14">
        <v>20</v>
      </c>
      <c r="K17" s="14">
        <v>30</v>
      </c>
      <c r="L17" s="14">
        <v>17</v>
      </c>
      <c r="M17" s="14" t="s">
        <v>143</v>
      </c>
      <c r="N17" s="14" t="s">
        <v>97</v>
      </c>
      <c r="O17" s="14" t="s">
        <v>143</v>
      </c>
      <c r="P17" s="14" t="s">
        <v>94</v>
      </c>
      <c r="Q17" s="33">
        <f t="shared" si="0"/>
        <v>324</v>
      </c>
      <c r="R17" s="33" t="str">
        <f t="shared" si="1"/>
        <v>64.8 %</v>
      </c>
      <c r="S17" s="14">
        <v>75</v>
      </c>
      <c r="T17" s="14">
        <v>92</v>
      </c>
      <c r="U17" s="33"/>
      <c r="V17" s="14"/>
    </row>
    <row r="18" spans="1:22">
      <c r="A18" s="1">
        <f>DETAILS!A18</f>
        <v>1905</v>
      </c>
      <c r="B18" s="3" t="str">
        <f>DETAILS!B18</f>
        <v>RAVNOOR KAUR</v>
      </c>
      <c r="C18" s="14">
        <v>44</v>
      </c>
      <c r="D18" s="14">
        <v>40</v>
      </c>
      <c r="E18" s="14">
        <v>40</v>
      </c>
      <c r="F18" s="14">
        <v>42</v>
      </c>
      <c r="G18" s="14">
        <v>20</v>
      </c>
      <c r="H18" s="14">
        <v>37</v>
      </c>
      <c r="I18" s="14">
        <v>39</v>
      </c>
      <c r="J18" s="14">
        <v>30</v>
      </c>
      <c r="K18" s="14">
        <v>30</v>
      </c>
      <c r="L18" s="14">
        <v>35</v>
      </c>
      <c r="M18" s="14" t="s">
        <v>142</v>
      </c>
      <c r="N18" s="14" t="s">
        <v>94</v>
      </c>
      <c r="O18" s="14" t="s">
        <v>94</v>
      </c>
      <c r="P18" s="14" t="s">
        <v>94</v>
      </c>
      <c r="Q18" s="33">
        <f t="shared" si="0"/>
        <v>357</v>
      </c>
      <c r="R18" s="33" t="str">
        <f t="shared" si="1"/>
        <v>71.4 %</v>
      </c>
      <c r="S18" s="14">
        <v>62</v>
      </c>
      <c r="T18" s="14">
        <v>89</v>
      </c>
      <c r="U18" s="33"/>
      <c r="V18" s="14"/>
    </row>
    <row r="19" spans="1:22">
      <c r="A19" s="1">
        <f>DETAILS!A19</f>
        <v>1874</v>
      </c>
      <c r="B19" s="3" t="str">
        <f>DETAILS!B19</f>
        <v>SEHRISH</v>
      </c>
      <c r="C19" s="14">
        <v>43</v>
      </c>
      <c r="D19" s="14">
        <v>30</v>
      </c>
      <c r="E19" s="14">
        <v>36</v>
      </c>
      <c r="F19" s="14">
        <v>41</v>
      </c>
      <c r="G19" s="14">
        <v>25</v>
      </c>
      <c r="H19" s="14">
        <v>47</v>
      </c>
      <c r="I19" s="14">
        <v>41</v>
      </c>
      <c r="J19" s="14">
        <v>30</v>
      </c>
      <c r="K19" s="14">
        <v>20</v>
      </c>
      <c r="L19" s="14">
        <v>25</v>
      </c>
      <c r="M19" s="14" t="s">
        <v>142</v>
      </c>
      <c r="N19" s="14" t="s">
        <v>94</v>
      </c>
      <c r="O19" s="14" t="s">
        <v>97</v>
      </c>
      <c r="P19" s="14" t="s">
        <v>94</v>
      </c>
      <c r="Q19" s="33">
        <f t="shared" si="0"/>
        <v>338</v>
      </c>
      <c r="R19" s="33" t="str">
        <f t="shared" si="1"/>
        <v>67.6 %</v>
      </c>
      <c r="S19" s="14">
        <v>87</v>
      </c>
      <c r="T19" s="14">
        <v>106</v>
      </c>
      <c r="U19" s="33"/>
      <c r="V19" s="14"/>
    </row>
    <row r="23" spans="1:22">
      <c r="B23" s="37" t="s">
        <v>151</v>
      </c>
      <c r="C23" s="37"/>
      <c r="D23" s="37"/>
      <c r="E23" s="37"/>
      <c r="S23" s="37" t="s">
        <v>152</v>
      </c>
      <c r="T23" s="37"/>
      <c r="U23" s="37"/>
      <c r="V23" s="37"/>
    </row>
  </sheetData>
  <mergeCells count="3">
    <mergeCell ref="A1:V1"/>
    <mergeCell ref="B23:E23"/>
    <mergeCell ref="S23:V23"/>
  </mergeCells>
  <pageMargins left="0.23" right="0.28000000000000003" top="0.75" bottom="0.75" header="0.3" footer="0.3"/>
  <pageSetup paperSize="9" scale="64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1"/>
  <sheetViews>
    <sheetView zoomScale="85" workbookViewId="0">
      <selection activeCell="H38" sqref="H38"/>
    </sheetView>
  </sheetViews>
  <sheetFormatPr defaultColWidth="9" defaultRowHeight="14.4"/>
  <cols>
    <col min="2" max="2" width="28.33203125" customWidth="1"/>
  </cols>
  <sheetData>
    <row r="1" spans="1:18">
      <c r="A1" s="34" t="s">
        <v>88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</row>
    <row r="2" spans="1:18" ht="30.75" customHeight="1">
      <c r="A2" s="4" t="s">
        <v>71</v>
      </c>
      <c r="B2" s="4" t="s">
        <v>72</v>
      </c>
      <c r="C2" s="4" t="s">
        <v>73</v>
      </c>
      <c r="D2" s="4" t="s">
        <v>74</v>
      </c>
      <c r="E2" s="4" t="s">
        <v>75</v>
      </c>
      <c r="F2" s="4" t="s">
        <v>76</v>
      </c>
      <c r="G2" s="4" t="s">
        <v>77</v>
      </c>
      <c r="H2" s="4" t="s">
        <v>78</v>
      </c>
      <c r="I2" s="4" t="s">
        <v>79</v>
      </c>
      <c r="J2" s="4" t="s">
        <v>80</v>
      </c>
      <c r="K2" s="4" t="s">
        <v>81</v>
      </c>
      <c r="L2" s="4" t="s">
        <v>82</v>
      </c>
      <c r="M2" s="4" t="s">
        <v>83</v>
      </c>
      <c r="N2" s="4" t="s">
        <v>84</v>
      </c>
      <c r="O2" s="4" t="s">
        <v>85</v>
      </c>
      <c r="P2" s="4" t="s">
        <v>86</v>
      </c>
      <c r="Q2" s="4" t="s">
        <v>89</v>
      </c>
      <c r="R2" s="4" t="s">
        <v>87</v>
      </c>
    </row>
    <row r="3" spans="1:18">
      <c r="A3" s="1">
        <f>DETAILS!A3</f>
        <v>1944</v>
      </c>
      <c r="B3" s="3" t="str">
        <f>DETAILS!B3</f>
        <v>AARUSH YADUVANSHI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>
        <f>SUM(C3:Q3)</f>
        <v>0</v>
      </c>
    </row>
    <row r="4" spans="1:18">
      <c r="A4" s="1" t="e">
        <f>DETAILS!#REF!</f>
        <v>#REF!</v>
      </c>
      <c r="B4" s="3" t="e">
        <f>DETAILS!#REF!</f>
        <v>#REF!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>
        <f t="shared" ref="R4:R41" si="0">SUM(C4:Q4)</f>
        <v>0</v>
      </c>
    </row>
    <row r="5" spans="1:18">
      <c r="A5" s="1" t="e">
        <f>DETAILS!#REF!</f>
        <v>#REF!</v>
      </c>
      <c r="B5" s="3" t="e">
        <f>DETAILS!#REF!</f>
        <v>#REF!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>
        <f t="shared" si="0"/>
        <v>0</v>
      </c>
    </row>
    <row r="6" spans="1:18">
      <c r="A6" s="1">
        <f>DETAILS!A4</f>
        <v>1940</v>
      </c>
      <c r="B6" s="3" t="str">
        <f>DETAILS!B4</f>
        <v>ADITRI CHAUDHARI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>
        <f t="shared" si="0"/>
        <v>0</v>
      </c>
    </row>
    <row r="7" spans="1:18">
      <c r="A7" s="1">
        <f>DETAILS!A5</f>
        <v>1948</v>
      </c>
      <c r="B7" s="3" t="str">
        <f>DETAILS!B5</f>
        <v>AHEM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>
        <f t="shared" si="0"/>
        <v>0</v>
      </c>
    </row>
    <row r="8" spans="1:18">
      <c r="A8" s="1" t="e">
        <f>DETAILS!#REF!</f>
        <v>#REF!</v>
      </c>
      <c r="B8" s="3" t="e">
        <f>DETAILS!#REF!</f>
        <v>#REF!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>
        <f t="shared" si="0"/>
        <v>0</v>
      </c>
    </row>
    <row r="9" spans="1:18">
      <c r="A9" s="1" t="e">
        <f>DETAILS!#REF!</f>
        <v>#REF!</v>
      </c>
      <c r="B9" s="3" t="e">
        <f>DETAILS!#REF!</f>
        <v>#REF!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 t="shared" si="0"/>
        <v>0</v>
      </c>
    </row>
    <row r="10" spans="1:18">
      <c r="A10" s="1" t="e">
        <f>DETAILS!#REF!</f>
        <v>#REF!</v>
      </c>
      <c r="B10" s="3" t="e">
        <f>DETAILS!#REF!</f>
        <v>#REF!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>
        <f t="shared" si="0"/>
        <v>0</v>
      </c>
    </row>
    <row r="11" spans="1:18">
      <c r="A11" s="1" t="e">
        <f>DETAILS!#REF!</f>
        <v>#REF!</v>
      </c>
      <c r="B11" s="3" t="e">
        <f>DETAILS!#REF!</f>
        <v>#REF!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>
        <f t="shared" si="0"/>
        <v>0</v>
      </c>
    </row>
    <row r="12" spans="1:18">
      <c r="A12" s="1">
        <f>DETAILS!A6</f>
        <v>1868</v>
      </c>
      <c r="B12" s="3" t="str">
        <f>DETAILS!B6</f>
        <v>ANUSHKA RAJ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>
        <f t="shared" si="0"/>
        <v>0</v>
      </c>
    </row>
    <row r="13" spans="1:18">
      <c r="A13" s="1">
        <f>DETAILS!A7</f>
        <v>1939</v>
      </c>
      <c r="B13" s="3" t="str">
        <f>DETAILS!B7</f>
        <v>ARNAV SINGH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>
        <f t="shared" si="0"/>
        <v>0</v>
      </c>
    </row>
    <row r="14" spans="1:18">
      <c r="A14" s="1">
        <f>DETAILS!A8</f>
        <v>1956</v>
      </c>
      <c r="B14" s="3" t="str">
        <f>DETAILS!B8</f>
        <v>ATHARV UPADHYAY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>
        <f t="shared" si="0"/>
        <v>0</v>
      </c>
    </row>
    <row r="15" spans="1:18">
      <c r="A15" s="1">
        <f>DETAILS!A9</f>
        <v>1882</v>
      </c>
      <c r="B15" s="3" t="str">
        <f>DETAILS!B9</f>
        <v>ATHRAV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>
        <f t="shared" si="0"/>
        <v>0</v>
      </c>
    </row>
    <row r="16" spans="1:18">
      <c r="A16" s="1">
        <f>DETAILS!A10</f>
        <v>1954</v>
      </c>
      <c r="B16" s="3" t="str">
        <f>DETAILS!B10</f>
        <v>AVANTIKA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>
        <f t="shared" si="0"/>
        <v>0</v>
      </c>
    </row>
    <row r="17" spans="1:18">
      <c r="A17" s="1" t="e">
        <f>DETAILS!#REF!</f>
        <v>#REF!</v>
      </c>
      <c r="B17" s="3" t="e">
        <f>DETAILS!#REF!</f>
        <v>#REF!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>
        <f t="shared" si="0"/>
        <v>0</v>
      </c>
    </row>
    <row r="18" spans="1:18">
      <c r="A18" s="1" t="e">
        <f>DETAILS!#REF!</f>
        <v>#REF!</v>
      </c>
      <c r="B18" s="3" t="e">
        <f>DETAILS!#REF!</f>
        <v>#REF!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>
        <f t="shared" si="0"/>
        <v>0</v>
      </c>
    </row>
    <row r="19" spans="1:18">
      <c r="A19" s="1">
        <f>DETAILS!A11</f>
        <v>1923</v>
      </c>
      <c r="B19" s="3" t="str">
        <f>DETAILS!B11</f>
        <v>AVIKA MAURYA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>
        <f t="shared" si="0"/>
        <v>0</v>
      </c>
    </row>
    <row r="20" spans="1:18">
      <c r="A20" s="1">
        <f>DETAILS!A12</f>
        <v>1893</v>
      </c>
      <c r="B20" s="3" t="str">
        <f>DETAILS!B12</f>
        <v>DAKSH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>
        <f t="shared" si="0"/>
        <v>0</v>
      </c>
    </row>
    <row r="21" spans="1:18">
      <c r="A21" s="1" t="e">
        <f>DETAILS!#REF!</f>
        <v>#REF!</v>
      </c>
      <c r="B21" s="3" t="e">
        <f>DETAILS!#REF!</f>
        <v>#REF!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>
        <f t="shared" si="0"/>
        <v>0</v>
      </c>
    </row>
    <row r="22" spans="1:18">
      <c r="A22" s="1">
        <f>DETAILS!A13</f>
        <v>1843</v>
      </c>
      <c r="B22" s="3" t="str">
        <f>DETAILS!B13</f>
        <v>DEV MISHRA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>
        <f t="shared" si="0"/>
        <v>0</v>
      </c>
    </row>
    <row r="23" spans="1:18">
      <c r="A23" s="1" t="e">
        <f>DETAILS!#REF!</f>
        <v>#REF!</v>
      </c>
      <c r="B23" s="3" t="e">
        <f>DETAILS!#REF!</f>
        <v>#REF!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>
        <f t="shared" si="0"/>
        <v>0</v>
      </c>
    </row>
    <row r="24" spans="1:18">
      <c r="A24" s="1" t="e">
        <f>DETAILS!#REF!</f>
        <v>#REF!</v>
      </c>
      <c r="B24" s="3" t="e">
        <f>DETAILS!#REF!</f>
        <v>#REF!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>
        <f t="shared" si="0"/>
        <v>0</v>
      </c>
    </row>
    <row r="25" spans="1:18">
      <c r="A25" s="1" t="e">
        <f>DETAILS!#REF!</f>
        <v>#REF!</v>
      </c>
      <c r="B25" s="3" t="e">
        <f>DETAILS!#REF!</f>
        <v>#REF!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>
        <f t="shared" si="0"/>
        <v>0</v>
      </c>
    </row>
    <row r="26" spans="1:18">
      <c r="A26" s="1">
        <f>DETAILS!A14</f>
        <v>1858</v>
      </c>
      <c r="B26" s="3" t="str">
        <f>DETAILS!B14</f>
        <v>DEVESH RAJPOOT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>
        <f t="shared" si="0"/>
        <v>0</v>
      </c>
    </row>
    <row r="27" spans="1:18">
      <c r="A27" s="1">
        <f>DETAILS!A15</f>
        <v>1877</v>
      </c>
      <c r="B27" s="3" t="str">
        <f>DETAILS!B15</f>
        <v>INDRABH YADAV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>
        <f t="shared" si="0"/>
        <v>0</v>
      </c>
    </row>
    <row r="28" spans="1:18">
      <c r="A28" s="1">
        <f>DETAILS!A16</f>
        <v>1851</v>
      </c>
      <c r="B28" s="3" t="str">
        <f>DETAILS!B16</f>
        <v>KARTIKEY SINGH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>
        <f t="shared" si="0"/>
        <v>0</v>
      </c>
    </row>
    <row r="29" spans="1:18">
      <c r="A29" s="1" t="e">
        <f>DETAILS!#REF!</f>
        <v>#REF!</v>
      </c>
      <c r="B29" s="3" t="e">
        <f>DETAILS!#REF!</f>
        <v>#REF!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>
        <f t="shared" si="0"/>
        <v>0</v>
      </c>
    </row>
    <row r="30" spans="1:18">
      <c r="A30" s="1">
        <f>DETAILS!A17</f>
        <v>1889</v>
      </c>
      <c r="B30" s="3" t="str">
        <f>DETAILS!B17</f>
        <v>MOHD. ARIZ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>
        <f t="shared" si="0"/>
        <v>0</v>
      </c>
    </row>
    <row r="31" spans="1:18">
      <c r="A31" s="1" t="e">
        <f>DETAILS!#REF!</f>
        <v>#REF!</v>
      </c>
      <c r="B31" s="3" t="e">
        <f>DETAILS!#REF!</f>
        <v>#REF!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>
        <f t="shared" si="0"/>
        <v>0</v>
      </c>
    </row>
    <row r="32" spans="1:18">
      <c r="A32" s="1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>
        <f t="shared" si="0"/>
        <v>0</v>
      </c>
    </row>
    <row r="33" spans="1:18">
      <c r="A33" s="1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>
        <f t="shared" si="0"/>
        <v>0</v>
      </c>
    </row>
    <row r="34" spans="1:18">
      <c r="A34" s="1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>
        <f t="shared" si="0"/>
        <v>0</v>
      </c>
    </row>
    <row r="35" spans="1:18">
      <c r="A35" s="1">
        <f>DETAILS!A18</f>
        <v>1905</v>
      </c>
      <c r="B35" s="3" t="str">
        <f>DETAILS!B18</f>
        <v>RAVNOOR KAUR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>
        <f t="shared" si="0"/>
        <v>0</v>
      </c>
    </row>
    <row r="36" spans="1:18">
      <c r="A36" s="1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>
        <f t="shared" si="0"/>
        <v>0</v>
      </c>
    </row>
    <row r="37" spans="1:18">
      <c r="A37" s="1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>
        <f t="shared" si="0"/>
        <v>0</v>
      </c>
    </row>
    <row r="38" spans="1:18">
      <c r="A38" s="1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>
        <f t="shared" si="0"/>
        <v>0</v>
      </c>
    </row>
    <row r="39" spans="1:18">
      <c r="A39" s="1">
        <f>DETAILS!A19</f>
        <v>1874</v>
      </c>
      <c r="B39" s="3" t="str">
        <f>DETAILS!B19</f>
        <v>SEHRISH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>
        <f t="shared" si="0"/>
        <v>0</v>
      </c>
    </row>
    <row r="40" spans="1:18">
      <c r="A40" s="1">
        <f>DETAILS!A20</f>
        <v>0</v>
      </c>
      <c r="B40" s="3">
        <f>DETAILS!B20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>
        <f t="shared" si="0"/>
        <v>0</v>
      </c>
    </row>
    <row r="41" spans="1:18">
      <c r="A41" s="1">
        <f>DETAILS!A21</f>
        <v>0</v>
      </c>
      <c r="B41" s="3">
        <f>DETAILS!B21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>
        <f t="shared" si="0"/>
        <v>0</v>
      </c>
    </row>
  </sheetData>
  <mergeCells count="1">
    <mergeCell ref="A1:R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U41"/>
  <sheetViews>
    <sheetView zoomScale="85" workbookViewId="0">
      <selection activeCell="H38" sqref="H38"/>
    </sheetView>
  </sheetViews>
  <sheetFormatPr defaultColWidth="9" defaultRowHeight="14.4"/>
  <cols>
    <col min="1" max="1" width="7.5546875" customWidth="1"/>
    <col min="2" max="2" width="28.33203125" customWidth="1"/>
    <col min="4" max="4" width="8.5546875" customWidth="1"/>
    <col min="5" max="5" width="9" customWidth="1"/>
    <col min="7" max="7" width="6" customWidth="1"/>
    <col min="8" max="8" width="9" customWidth="1"/>
    <col min="10" max="10" width="7.44140625" customWidth="1"/>
    <col min="11" max="11" width="4.33203125" customWidth="1"/>
    <col min="12" max="12" width="8.44140625" customWidth="1"/>
    <col min="13" max="13" width="3.6640625" customWidth="1"/>
    <col min="14" max="14" width="8.5546875" customWidth="1"/>
    <col min="15" max="15" width="8.44140625" customWidth="1"/>
    <col min="16" max="16" width="7.5546875" customWidth="1"/>
    <col min="17" max="18" width="7.88671875" customWidth="1"/>
    <col min="19" max="19" width="8.5546875" customWidth="1"/>
    <col min="20" max="20" width="29.44140625" customWidth="1"/>
    <col min="21" max="21" width="6.5546875" customWidth="1"/>
  </cols>
  <sheetData>
    <row r="1" spans="1:21">
      <c r="A1" s="38" t="s">
        <v>90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</row>
    <row r="2" spans="1:21" ht="49.5" customHeight="1">
      <c r="A2" s="5" t="s">
        <v>71</v>
      </c>
      <c r="B2" s="5" t="s">
        <v>72</v>
      </c>
      <c r="C2" s="5" t="s">
        <v>73</v>
      </c>
      <c r="D2" s="5" t="s">
        <v>74</v>
      </c>
      <c r="E2" s="5" t="s">
        <v>75</v>
      </c>
      <c r="F2" s="5" t="s">
        <v>76</v>
      </c>
      <c r="G2" s="5" t="s">
        <v>77</v>
      </c>
      <c r="H2" s="5" t="s">
        <v>78</v>
      </c>
      <c r="I2" s="5" t="s">
        <v>79</v>
      </c>
      <c r="J2" s="5" t="s">
        <v>80</v>
      </c>
      <c r="K2" s="5" t="s">
        <v>81</v>
      </c>
      <c r="L2" s="5" t="s">
        <v>82</v>
      </c>
      <c r="M2" s="5" t="s">
        <v>83</v>
      </c>
      <c r="N2" s="5" t="s">
        <v>84</v>
      </c>
      <c r="O2" s="5" t="s">
        <v>85</v>
      </c>
      <c r="P2" s="5" t="s">
        <v>86</v>
      </c>
      <c r="Q2" s="5" t="s">
        <v>89</v>
      </c>
      <c r="R2" s="5" t="s">
        <v>91</v>
      </c>
      <c r="S2" s="5" t="s">
        <v>92</v>
      </c>
      <c r="T2" s="5" t="s">
        <v>93</v>
      </c>
      <c r="U2" s="4" t="s">
        <v>87</v>
      </c>
    </row>
    <row r="3" spans="1:21">
      <c r="A3" s="1">
        <f>DETAILS!A3</f>
        <v>1944</v>
      </c>
      <c r="B3" s="3" t="str">
        <f>DETAILS!B3</f>
        <v>AARUSH YADUVANSHI</v>
      </c>
      <c r="C3" s="3">
        <v>48</v>
      </c>
      <c r="D3" s="3">
        <v>50</v>
      </c>
      <c r="E3" s="3">
        <v>50</v>
      </c>
      <c r="F3" s="3">
        <v>49</v>
      </c>
      <c r="G3" s="3">
        <v>50</v>
      </c>
      <c r="H3" s="3">
        <v>49</v>
      </c>
      <c r="I3" s="3">
        <v>47</v>
      </c>
      <c r="J3" s="3">
        <v>45</v>
      </c>
      <c r="K3" s="3">
        <v>45</v>
      </c>
      <c r="L3" s="3">
        <v>50</v>
      </c>
      <c r="M3" s="3" t="s">
        <v>94</v>
      </c>
      <c r="N3" s="3" t="s">
        <v>94</v>
      </c>
      <c r="O3" s="3" t="s">
        <v>94</v>
      </c>
      <c r="P3" s="3" t="s">
        <v>94</v>
      </c>
      <c r="Q3" s="3" t="s">
        <v>94</v>
      </c>
      <c r="R3" s="3">
        <v>159</v>
      </c>
      <c r="S3" s="3">
        <v>214</v>
      </c>
      <c r="T3" s="3" t="s">
        <v>95</v>
      </c>
      <c r="U3" s="3">
        <f>SUM(C3:L3)</f>
        <v>483</v>
      </c>
    </row>
    <row r="4" spans="1:21">
      <c r="A4" s="1" t="e">
        <f>DETAILS!#REF!</f>
        <v>#REF!</v>
      </c>
      <c r="B4" s="3" t="e">
        <f>DETAILS!#REF!</f>
        <v>#REF!</v>
      </c>
      <c r="C4" s="3">
        <v>50</v>
      </c>
      <c r="D4" s="3">
        <v>48</v>
      </c>
      <c r="E4" s="3">
        <v>50</v>
      </c>
      <c r="F4" s="3">
        <v>44</v>
      </c>
      <c r="G4" s="3">
        <v>50</v>
      </c>
      <c r="H4" s="3">
        <v>48</v>
      </c>
      <c r="I4" s="3">
        <v>50</v>
      </c>
      <c r="J4" s="3">
        <v>50</v>
      </c>
      <c r="K4" s="3">
        <v>50</v>
      </c>
      <c r="L4" s="3">
        <v>50</v>
      </c>
      <c r="M4" s="3" t="s">
        <v>94</v>
      </c>
      <c r="N4" s="3" t="s">
        <v>94</v>
      </c>
      <c r="O4" s="3" t="s">
        <v>94</v>
      </c>
      <c r="P4" s="3" t="s">
        <v>94</v>
      </c>
      <c r="Q4" s="3" t="s">
        <v>94</v>
      </c>
      <c r="R4" s="3">
        <v>152</v>
      </c>
      <c r="S4" s="3">
        <v>214</v>
      </c>
      <c r="T4" s="3" t="s">
        <v>96</v>
      </c>
      <c r="U4" s="3">
        <f t="shared" ref="U4:U41" si="0">SUM(C4:L4)</f>
        <v>490</v>
      </c>
    </row>
    <row r="5" spans="1:21">
      <c r="A5" s="1" t="e">
        <f>DETAILS!#REF!</f>
        <v>#REF!</v>
      </c>
      <c r="B5" s="3" t="e">
        <f>DETAILS!#REF!</f>
        <v>#REF!</v>
      </c>
      <c r="C5" s="3">
        <v>29</v>
      </c>
      <c r="D5" s="3">
        <v>23</v>
      </c>
      <c r="E5" s="3">
        <v>20</v>
      </c>
      <c r="F5" s="3">
        <v>28</v>
      </c>
      <c r="G5" s="3">
        <v>40</v>
      </c>
      <c r="H5" s="3">
        <v>20</v>
      </c>
      <c r="I5" s="3">
        <v>46</v>
      </c>
      <c r="J5" s="3">
        <v>45</v>
      </c>
      <c r="K5" s="3">
        <v>35</v>
      </c>
      <c r="L5" s="3">
        <v>30</v>
      </c>
      <c r="M5" s="3" t="s">
        <v>97</v>
      </c>
      <c r="N5" s="3" t="s">
        <v>94</v>
      </c>
      <c r="O5" s="3" t="s">
        <v>94</v>
      </c>
      <c r="P5" s="3" t="s">
        <v>94</v>
      </c>
      <c r="Q5" s="3" t="s">
        <v>94</v>
      </c>
      <c r="R5" s="3">
        <v>105</v>
      </c>
      <c r="S5" s="3">
        <v>160</v>
      </c>
      <c r="T5" s="3" t="s">
        <v>98</v>
      </c>
      <c r="U5" s="3">
        <f t="shared" si="0"/>
        <v>316</v>
      </c>
    </row>
    <row r="6" spans="1:21">
      <c r="A6" s="1">
        <f>DETAILS!A4</f>
        <v>1940</v>
      </c>
      <c r="B6" s="3" t="str">
        <f>DETAILS!B4</f>
        <v>ADITRI CHAUDHARI</v>
      </c>
      <c r="C6" s="3">
        <v>35</v>
      </c>
      <c r="D6" s="3">
        <v>40</v>
      </c>
      <c r="E6" s="3">
        <v>30</v>
      </c>
      <c r="F6" s="3">
        <v>34</v>
      </c>
      <c r="G6" s="3">
        <v>40</v>
      </c>
      <c r="H6" s="3">
        <v>42</v>
      </c>
      <c r="I6" s="3">
        <v>46</v>
      </c>
      <c r="J6" s="3">
        <v>35</v>
      </c>
      <c r="K6" s="3">
        <v>40</v>
      </c>
      <c r="L6" s="3">
        <v>30</v>
      </c>
      <c r="M6" s="3" t="s">
        <v>94</v>
      </c>
      <c r="N6" s="3" t="s">
        <v>94</v>
      </c>
      <c r="O6" s="3" t="s">
        <v>94</v>
      </c>
      <c r="P6" s="3" t="s">
        <v>94</v>
      </c>
      <c r="Q6" s="3" t="s">
        <v>94</v>
      </c>
      <c r="R6" s="3">
        <v>129</v>
      </c>
      <c r="S6" s="3">
        <v>153</v>
      </c>
      <c r="T6" s="3" t="s">
        <v>98</v>
      </c>
      <c r="U6" s="3">
        <f t="shared" si="0"/>
        <v>372</v>
      </c>
    </row>
    <row r="7" spans="1:21">
      <c r="A7" s="1">
        <f>DETAILS!A5</f>
        <v>1948</v>
      </c>
      <c r="B7" s="3" t="str">
        <f>DETAILS!B5</f>
        <v>AHEM</v>
      </c>
      <c r="C7" s="3">
        <v>47</v>
      </c>
      <c r="D7" s="3">
        <v>50</v>
      </c>
      <c r="E7" s="3">
        <v>47</v>
      </c>
      <c r="F7" s="3">
        <v>50</v>
      </c>
      <c r="G7" s="3">
        <v>50</v>
      </c>
      <c r="H7" s="3">
        <v>50</v>
      </c>
      <c r="I7" s="3">
        <v>50</v>
      </c>
      <c r="J7" s="3">
        <v>50</v>
      </c>
      <c r="K7" s="3">
        <v>50</v>
      </c>
      <c r="L7" s="3">
        <v>45</v>
      </c>
      <c r="M7" s="3" t="s">
        <v>94</v>
      </c>
      <c r="N7" s="3" t="s">
        <v>94</v>
      </c>
      <c r="O7" s="3" t="s">
        <v>94</v>
      </c>
      <c r="P7" s="3" t="s">
        <v>94</v>
      </c>
      <c r="Q7" s="3" t="s">
        <v>94</v>
      </c>
      <c r="R7" s="3">
        <v>174</v>
      </c>
      <c r="S7" s="3">
        <v>214</v>
      </c>
      <c r="T7" s="3" t="s">
        <v>99</v>
      </c>
      <c r="U7" s="3">
        <f t="shared" si="0"/>
        <v>489</v>
      </c>
    </row>
    <row r="8" spans="1:21">
      <c r="A8" s="1" t="e">
        <f>DETAILS!#REF!</f>
        <v>#REF!</v>
      </c>
      <c r="B8" s="3" t="e">
        <f>DETAILS!#REF!</f>
        <v>#REF!</v>
      </c>
      <c r="C8" s="3">
        <v>17</v>
      </c>
      <c r="D8" s="3">
        <v>17</v>
      </c>
      <c r="E8" s="3">
        <v>17</v>
      </c>
      <c r="F8" s="3">
        <v>17</v>
      </c>
      <c r="G8" s="3">
        <v>17</v>
      </c>
      <c r="H8" s="3">
        <v>17</v>
      </c>
      <c r="I8" s="3">
        <v>17</v>
      </c>
      <c r="J8" s="3">
        <v>17</v>
      </c>
      <c r="K8" s="3">
        <v>17</v>
      </c>
      <c r="L8" s="3">
        <v>17</v>
      </c>
      <c r="M8" s="3" t="s">
        <v>100</v>
      </c>
      <c r="N8" s="3" t="s">
        <v>97</v>
      </c>
      <c r="O8" s="3" t="s">
        <v>97</v>
      </c>
      <c r="P8" s="3" t="s">
        <v>94</v>
      </c>
      <c r="Q8" s="3" t="s">
        <v>94</v>
      </c>
      <c r="R8" s="3">
        <v>78</v>
      </c>
      <c r="S8" s="3">
        <v>214</v>
      </c>
      <c r="T8" s="3" t="s">
        <v>98</v>
      </c>
      <c r="U8" s="3">
        <f t="shared" si="0"/>
        <v>170</v>
      </c>
    </row>
    <row r="9" spans="1:21">
      <c r="A9" s="1" t="e">
        <f>DETAILS!#REF!</f>
        <v>#REF!</v>
      </c>
      <c r="B9" s="3" t="e">
        <f>DETAILS!#REF!</f>
        <v>#REF!</v>
      </c>
      <c r="C9" s="3">
        <v>44</v>
      </c>
      <c r="D9" s="3">
        <v>50</v>
      </c>
      <c r="E9" s="3">
        <v>48</v>
      </c>
      <c r="F9" s="3">
        <v>45</v>
      </c>
      <c r="G9" s="3">
        <v>50</v>
      </c>
      <c r="H9" s="3">
        <v>37</v>
      </c>
      <c r="I9" s="3">
        <v>48</v>
      </c>
      <c r="J9" s="3">
        <v>49</v>
      </c>
      <c r="K9" s="3">
        <v>50</v>
      </c>
      <c r="L9" s="3">
        <v>48</v>
      </c>
      <c r="M9" s="3" t="s">
        <v>94</v>
      </c>
      <c r="N9" s="3" t="s">
        <v>101</v>
      </c>
      <c r="O9" s="3" t="s">
        <v>94</v>
      </c>
      <c r="P9" s="3" t="s">
        <v>94</v>
      </c>
      <c r="Q9" s="3" t="s">
        <v>94</v>
      </c>
      <c r="R9" s="3">
        <v>184</v>
      </c>
      <c r="S9" s="3">
        <v>214</v>
      </c>
      <c r="T9" s="3" t="s">
        <v>95</v>
      </c>
      <c r="U9" s="3">
        <f t="shared" si="0"/>
        <v>469</v>
      </c>
    </row>
    <row r="10" spans="1:21">
      <c r="A10" s="1" t="e">
        <f>DETAILS!#REF!</f>
        <v>#REF!</v>
      </c>
      <c r="B10" s="3" t="e">
        <f>DETAILS!#REF!</f>
        <v>#REF!</v>
      </c>
      <c r="C10" s="3">
        <v>44</v>
      </c>
      <c r="D10" s="3">
        <v>45</v>
      </c>
      <c r="E10" s="3">
        <v>48</v>
      </c>
      <c r="F10" s="3">
        <v>47</v>
      </c>
      <c r="G10" s="3">
        <v>48</v>
      </c>
      <c r="H10" s="3">
        <v>45</v>
      </c>
      <c r="I10" s="3">
        <v>41</v>
      </c>
      <c r="J10" s="3">
        <v>45</v>
      </c>
      <c r="K10" s="3">
        <v>40</v>
      </c>
      <c r="L10" s="3">
        <v>40</v>
      </c>
      <c r="M10" s="3" t="s">
        <v>94</v>
      </c>
      <c r="N10" s="3" t="s">
        <v>94</v>
      </c>
      <c r="O10" s="3" t="s">
        <v>94</v>
      </c>
      <c r="P10" s="3" t="s">
        <v>94</v>
      </c>
      <c r="Q10" s="3" t="s">
        <v>94</v>
      </c>
      <c r="R10" s="3">
        <v>206</v>
      </c>
      <c r="S10" s="3">
        <v>214</v>
      </c>
      <c r="T10" s="3" t="s">
        <v>102</v>
      </c>
      <c r="U10" s="3">
        <f t="shared" si="0"/>
        <v>443</v>
      </c>
    </row>
    <row r="11" spans="1:21">
      <c r="A11" s="1" t="e">
        <f>DETAILS!#REF!</f>
        <v>#REF!</v>
      </c>
      <c r="B11" s="3" t="e">
        <f>DETAILS!#REF!</f>
        <v>#REF!</v>
      </c>
      <c r="C11" s="3">
        <v>40</v>
      </c>
      <c r="D11" s="3">
        <v>45</v>
      </c>
      <c r="E11" s="3">
        <v>45</v>
      </c>
      <c r="F11" s="3">
        <v>42</v>
      </c>
      <c r="G11" s="3">
        <v>48</v>
      </c>
      <c r="H11" s="3">
        <v>48</v>
      </c>
      <c r="I11" s="3">
        <v>48</v>
      </c>
      <c r="J11" s="3">
        <v>48</v>
      </c>
      <c r="K11" s="3">
        <v>45</v>
      </c>
      <c r="L11" s="3">
        <v>45</v>
      </c>
      <c r="M11" s="3" t="s">
        <v>94</v>
      </c>
      <c r="N11" s="3" t="s">
        <v>94</v>
      </c>
      <c r="O11" s="3" t="s">
        <v>94</v>
      </c>
      <c r="P11" s="3" t="s">
        <v>94</v>
      </c>
      <c r="Q11" s="3" t="s">
        <v>94</v>
      </c>
      <c r="R11" s="3">
        <v>167</v>
      </c>
      <c r="S11" s="3">
        <v>214</v>
      </c>
      <c r="T11" s="3" t="s">
        <v>102</v>
      </c>
      <c r="U11" s="3">
        <f t="shared" si="0"/>
        <v>454</v>
      </c>
    </row>
    <row r="12" spans="1:21">
      <c r="A12" s="1">
        <f>DETAILS!A6</f>
        <v>1868</v>
      </c>
      <c r="B12" s="3" t="str">
        <f>DETAILS!B6</f>
        <v>ANUSHKA RAJ</v>
      </c>
      <c r="C12" s="3">
        <v>46</v>
      </c>
      <c r="D12" s="3">
        <v>50</v>
      </c>
      <c r="E12" s="3">
        <v>30</v>
      </c>
      <c r="F12" s="3">
        <v>46</v>
      </c>
      <c r="G12" s="3">
        <v>48</v>
      </c>
      <c r="H12" s="3">
        <v>43</v>
      </c>
      <c r="I12" s="3">
        <v>50</v>
      </c>
      <c r="J12" s="3">
        <v>50</v>
      </c>
      <c r="K12" s="3">
        <v>45</v>
      </c>
      <c r="L12" s="3">
        <v>45</v>
      </c>
      <c r="M12" s="3" t="s">
        <v>94</v>
      </c>
      <c r="N12" s="3" t="s">
        <v>94</v>
      </c>
      <c r="O12" s="3" t="s">
        <v>94</v>
      </c>
      <c r="P12" s="3" t="s">
        <v>94</v>
      </c>
      <c r="Q12" s="3" t="s">
        <v>94</v>
      </c>
      <c r="R12" s="3">
        <v>161</v>
      </c>
      <c r="S12" s="3">
        <v>204</v>
      </c>
      <c r="T12" s="3" t="s">
        <v>103</v>
      </c>
      <c r="U12" s="3">
        <f t="shared" si="0"/>
        <v>453</v>
      </c>
    </row>
    <row r="13" spans="1:21">
      <c r="A13" s="1">
        <f>DETAILS!A7</f>
        <v>1939</v>
      </c>
      <c r="B13" s="3" t="str">
        <f>DETAILS!B7</f>
        <v>ARNAV SINGH</v>
      </c>
      <c r="C13" s="3">
        <v>39</v>
      </c>
      <c r="D13" s="3">
        <v>40</v>
      </c>
      <c r="E13" s="3">
        <v>30</v>
      </c>
      <c r="F13" s="3">
        <v>38</v>
      </c>
      <c r="G13" s="3">
        <v>45</v>
      </c>
      <c r="H13" s="3">
        <v>30</v>
      </c>
      <c r="I13" s="3">
        <v>40</v>
      </c>
      <c r="J13" s="3">
        <v>40</v>
      </c>
      <c r="K13" s="3">
        <v>40</v>
      </c>
      <c r="L13" s="3">
        <v>35</v>
      </c>
      <c r="M13" s="3" t="s">
        <v>94</v>
      </c>
      <c r="N13" s="3" t="s">
        <v>94</v>
      </c>
      <c r="O13" s="3" t="s">
        <v>94</v>
      </c>
      <c r="P13" s="3" t="s">
        <v>94</v>
      </c>
      <c r="Q13" s="3" t="s">
        <v>94</v>
      </c>
      <c r="R13" s="3">
        <v>122</v>
      </c>
      <c r="S13" s="3">
        <v>176</v>
      </c>
      <c r="T13" s="3" t="s">
        <v>103</v>
      </c>
      <c r="U13" s="3">
        <f t="shared" si="0"/>
        <v>377</v>
      </c>
    </row>
    <row r="14" spans="1:21">
      <c r="A14" s="1">
        <f>DETAILS!A8</f>
        <v>1956</v>
      </c>
      <c r="B14" s="3" t="str">
        <f>DETAILS!B8</f>
        <v>ATHARV UPADHYAY</v>
      </c>
      <c r="C14" s="3">
        <v>33</v>
      </c>
      <c r="D14" s="3">
        <v>40</v>
      </c>
      <c r="E14" s="3">
        <v>30</v>
      </c>
      <c r="F14" s="3">
        <v>33</v>
      </c>
      <c r="G14" s="3">
        <v>40</v>
      </c>
      <c r="H14" s="3">
        <v>30</v>
      </c>
      <c r="I14" s="3">
        <v>45</v>
      </c>
      <c r="J14" s="3">
        <v>45</v>
      </c>
      <c r="K14" s="3">
        <v>50</v>
      </c>
      <c r="L14" s="3">
        <v>40</v>
      </c>
      <c r="M14" s="3" t="s">
        <v>94</v>
      </c>
      <c r="N14" s="3" t="s">
        <v>94</v>
      </c>
      <c r="O14" s="3" t="s">
        <v>94</v>
      </c>
      <c r="P14" s="3" t="s">
        <v>94</v>
      </c>
      <c r="Q14" s="3" t="s">
        <v>94</v>
      </c>
      <c r="R14" s="3">
        <v>107</v>
      </c>
      <c r="S14" s="3">
        <v>167</v>
      </c>
      <c r="T14" s="3" t="s">
        <v>95</v>
      </c>
      <c r="U14" s="3">
        <f t="shared" si="0"/>
        <v>386</v>
      </c>
    </row>
    <row r="15" spans="1:21">
      <c r="A15" s="1">
        <f>DETAILS!A9</f>
        <v>1882</v>
      </c>
      <c r="B15" s="3" t="str">
        <f>DETAILS!B9</f>
        <v>ATHRAV SINGH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f t="shared" si="0"/>
        <v>0</v>
      </c>
    </row>
    <row r="16" spans="1:21">
      <c r="A16" s="1">
        <f>DETAILS!A10</f>
        <v>1954</v>
      </c>
      <c r="B16" s="3" t="str">
        <f>DETAILS!B10</f>
        <v>AVANTIKA</v>
      </c>
      <c r="C16" s="3">
        <v>49</v>
      </c>
      <c r="D16" s="3">
        <v>50</v>
      </c>
      <c r="E16" s="3">
        <v>43</v>
      </c>
      <c r="F16" s="3">
        <v>48</v>
      </c>
      <c r="G16" s="3">
        <v>49</v>
      </c>
      <c r="H16" s="3">
        <v>48</v>
      </c>
      <c r="I16" s="3">
        <v>48</v>
      </c>
      <c r="J16" s="3">
        <v>48</v>
      </c>
      <c r="K16" s="3">
        <v>40</v>
      </c>
      <c r="L16" s="3">
        <v>50</v>
      </c>
      <c r="M16" s="3" t="s">
        <v>94</v>
      </c>
      <c r="N16" s="3" t="s">
        <v>94</v>
      </c>
      <c r="O16" s="3" t="s">
        <v>94</v>
      </c>
      <c r="P16" s="3" t="s">
        <v>94</v>
      </c>
      <c r="Q16" s="3" t="s">
        <v>94</v>
      </c>
      <c r="R16" s="3">
        <v>160</v>
      </c>
      <c r="S16" s="3">
        <v>214</v>
      </c>
      <c r="T16" s="3" t="s">
        <v>99</v>
      </c>
      <c r="U16" s="3">
        <f t="shared" si="0"/>
        <v>473</v>
      </c>
    </row>
    <row r="17" spans="1:21">
      <c r="A17" s="1" t="e">
        <f>DETAILS!#REF!</f>
        <v>#REF!</v>
      </c>
      <c r="B17" s="3" t="e">
        <f>DETAILS!#REF!</f>
        <v>#REF!</v>
      </c>
      <c r="C17" s="3">
        <v>45</v>
      </c>
      <c r="D17" s="3">
        <v>50</v>
      </c>
      <c r="E17" s="3">
        <v>39</v>
      </c>
      <c r="F17" s="3">
        <v>46</v>
      </c>
      <c r="G17" s="3">
        <v>48</v>
      </c>
      <c r="H17" s="3">
        <v>50</v>
      </c>
      <c r="I17" s="3">
        <v>50</v>
      </c>
      <c r="J17" s="3">
        <v>50</v>
      </c>
      <c r="K17" s="3">
        <v>50</v>
      </c>
      <c r="L17" s="3">
        <v>50</v>
      </c>
      <c r="M17" s="3" t="s">
        <v>94</v>
      </c>
      <c r="N17" s="3" t="s">
        <v>94</v>
      </c>
      <c r="O17" s="3" t="s">
        <v>94</v>
      </c>
      <c r="P17" s="3" t="s">
        <v>94</v>
      </c>
      <c r="Q17" s="3" t="s">
        <v>94</v>
      </c>
      <c r="R17" s="3">
        <v>177</v>
      </c>
      <c r="S17" s="3">
        <v>214</v>
      </c>
      <c r="T17" s="3" t="s">
        <v>99</v>
      </c>
      <c r="U17" s="3">
        <f t="shared" si="0"/>
        <v>478</v>
      </c>
    </row>
    <row r="18" spans="1:21">
      <c r="A18" s="1" t="e">
        <f>DETAILS!#REF!</f>
        <v>#REF!</v>
      </c>
      <c r="B18" s="3" t="e">
        <f>DETAILS!#REF!</f>
        <v>#REF!</v>
      </c>
      <c r="C18" s="3">
        <v>50</v>
      </c>
      <c r="D18" s="3">
        <v>50</v>
      </c>
      <c r="E18" s="3">
        <v>50</v>
      </c>
      <c r="F18" s="3">
        <v>50</v>
      </c>
      <c r="G18" s="3">
        <v>50</v>
      </c>
      <c r="H18" s="3">
        <v>50</v>
      </c>
      <c r="I18" s="3">
        <v>50</v>
      </c>
      <c r="J18" s="3">
        <v>50</v>
      </c>
      <c r="K18" s="3">
        <v>50</v>
      </c>
      <c r="L18" s="3">
        <v>50</v>
      </c>
      <c r="M18" s="3" t="s">
        <v>94</v>
      </c>
      <c r="N18" s="3" t="s">
        <v>94</v>
      </c>
      <c r="O18" s="3" t="s">
        <v>94</v>
      </c>
      <c r="P18" s="3" t="s">
        <v>94</v>
      </c>
      <c r="Q18" s="3" t="s">
        <v>94</v>
      </c>
      <c r="R18" s="3">
        <v>175</v>
      </c>
      <c r="S18" s="3">
        <v>214</v>
      </c>
      <c r="T18" s="3" t="s">
        <v>104</v>
      </c>
      <c r="U18" s="3">
        <f t="shared" si="0"/>
        <v>500</v>
      </c>
    </row>
    <row r="19" spans="1:21">
      <c r="A19" s="1">
        <f>DETAILS!A11</f>
        <v>1923</v>
      </c>
      <c r="B19" s="3" t="str">
        <f>DETAILS!B11</f>
        <v>AVIKA MAURYA</v>
      </c>
      <c r="C19" s="3">
        <v>50</v>
      </c>
      <c r="D19" s="3">
        <v>48</v>
      </c>
      <c r="E19" s="3">
        <v>48</v>
      </c>
      <c r="F19" s="3">
        <v>40</v>
      </c>
      <c r="G19" s="3">
        <v>48</v>
      </c>
      <c r="H19" s="3">
        <v>48</v>
      </c>
      <c r="I19" s="3">
        <v>48</v>
      </c>
      <c r="J19" s="3">
        <v>50</v>
      </c>
      <c r="K19" s="3">
        <v>48</v>
      </c>
      <c r="L19" s="3">
        <v>48</v>
      </c>
      <c r="M19" s="3" t="s">
        <v>94</v>
      </c>
      <c r="N19" s="3" t="s">
        <v>94</v>
      </c>
      <c r="O19" s="3" t="s">
        <v>94</v>
      </c>
      <c r="P19" s="3" t="s">
        <v>94</v>
      </c>
      <c r="Q19" s="3" t="s">
        <v>94</v>
      </c>
      <c r="R19" s="3">
        <v>163</v>
      </c>
      <c r="S19" s="3">
        <v>214</v>
      </c>
      <c r="T19" s="3" t="s">
        <v>99</v>
      </c>
      <c r="U19" s="3">
        <f t="shared" si="0"/>
        <v>476</v>
      </c>
    </row>
    <row r="20" spans="1:21">
      <c r="A20" s="1">
        <f>DETAILS!A12</f>
        <v>1893</v>
      </c>
      <c r="B20" s="3" t="str">
        <f>DETAILS!B12</f>
        <v>DAKSH</v>
      </c>
      <c r="C20" s="3">
        <v>50</v>
      </c>
      <c r="D20" s="3">
        <v>50</v>
      </c>
      <c r="E20" s="3">
        <v>48</v>
      </c>
      <c r="F20" s="3">
        <v>50</v>
      </c>
      <c r="G20" s="3">
        <v>48</v>
      </c>
      <c r="H20" s="3">
        <v>48</v>
      </c>
      <c r="I20" s="3">
        <v>50</v>
      </c>
      <c r="J20" s="3">
        <v>50</v>
      </c>
      <c r="K20" s="3">
        <v>50</v>
      </c>
      <c r="L20" s="3">
        <v>50</v>
      </c>
      <c r="M20" s="3" t="s">
        <v>94</v>
      </c>
      <c r="N20" s="3" t="s">
        <v>94</v>
      </c>
      <c r="O20" s="3" t="s">
        <v>94</v>
      </c>
      <c r="P20" s="3" t="s">
        <v>94</v>
      </c>
      <c r="Q20" s="3" t="s">
        <v>94</v>
      </c>
      <c r="R20" s="3">
        <v>110</v>
      </c>
      <c r="S20" s="3">
        <v>174</v>
      </c>
      <c r="T20" s="3" t="s">
        <v>95</v>
      </c>
      <c r="U20" s="3">
        <f t="shared" si="0"/>
        <v>494</v>
      </c>
    </row>
    <row r="21" spans="1:21">
      <c r="A21" s="1" t="e">
        <f>DETAILS!#REF!</f>
        <v>#REF!</v>
      </c>
      <c r="B21" s="3" t="e">
        <f>DETAILS!#REF!</f>
        <v>#REF!</v>
      </c>
      <c r="C21" s="3">
        <v>40</v>
      </c>
      <c r="D21" s="3">
        <v>48</v>
      </c>
      <c r="E21" s="3">
        <v>38</v>
      </c>
      <c r="F21" s="3">
        <v>40</v>
      </c>
      <c r="G21" s="3">
        <v>45</v>
      </c>
      <c r="H21" s="3">
        <v>45</v>
      </c>
      <c r="I21" s="3">
        <v>45</v>
      </c>
      <c r="J21" s="3">
        <v>45</v>
      </c>
      <c r="K21" s="3">
        <v>48</v>
      </c>
      <c r="L21" s="3">
        <v>49</v>
      </c>
      <c r="M21" s="3" t="s">
        <v>94</v>
      </c>
      <c r="N21" s="3" t="s">
        <v>94</v>
      </c>
      <c r="O21" s="3" t="s">
        <v>94</v>
      </c>
      <c r="P21" s="3" t="s">
        <v>94</v>
      </c>
      <c r="Q21" s="3" t="s">
        <v>94</v>
      </c>
      <c r="R21" s="3">
        <v>135</v>
      </c>
      <c r="S21" s="3">
        <v>179</v>
      </c>
      <c r="T21" s="3" t="s">
        <v>95</v>
      </c>
      <c r="U21" s="3">
        <f t="shared" si="0"/>
        <v>443</v>
      </c>
    </row>
    <row r="22" spans="1:21">
      <c r="A22" s="1">
        <f>DETAILS!A13</f>
        <v>1843</v>
      </c>
      <c r="B22" s="3" t="str">
        <f>DETAILS!B13</f>
        <v>DEV MISHRA</v>
      </c>
      <c r="C22" s="3">
        <v>46</v>
      </c>
      <c r="D22" s="3">
        <v>50</v>
      </c>
      <c r="E22" s="3">
        <v>50</v>
      </c>
      <c r="F22" s="3">
        <v>49</v>
      </c>
      <c r="G22" s="3">
        <v>45</v>
      </c>
      <c r="H22" s="3">
        <v>42</v>
      </c>
      <c r="I22" s="3">
        <v>47</v>
      </c>
      <c r="J22" s="3">
        <v>48</v>
      </c>
      <c r="K22" s="3">
        <v>50</v>
      </c>
      <c r="L22" s="3">
        <v>50</v>
      </c>
      <c r="M22" s="3" t="s">
        <v>94</v>
      </c>
      <c r="N22" s="3" t="s">
        <v>94</v>
      </c>
      <c r="O22" s="3" t="s">
        <v>94</v>
      </c>
      <c r="P22" s="3" t="s">
        <v>94</v>
      </c>
      <c r="Q22" s="3" t="s">
        <v>94</v>
      </c>
      <c r="R22" s="3">
        <v>170</v>
      </c>
      <c r="S22" s="3">
        <v>214</v>
      </c>
      <c r="T22" s="3" t="s">
        <v>103</v>
      </c>
      <c r="U22" s="3">
        <f t="shared" si="0"/>
        <v>477</v>
      </c>
    </row>
    <row r="23" spans="1:21">
      <c r="A23" s="1" t="e">
        <f>DETAILS!#REF!</f>
        <v>#REF!</v>
      </c>
      <c r="B23" s="3" t="e">
        <f>DETAILS!#REF!</f>
        <v>#REF!</v>
      </c>
      <c r="C23" s="3">
        <v>35</v>
      </c>
      <c r="D23" s="3">
        <v>50</v>
      </c>
      <c r="E23" s="3">
        <v>35</v>
      </c>
      <c r="F23" s="3">
        <v>43</v>
      </c>
      <c r="G23" s="3">
        <v>45</v>
      </c>
      <c r="H23" s="3">
        <v>40</v>
      </c>
      <c r="I23" s="3">
        <v>49</v>
      </c>
      <c r="J23" s="3">
        <v>48</v>
      </c>
      <c r="K23" s="3">
        <v>50</v>
      </c>
      <c r="L23" s="3">
        <v>50</v>
      </c>
      <c r="M23" s="3" t="s">
        <v>94</v>
      </c>
      <c r="N23" s="3" t="s">
        <v>94</v>
      </c>
      <c r="O23" s="3" t="s">
        <v>94</v>
      </c>
      <c r="P23" s="3" t="s">
        <v>94</v>
      </c>
      <c r="Q23" s="3" t="s">
        <v>94</v>
      </c>
      <c r="R23" s="3">
        <v>166</v>
      </c>
      <c r="S23" s="3">
        <v>214</v>
      </c>
      <c r="T23" s="3" t="s">
        <v>95</v>
      </c>
      <c r="U23" s="3">
        <f t="shared" si="0"/>
        <v>445</v>
      </c>
    </row>
    <row r="24" spans="1:21">
      <c r="A24" s="1" t="e">
        <f>DETAILS!#REF!</f>
        <v>#REF!</v>
      </c>
      <c r="B24" s="3" t="e">
        <f>DETAILS!#REF!</f>
        <v>#REF!</v>
      </c>
      <c r="C24" s="3">
        <v>41</v>
      </c>
      <c r="D24" s="3">
        <v>50</v>
      </c>
      <c r="E24" s="3">
        <v>50</v>
      </c>
      <c r="F24" s="3">
        <v>49</v>
      </c>
      <c r="G24" s="3">
        <v>45</v>
      </c>
      <c r="H24" s="3">
        <v>50</v>
      </c>
      <c r="I24" s="3">
        <v>49</v>
      </c>
      <c r="J24" s="3">
        <v>48</v>
      </c>
      <c r="K24" s="3">
        <v>48</v>
      </c>
      <c r="L24" s="3">
        <v>50</v>
      </c>
      <c r="M24" s="3" t="s">
        <v>94</v>
      </c>
      <c r="N24" s="3" t="s">
        <v>94</v>
      </c>
      <c r="O24" s="3" t="s">
        <v>94</v>
      </c>
      <c r="P24" s="3" t="s">
        <v>94</v>
      </c>
      <c r="Q24" s="3" t="s">
        <v>94</v>
      </c>
      <c r="R24" s="3">
        <v>165</v>
      </c>
      <c r="S24" s="3">
        <v>214</v>
      </c>
      <c r="T24" s="3" t="s">
        <v>99</v>
      </c>
      <c r="U24" s="3">
        <f t="shared" si="0"/>
        <v>480</v>
      </c>
    </row>
    <row r="25" spans="1:21">
      <c r="A25" s="1" t="e">
        <f>DETAILS!#REF!</f>
        <v>#REF!</v>
      </c>
      <c r="B25" s="3" t="e">
        <f>DETAILS!#REF!</f>
        <v>#REF!</v>
      </c>
      <c r="C25" s="3">
        <v>43</v>
      </c>
      <c r="D25" s="3">
        <v>50</v>
      </c>
      <c r="E25" s="3">
        <v>40</v>
      </c>
      <c r="F25" s="3">
        <v>44</v>
      </c>
      <c r="G25" s="3">
        <v>48</v>
      </c>
      <c r="H25" s="3">
        <v>46</v>
      </c>
      <c r="I25" s="3">
        <v>49</v>
      </c>
      <c r="J25" s="3">
        <v>48</v>
      </c>
      <c r="K25" s="3">
        <v>50</v>
      </c>
      <c r="L25" s="3">
        <v>48</v>
      </c>
      <c r="M25" s="3" t="s">
        <v>94</v>
      </c>
      <c r="N25" s="3" t="s">
        <v>97</v>
      </c>
      <c r="O25" s="3" t="s">
        <v>94</v>
      </c>
      <c r="P25" s="3" t="s">
        <v>94</v>
      </c>
      <c r="Q25" s="3" t="s">
        <v>94</v>
      </c>
      <c r="R25" s="3">
        <v>153</v>
      </c>
      <c r="S25" s="3">
        <v>169</v>
      </c>
      <c r="T25" s="3" t="s">
        <v>103</v>
      </c>
      <c r="U25" s="3">
        <f t="shared" si="0"/>
        <v>466</v>
      </c>
    </row>
    <row r="26" spans="1:21">
      <c r="A26" s="1">
        <f>DETAILS!A14</f>
        <v>1858</v>
      </c>
      <c r="B26" s="3" t="str">
        <f>DETAILS!B14</f>
        <v>DEVESH RAJPOOT</v>
      </c>
      <c r="C26" s="3">
        <v>44</v>
      </c>
      <c r="D26" s="3">
        <v>48</v>
      </c>
      <c r="E26" s="3">
        <v>42</v>
      </c>
      <c r="F26" s="3">
        <v>50</v>
      </c>
      <c r="G26" s="3">
        <v>48</v>
      </c>
      <c r="H26" s="3">
        <v>45</v>
      </c>
      <c r="I26" s="3">
        <v>50</v>
      </c>
      <c r="J26" s="3">
        <v>45</v>
      </c>
      <c r="K26" s="3">
        <v>48</v>
      </c>
      <c r="L26" s="3">
        <v>50</v>
      </c>
      <c r="M26" s="3" t="s">
        <v>94</v>
      </c>
      <c r="N26" s="3" t="s">
        <v>97</v>
      </c>
      <c r="O26" s="3" t="s">
        <v>94</v>
      </c>
      <c r="P26" s="3" t="s">
        <v>94</v>
      </c>
      <c r="Q26" s="3" t="s">
        <v>94</v>
      </c>
      <c r="R26" s="3">
        <v>153</v>
      </c>
      <c r="S26" s="3">
        <v>169</v>
      </c>
      <c r="T26" s="3" t="s">
        <v>95</v>
      </c>
      <c r="U26" s="3">
        <f t="shared" si="0"/>
        <v>470</v>
      </c>
    </row>
    <row r="27" spans="1:21">
      <c r="A27" s="1">
        <f>DETAILS!A15</f>
        <v>1877</v>
      </c>
      <c r="B27" s="3" t="str">
        <f>DETAILS!B15</f>
        <v>INDRABH YADAV</v>
      </c>
      <c r="C27" s="3">
        <v>17</v>
      </c>
      <c r="D27" s="3">
        <v>17</v>
      </c>
      <c r="E27" s="3">
        <v>17</v>
      </c>
      <c r="F27" s="3">
        <v>35</v>
      </c>
      <c r="G27" s="3">
        <v>40</v>
      </c>
      <c r="H27" s="3">
        <v>17</v>
      </c>
      <c r="I27" s="3">
        <v>42</v>
      </c>
      <c r="J27" s="3">
        <v>40</v>
      </c>
      <c r="K27" s="3">
        <v>17</v>
      </c>
      <c r="L27" s="3">
        <v>17</v>
      </c>
      <c r="M27" s="3" t="s">
        <v>100</v>
      </c>
      <c r="N27" s="3" t="s">
        <v>97</v>
      </c>
      <c r="O27" s="3" t="s">
        <v>97</v>
      </c>
      <c r="P27" s="3" t="s">
        <v>94</v>
      </c>
      <c r="Q27" s="3" t="s">
        <v>94</v>
      </c>
      <c r="R27" s="3">
        <v>136</v>
      </c>
      <c r="S27" s="3">
        <v>174</v>
      </c>
      <c r="T27" s="3" t="s">
        <v>103</v>
      </c>
      <c r="U27" s="3">
        <f t="shared" si="0"/>
        <v>259</v>
      </c>
    </row>
    <row r="28" spans="1:21">
      <c r="A28" s="1">
        <f>DETAILS!A16</f>
        <v>1851</v>
      </c>
      <c r="B28" s="3" t="str">
        <f>DETAILS!B16</f>
        <v>KARTIKEY SINGH</v>
      </c>
      <c r="C28" s="3">
        <v>44</v>
      </c>
      <c r="D28" s="3">
        <v>50</v>
      </c>
      <c r="E28" s="3">
        <v>36</v>
      </c>
      <c r="F28" s="3">
        <v>45</v>
      </c>
      <c r="G28" s="3">
        <v>45</v>
      </c>
      <c r="H28" s="3">
        <v>45</v>
      </c>
      <c r="I28" s="3">
        <v>50</v>
      </c>
      <c r="J28" s="3">
        <v>45</v>
      </c>
      <c r="K28" s="3">
        <v>50</v>
      </c>
      <c r="L28" s="3">
        <v>50</v>
      </c>
      <c r="M28" s="3" t="s">
        <v>94</v>
      </c>
      <c r="N28" s="3" t="s">
        <v>94</v>
      </c>
      <c r="O28" s="3" t="s">
        <v>94</v>
      </c>
      <c r="P28" s="3" t="s">
        <v>94</v>
      </c>
      <c r="Q28" s="3" t="s">
        <v>94</v>
      </c>
      <c r="R28" s="3">
        <v>140</v>
      </c>
      <c r="S28" s="3">
        <v>155</v>
      </c>
      <c r="T28" s="3" t="s">
        <v>95</v>
      </c>
      <c r="U28" s="3">
        <f t="shared" si="0"/>
        <v>460</v>
      </c>
    </row>
    <row r="29" spans="1:21">
      <c r="A29" s="1" t="e">
        <f>DETAILS!#REF!</f>
        <v>#REF!</v>
      </c>
      <c r="B29" s="3" t="e">
        <f>DETAILS!#REF!</f>
        <v>#REF!</v>
      </c>
      <c r="C29" s="3">
        <v>50</v>
      </c>
      <c r="D29" s="3">
        <v>50</v>
      </c>
      <c r="E29" s="3">
        <v>50</v>
      </c>
      <c r="F29" s="3">
        <v>50</v>
      </c>
      <c r="G29" s="3">
        <v>45</v>
      </c>
      <c r="H29" s="3">
        <v>50</v>
      </c>
      <c r="I29" s="3">
        <v>50</v>
      </c>
      <c r="J29" s="3">
        <v>50</v>
      </c>
      <c r="K29" s="3">
        <v>50</v>
      </c>
      <c r="L29" s="3">
        <v>50</v>
      </c>
      <c r="M29" s="3" t="s">
        <v>94</v>
      </c>
      <c r="N29" s="3" t="s">
        <v>94</v>
      </c>
      <c r="O29" s="3" t="s">
        <v>94</v>
      </c>
      <c r="P29" s="3" t="s">
        <v>94</v>
      </c>
      <c r="Q29" s="3" t="s">
        <v>94</v>
      </c>
      <c r="R29" s="3">
        <v>159</v>
      </c>
      <c r="S29" s="3">
        <v>214</v>
      </c>
      <c r="T29" s="3" t="s">
        <v>99</v>
      </c>
      <c r="U29" s="3">
        <f t="shared" si="0"/>
        <v>495</v>
      </c>
    </row>
    <row r="30" spans="1:21">
      <c r="A30" s="1">
        <f>DETAILS!A17</f>
        <v>1889</v>
      </c>
      <c r="B30" s="3" t="str">
        <f>DETAILS!B17</f>
        <v>MOHD. ARIZ</v>
      </c>
      <c r="C30" s="3">
        <v>48</v>
      </c>
      <c r="D30" s="3">
        <v>50</v>
      </c>
      <c r="E30" s="3">
        <v>50</v>
      </c>
      <c r="F30" s="3">
        <v>48</v>
      </c>
      <c r="G30" s="3">
        <v>49</v>
      </c>
      <c r="H30" s="3">
        <v>50</v>
      </c>
      <c r="I30" s="3">
        <v>50</v>
      </c>
      <c r="J30" s="3">
        <v>50</v>
      </c>
      <c r="K30" s="3">
        <v>50</v>
      </c>
      <c r="L30" s="3">
        <v>50</v>
      </c>
      <c r="M30" s="3" t="s">
        <v>94</v>
      </c>
      <c r="N30" s="3" t="s">
        <v>94</v>
      </c>
      <c r="O30" s="3" t="s">
        <v>94</v>
      </c>
      <c r="P30" s="3" t="s">
        <v>94</v>
      </c>
      <c r="Q30" s="3" t="s">
        <v>94</v>
      </c>
      <c r="R30" s="3">
        <v>174</v>
      </c>
      <c r="S30" s="3">
        <v>201</v>
      </c>
      <c r="T30" s="3" t="s">
        <v>96</v>
      </c>
      <c r="U30" s="3">
        <f t="shared" si="0"/>
        <v>495</v>
      </c>
    </row>
    <row r="31" spans="1:21">
      <c r="A31" s="15" t="e">
        <f>DETAILS!#REF!</f>
        <v>#REF!</v>
      </c>
      <c r="B31" s="16" t="e">
        <f>DETAILS!#REF!</f>
        <v>#REF!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>
        <f t="shared" si="0"/>
        <v>0</v>
      </c>
    </row>
    <row r="32" spans="1:21">
      <c r="A32" s="1" t="e">
        <f>DETAILS!#REF!</f>
        <v>#REF!</v>
      </c>
      <c r="B32" s="3" t="e">
        <f>DETAILS!#REF!</f>
        <v>#REF!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>
        <f t="shared" si="0"/>
        <v>0</v>
      </c>
    </row>
    <row r="33" spans="1:21">
      <c r="A33" s="1" t="e">
        <f>DETAILS!#REF!</f>
        <v>#REF!</v>
      </c>
      <c r="B33" s="3" t="e">
        <f>DETAILS!#REF!</f>
        <v>#REF!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f t="shared" si="0"/>
        <v>0</v>
      </c>
    </row>
    <row r="34" spans="1:21">
      <c r="A34" s="1" t="e">
        <f>DETAILS!#REF!</f>
        <v>#REF!</v>
      </c>
      <c r="B34" s="3" t="e">
        <f>DETAILS!#REF!</f>
        <v>#REF!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f t="shared" si="0"/>
        <v>0</v>
      </c>
    </row>
    <row r="35" spans="1:21">
      <c r="A35" s="1">
        <f>DETAILS!A18</f>
        <v>1905</v>
      </c>
      <c r="B35" s="3" t="str">
        <f>DETAILS!B18</f>
        <v>RAVNOOR KAUR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f t="shared" si="0"/>
        <v>0</v>
      </c>
    </row>
    <row r="36" spans="1:21">
      <c r="A36" s="1" t="e">
        <f>DETAILS!#REF!</f>
        <v>#REF!</v>
      </c>
      <c r="B36" s="3" t="e">
        <f>DETAILS!#REF!</f>
        <v>#REF!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>
        <f t="shared" si="0"/>
        <v>0</v>
      </c>
    </row>
    <row r="37" spans="1:21">
      <c r="A37" s="1" t="e">
        <f>DETAILS!#REF!</f>
        <v>#REF!</v>
      </c>
      <c r="B37" s="3" t="e">
        <f>DETAILS!#REF!</f>
        <v>#REF!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>
        <f t="shared" si="0"/>
        <v>0</v>
      </c>
    </row>
    <row r="38" spans="1:21">
      <c r="A38" s="1" t="e">
        <f>DETAILS!#REF!</f>
        <v>#REF!</v>
      </c>
      <c r="B38" s="3" t="e">
        <f>DETAILS!#REF!</f>
        <v>#REF!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>
        <f t="shared" si="0"/>
        <v>0</v>
      </c>
    </row>
    <row r="39" spans="1:21">
      <c r="A39" s="1">
        <f>DETAILS!A19</f>
        <v>1874</v>
      </c>
      <c r="B39" s="3" t="str">
        <f>DETAILS!B19</f>
        <v>SEHRISH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>
        <f t="shared" si="0"/>
        <v>0</v>
      </c>
    </row>
    <row r="40" spans="1:21">
      <c r="A40" s="1">
        <f>DETAILS!A20</f>
        <v>0</v>
      </c>
      <c r="B40" s="3">
        <f>DETAILS!B20</f>
        <v>0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>
        <f t="shared" si="0"/>
        <v>0</v>
      </c>
    </row>
    <row r="41" spans="1:21">
      <c r="A41" s="1">
        <f>DETAILS!A21</f>
        <v>0</v>
      </c>
      <c r="B41" s="3">
        <f>DETAILS!B21</f>
        <v>0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>
        <f t="shared" si="0"/>
        <v>0</v>
      </c>
    </row>
  </sheetData>
  <mergeCells count="1">
    <mergeCell ref="A1:U1"/>
  </mergeCells>
  <pageMargins left="0.26" right="0.22" top="0.75" bottom="0.75" header="0.3" footer="0.3"/>
  <pageSetup paperSize="9" scale="7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42"/>
  <sheetViews>
    <sheetView workbookViewId="0">
      <selection activeCell="H38" sqref="H38"/>
    </sheetView>
  </sheetViews>
  <sheetFormatPr defaultColWidth="9" defaultRowHeight="14.4"/>
  <cols>
    <col min="2" max="2" width="28.33203125" customWidth="1"/>
    <col min="3" max="64" width="4" customWidth="1"/>
    <col min="65" max="65" width="26.44140625" customWidth="1"/>
  </cols>
  <sheetData>
    <row r="1" spans="1:65">
      <c r="A1" s="38" t="s">
        <v>105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39"/>
      <c r="BG1" s="39"/>
      <c r="BH1" s="39"/>
      <c r="BI1" s="39"/>
      <c r="BJ1" s="39"/>
      <c r="BK1" s="39"/>
      <c r="BL1" s="39"/>
      <c r="BM1" s="41"/>
    </row>
    <row r="2" spans="1:65" ht="30.75" customHeight="1">
      <c r="A2" s="4" t="s">
        <v>71</v>
      </c>
      <c r="B2" s="4" t="s">
        <v>72</v>
      </c>
      <c r="C2" s="40" t="s">
        <v>73</v>
      </c>
      <c r="D2" s="40"/>
      <c r="E2" s="40"/>
      <c r="F2" s="40"/>
      <c r="G2" s="40" t="s">
        <v>74</v>
      </c>
      <c r="H2" s="40"/>
      <c r="I2" s="40"/>
      <c r="J2" s="40"/>
      <c r="K2" s="40" t="s">
        <v>75</v>
      </c>
      <c r="L2" s="40"/>
      <c r="M2" s="40"/>
      <c r="N2" s="40"/>
      <c r="O2" s="40" t="s">
        <v>76</v>
      </c>
      <c r="P2" s="40"/>
      <c r="Q2" s="40"/>
      <c r="R2" s="40"/>
      <c r="S2" s="40" t="s">
        <v>77</v>
      </c>
      <c r="T2" s="40"/>
      <c r="U2" s="40"/>
      <c r="V2" s="40"/>
      <c r="W2" s="40" t="s">
        <v>78</v>
      </c>
      <c r="X2" s="40"/>
      <c r="Y2" s="40"/>
      <c r="Z2" s="40"/>
      <c r="AA2" s="40" t="s">
        <v>79</v>
      </c>
      <c r="AB2" s="40"/>
      <c r="AC2" s="40"/>
      <c r="AD2" s="40"/>
      <c r="AE2" s="40" t="s">
        <v>80</v>
      </c>
      <c r="AF2" s="40"/>
      <c r="AG2" s="40"/>
      <c r="AH2" s="40"/>
      <c r="AI2" s="40" t="s">
        <v>81</v>
      </c>
      <c r="AJ2" s="40"/>
      <c r="AK2" s="40"/>
      <c r="AL2" s="40"/>
      <c r="AM2" s="40" t="s">
        <v>82</v>
      </c>
      <c r="AN2" s="40"/>
      <c r="AO2" s="40"/>
      <c r="AP2" s="40"/>
      <c r="AQ2" s="40" t="s">
        <v>83</v>
      </c>
      <c r="AR2" s="40"/>
      <c r="AS2" s="40"/>
      <c r="AT2" s="40"/>
      <c r="AU2" s="40" t="s">
        <v>84</v>
      </c>
      <c r="AV2" s="40"/>
      <c r="AW2" s="40"/>
      <c r="AX2" s="40"/>
      <c r="AY2" s="40" t="s">
        <v>85</v>
      </c>
      <c r="AZ2" s="40"/>
      <c r="BA2" s="40"/>
      <c r="BB2" s="40"/>
      <c r="BC2" s="40" t="s">
        <v>106</v>
      </c>
      <c r="BD2" s="40"/>
      <c r="BE2" s="40"/>
      <c r="BF2" s="40"/>
      <c r="BG2" s="40" t="s">
        <v>89</v>
      </c>
      <c r="BH2" s="40"/>
      <c r="BI2" s="40"/>
      <c r="BJ2" s="40"/>
      <c r="BK2" s="42" t="s">
        <v>107</v>
      </c>
      <c r="BL2" s="42"/>
      <c r="BM2" s="42" t="s">
        <v>93</v>
      </c>
    </row>
    <row r="3" spans="1:65" ht="30.75" customHeight="1">
      <c r="A3" s="4"/>
      <c r="B3" s="4"/>
      <c r="C3" s="4" t="s">
        <v>108</v>
      </c>
      <c r="D3" s="4" t="s">
        <v>109</v>
      </c>
      <c r="E3" s="4" t="s">
        <v>110</v>
      </c>
      <c r="F3" s="4" t="s">
        <v>111</v>
      </c>
      <c r="G3" s="4" t="s">
        <v>108</v>
      </c>
      <c r="H3" s="4" t="s">
        <v>109</v>
      </c>
      <c r="I3" s="4" t="s">
        <v>110</v>
      </c>
      <c r="J3" s="4" t="s">
        <v>111</v>
      </c>
      <c r="K3" s="4" t="s">
        <v>108</v>
      </c>
      <c r="L3" s="4" t="s">
        <v>109</v>
      </c>
      <c r="M3" s="4" t="s">
        <v>110</v>
      </c>
      <c r="N3" s="4" t="s">
        <v>111</v>
      </c>
      <c r="O3" s="4" t="s">
        <v>108</v>
      </c>
      <c r="P3" s="4" t="s">
        <v>109</v>
      </c>
      <c r="Q3" s="4" t="s">
        <v>110</v>
      </c>
      <c r="R3" s="4" t="s">
        <v>111</v>
      </c>
      <c r="S3" s="4" t="s">
        <v>108</v>
      </c>
      <c r="T3" s="4" t="s">
        <v>109</v>
      </c>
      <c r="U3" s="4" t="s">
        <v>110</v>
      </c>
      <c r="V3" s="4" t="s">
        <v>111</v>
      </c>
      <c r="W3" s="4" t="s">
        <v>108</v>
      </c>
      <c r="X3" s="4" t="s">
        <v>109</v>
      </c>
      <c r="Y3" s="4" t="s">
        <v>110</v>
      </c>
      <c r="Z3" s="4" t="s">
        <v>111</v>
      </c>
      <c r="AA3" s="4" t="s">
        <v>108</v>
      </c>
      <c r="AB3" s="4" t="s">
        <v>109</v>
      </c>
      <c r="AC3" s="4" t="s">
        <v>110</v>
      </c>
      <c r="AD3" s="4" t="s">
        <v>111</v>
      </c>
      <c r="AE3" s="4" t="s">
        <v>108</v>
      </c>
      <c r="AF3" s="4" t="s">
        <v>109</v>
      </c>
      <c r="AG3" s="4" t="s">
        <v>110</v>
      </c>
      <c r="AH3" s="4" t="s">
        <v>111</v>
      </c>
      <c r="AI3" s="4" t="s">
        <v>108</v>
      </c>
      <c r="AJ3" s="4" t="s">
        <v>109</v>
      </c>
      <c r="AK3" s="4" t="s">
        <v>110</v>
      </c>
      <c r="AL3" s="4" t="s">
        <v>111</v>
      </c>
      <c r="AM3" s="4" t="s">
        <v>108</v>
      </c>
      <c r="AN3" s="4" t="s">
        <v>109</v>
      </c>
      <c r="AO3" s="4" t="s">
        <v>110</v>
      </c>
      <c r="AP3" s="4" t="s">
        <v>111</v>
      </c>
      <c r="AQ3" s="4" t="s">
        <v>108</v>
      </c>
      <c r="AR3" s="4" t="s">
        <v>109</v>
      </c>
      <c r="AS3" s="4" t="s">
        <v>110</v>
      </c>
      <c r="AT3" s="4" t="s">
        <v>111</v>
      </c>
      <c r="AU3" s="4" t="s">
        <v>108</v>
      </c>
      <c r="AV3" s="4" t="s">
        <v>109</v>
      </c>
      <c r="AW3" s="4" t="s">
        <v>110</v>
      </c>
      <c r="AX3" s="4" t="s">
        <v>111</v>
      </c>
      <c r="AY3" s="4" t="s">
        <v>108</v>
      </c>
      <c r="AZ3" s="4" t="s">
        <v>109</v>
      </c>
      <c r="BA3" s="4" t="s">
        <v>110</v>
      </c>
      <c r="BB3" s="4" t="s">
        <v>111</v>
      </c>
      <c r="BC3" s="4" t="s">
        <v>108</v>
      </c>
      <c r="BD3" s="4" t="s">
        <v>109</v>
      </c>
      <c r="BE3" s="4" t="s">
        <v>110</v>
      </c>
      <c r="BF3" s="4" t="s">
        <v>111</v>
      </c>
      <c r="BG3" s="4" t="s">
        <v>108</v>
      </c>
      <c r="BH3" s="4" t="s">
        <v>109</v>
      </c>
      <c r="BI3" s="4" t="s">
        <v>110</v>
      </c>
      <c r="BJ3" s="4" t="s">
        <v>111</v>
      </c>
      <c r="BK3" s="4" t="s">
        <v>112</v>
      </c>
      <c r="BL3" s="4" t="s">
        <v>113</v>
      </c>
      <c r="BM3" s="42"/>
    </row>
    <row r="4" spans="1:65">
      <c r="A4" s="1">
        <f>DETAILS!A3</f>
        <v>1944</v>
      </c>
      <c r="B4" s="3" t="str">
        <f>DETAILS!B3</f>
        <v>AARUSH YADUVANSHI</v>
      </c>
      <c r="C4" s="3" t="str">
        <f>VLOOKUP(A4,'UT-I'!$A$1:$EA$1758,3,0)</f>
        <v>NA</v>
      </c>
      <c r="D4" s="3" t="str">
        <f>VLOOKUP($A4,'HALF YEARLY'!$1:$1048576,3,0)</f>
        <v>AB</v>
      </c>
      <c r="E4" s="3">
        <f>VLOOKUP($A4,'UT-II'!$1:$1048576,3,0)</f>
        <v>0</v>
      </c>
      <c r="F4" s="3">
        <f>VLOOKUP($A4,ANNUAL!$1:$1048576,3,0)</f>
        <v>48</v>
      </c>
      <c r="G4" s="3">
        <f>VLOOKUP($A$4,'UT-I'!$A$1:$EA$1758,4,0)</f>
        <v>17</v>
      </c>
      <c r="H4" s="3" t="str">
        <f>VLOOKUP($A4,'HALF YEARLY'!$1:$1048576,4,0)</f>
        <v>AB</v>
      </c>
      <c r="I4" s="3">
        <f>VLOOKUP($A4,'UT-II'!$1:$1048576,4,0)</f>
        <v>0</v>
      </c>
      <c r="J4" s="3">
        <f>VLOOKUP($A4,ANNUAL!$1:$1048576,4,0)</f>
        <v>50</v>
      </c>
      <c r="K4" s="3" t="str">
        <f>VLOOKUP(A4,'UT-I'!$A$1:$EA$1758,5,0)</f>
        <v>NA</v>
      </c>
      <c r="L4" s="3" t="str">
        <f>VLOOKUP($A4,'HALF YEARLY'!$1:$1048576,5,0)</f>
        <v>AB</v>
      </c>
      <c r="M4" s="3">
        <f>VLOOKUP($A4,'UT-II'!$1:$1048576,5,0)</f>
        <v>0</v>
      </c>
      <c r="N4" s="3">
        <f>VLOOKUP($A4,ANNUAL!$1:$1048576,5,0)</f>
        <v>50</v>
      </c>
      <c r="O4" s="3" t="str">
        <f>VLOOKUP(A4,'UT-I'!$A$1:$EA$1758,6,0)</f>
        <v>NA</v>
      </c>
      <c r="P4" s="3" t="str">
        <f>VLOOKUP($A4,'HALF YEARLY'!$1:$1048576,6,0)</f>
        <v>AB</v>
      </c>
      <c r="Q4" s="3">
        <f>VLOOKUP($A4,'UT-II'!$1:$1048576,6,0)</f>
        <v>0</v>
      </c>
      <c r="R4" s="3">
        <f>VLOOKUP($A4,ANNUAL!$1:$1048576,6,0)</f>
        <v>49</v>
      </c>
      <c r="S4" s="3">
        <f>VLOOKUP(A4,'UT-I'!$A$1:$EA$1758,7,0)</f>
        <v>17</v>
      </c>
      <c r="T4" s="3" t="str">
        <f>VLOOKUP($A4,'HALF YEARLY'!$1:$1048576,7,0)</f>
        <v>AB</v>
      </c>
      <c r="U4" s="3">
        <f>VLOOKUP($A4,'UT-II'!$1:$1048576,7,0)</f>
        <v>0</v>
      </c>
      <c r="V4" s="3">
        <f>VLOOKUP($A4,ANNUAL!$1:$1048576,7,0)</f>
        <v>50</v>
      </c>
      <c r="W4" s="3" t="str">
        <f>VLOOKUP(A4,'UT-I'!$A$1:$EA$1758,8,0)</f>
        <v>NA</v>
      </c>
      <c r="X4" s="3" t="str">
        <f>VLOOKUP($A4,'HALF YEARLY'!$1:$1048576,8,0)</f>
        <v>AB</v>
      </c>
      <c r="Y4" s="3">
        <f>VLOOKUP($A4,'UT-II'!$1:$1048576,8,0)</f>
        <v>0</v>
      </c>
      <c r="Z4" s="3">
        <f>VLOOKUP($A4,ANNUAL!$1:$1048576,8,0)</f>
        <v>49</v>
      </c>
      <c r="AA4" s="3" t="str">
        <f>VLOOKUP(A4,'UT-I'!$A$1:$EA$1758,9,0)</f>
        <v>NA</v>
      </c>
      <c r="AB4" s="3" t="str">
        <f>VLOOKUP($A4,'HALF YEARLY'!$1:$1048576,9,0)</f>
        <v>AB</v>
      </c>
      <c r="AC4" s="3">
        <f>VLOOKUP($A4,'UT-II'!$1:$1048576,9,0)</f>
        <v>0</v>
      </c>
      <c r="AD4" s="3">
        <f>VLOOKUP($A4,ANNUAL!$1:$1048576,9,0)</f>
        <v>47</v>
      </c>
      <c r="AE4" s="3">
        <f>VLOOKUP(A4,'UT-I'!$A$1:$EA$1758,10,0)</f>
        <v>17</v>
      </c>
      <c r="AF4" s="3" t="str">
        <f>VLOOKUP($A4,'HALF YEARLY'!$1:$1048576,10,0)</f>
        <v>AB</v>
      </c>
      <c r="AG4" s="3">
        <f>VLOOKUP($A4,'UT-II'!$1:$1048576,10,0)</f>
        <v>0</v>
      </c>
      <c r="AH4" s="3">
        <f>VLOOKUP($A4,ANNUAL!$1:$1048576,10,0)</f>
        <v>45</v>
      </c>
      <c r="AI4" s="3">
        <f>VLOOKUP(A4,'UT-I'!$A$1:$EA$1758,11,0)</f>
        <v>17</v>
      </c>
      <c r="AJ4" s="3" t="str">
        <f>VLOOKUP($A4,'HALF YEARLY'!$1:$1048576,11,0)</f>
        <v>AB</v>
      </c>
      <c r="AK4" s="3">
        <f>VLOOKUP($A4,'UT-II'!$1:$1048576,11,0)</f>
        <v>0</v>
      </c>
      <c r="AL4" s="3">
        <f>VLOOKUP($A4,ANNUAL!$1:$1048576,11,0)</f>
        <v>45</v>
      </c>
      <c r="AM4" s="3">
        <f>VLOOKUP(A4,'UT-I'!$A$1:$EA$1758,12,0)</f>
        <v>17</v>
      </c>
      <c r="AN4" s="3" t="str">
        <f>VLOOKUP($A4,'HALF YEARLY'!$1:$1048576,12,0)</f>
        <v>AB</v>
      </c>
      <c r="AO4" s="3">
        <f>VLOOKUP($A4,'UT-II'!$1:$1048576,12,0)</f>
        <v>0</v>
      </c>
      <c r="AP4" s="3">
        <f>VLOOKUP($A4,ANNUAL!$1:$1048576,12,0)</f>
        <v>50</v>
      </c>
      <c r="AQ4" s="3" t="str">
        <f>VLOOKUP(A4,'UT-I'!$A$1:$EA$1758,13,0)</f>
        <v>AB</v>
      </c>
      <c r="AR4" s="3" t="str">
        <f>VLOOKUP($A4,'HALF YEARLY'!$1:$1048576,13,0)</f>
        <v>AB</v>
      </c>
      <c r="AS4" s="3">
        <f>VLOOKUP($A4,'UT-II'!$1:$1048576,13,0)</f>
        <v>0</v>
      </c>
      <c r="AT4" s="3" t="str">
        <f>VLOOKUP($A4,ANNUAL!$1:$1048576,13,0)</f>
        <v>A</v>
      </c>
      <c r="AU4" s="3" t="str">
        <f>VLOOKUP(A4,'UT-I'!$A$1:$EA$1758,14,0)</f>
        <v>NA</v>
      </c>
      <c r="AV4" s="3" t="str">
        <f>VLOOKUP($A4,'HALF YEARLY'!$1:$1048576,14,0)</f>
        <v>AB</v>
      </c>
      <c r="AW4" s="3">
        <f>VLOOKUP($A4,'UT-II'!$1:$1048576,14,0)</f>
        <v>0</v>
      </c>
      <c r="AX4" s="3" t="str">
        <f>VLOOKUP($A4,ANNUAL!$1:$1048576,14,0)</f>
        <v>A</v>
      </c>
      <c r="AY4" s="3" t="str">
        <f>VLOOKUP(A4,'UT-I'!$A$1:$EA$1758,15,0)</f>
        <v>B</v>
      </c>
      <c r="AZ4" s="3" t="str">
        <f>VLOOKUP($A4,'HALF YEARLY'!$1:$1048576,15,0)</f>
        <v>AB</v>
      </c>
      <c r="BA4" s="3">
        <f>VLOOKUP($A4,'UT-II'!$1:$1048576,15,0)</f>
        <v>0</v>
      </c>
      <c r="BB4" s="3" t="str">
        <f>VLOOKUP($A4,ANNUAL!$1:$1048576,15,0)</f>
        <v>A</v>
      </c>
      <c r="BC4" s="3" t="str">
        <f>VLOOKUP(A4,'UT-I'!$A$1:$EA$1758,16,0)</f>
        <v>B</v>
      </c>
      <c r="BD4" s="3" t="str">
        <f>VLOOKUP($A4,'HALF YEARLY'!$1:$1048576,16,0)</f>
        <v>AB</v>
      </c>
      <c r="BE4" s="3">
        <f>VLOOKUP($A4,'UT-II'!$1:$1048576,16,0)</f>
        <v>0</v>
      </c>
      <c r="BF4" s="3" t="str">
        <f>VLOOKUP($A4,ANNUAL!$1:$1048576,16,0)</f>
        <v>A</v>
      </c>
      <c r="BG4" s="3">
        <f>VLOOKUP(A4,'UT-I'!$A$1:$EA$1758,17,0)</f>
        <v>85</v>
      </c>
      <c r="BH4" s="3">
        <f>VLOOKUP($A4,'HALF YEARLY'!$1:$1048576,17,0)</f>
        <v>0</v>
      </c>
      <c r="BI4" s="3">
        <f>VLOOKUP($A4,'UT-II'!$1:$1048576,17,0)</f>
        <v>0</v>
      </c>
      <c r="BJ4" s="3" t="str">
        <f>VLOOKUP($A4,ANNUAL!$1:$1048576,17,0)</f>
        <v>A</v>
      </c>
      <c r="BK4" s="3">
        <f>VLOOKUP($A4,ANNUAL!$1:$1048576,18,0)</f>
        <v>159</v>
      </c>
      <c r="BL4" s="3">
        <f>VLOOKUP($A4,ANNUAL!$1:$1048576,19,0)</f>
        <v>214</v>
      </c>
      <c r="BM4" s="3" t="str">
        <f>VLOOKUP($A4,ANNUAL!$1:$1048576,20,0)</f>
        <v>Great Potential- Stay Focused!</v>
      </c>
    </row>
    <row r="5" spans="1:65">
      <c r="A5" s="1" t="e">
        <f>DETAILS!#REF!</f>
        <v>#REF!</v>
      </c>
      <c r="B5" s="3" t="e">
        <f>DETAILS!#REF!</f>
        <v>#REF!</v>
      </c>
      <c r="C5" s="3" t="e">
        <f>VLOOKUP(A5,'UT-I'!$A$1:$EA$1758,3,0)</f>
        <v>#REF!</v>
      </c>
      <c r="D5" s="3" t="e">
        <f>VLOOKUP($A5,'HALF YEARLY'!$1:$1048576,3,0)</f>
        <v>#REF!</v>
      </c>
      <c r="E5" s="3" t="e">
        <f>VLOOKUP($A5,'UT-II'!$1:$1048576,3,0)</f>
        <v>#REF!</v>
      </c>
      <c r="F5" s="3" t="e">
        <f>VLOOKUP($A5,ANNUAL!$1:$1048576,3,0)</f>
        <v>#REF!</v>
      </c>
      <c r="G5" s="3" t="e">
        <f>VLOOKUP(A5,'UT-I'!$A$1:$EA$1758,4,0)</f>
        <v>#REF!</v>
      </c>
      <c r="H5" s="3" t="e">
        <f>VLOOKUP($A5,'HALF YEARLY'!$1:$1048576,4,0)</f>
        <v>#REF!</v>
      </c>
      <c r="I5" s="3" t="e">
        <f>VLOOKUP($A5,'UT-II'!$1:$1048576,4,0)</f>
        <v>#REF!</v>
      </c>
      <c r="J5" s="3" t="e">
        <f>VLOOKUP($A5,ANNUAL!$1:$1048576,4,0)</f>
        <v>#REF!</v>
      </c>
      <c r="K5" s="3" t="e">
        <f>VLOOKUP(A5,'UT-I'!$A$1:$EA$1758,5,0)</f>
        <v>#REF!</v>
      </c>
      <c r="L5" s="3" t="e">
        <f>VLOOKUP($A5,'HALF YEARLY'!$1:$1048576,5,0)</f>
        <v>#REF!</v>
      </c>
      <c r="M5" s="3" t="e">
        <f>VLOOKUP($A5,'UT-II'!$1:$1048576,5,0)</f>
        <v>#REF!</v>
      </c>
      <c r="N5" s="3" t="e">
        <f>VLOOKUP($A5,ANNUAL!$1:$1048576,5,0)</f>
        <v>#REF!</v>
      </c>
      <c r="O5" s="3" t="e">
        <f>VLOOKUP(A5,'UT-I'!$A$1:$EA$1758,6,0)</f>
        <v>#REF!</v>
      </c>
      <c r="P5" s="3" t="e">
        <f>VLOOKUP($A5,'HALF YEARLY'!$1:$1048576,6,0)</f>
        <v>#REF!</v>
      </c>
      <c r="Q5" s="3" t="e">
        <f>VLOOKUP($A5,'UT-II'!$1:$1048576,6,0)</f>
        <v>#REF!</v>
      </c>
      <c r="R5" s="3" t="e">
        <f>VLOOKUP($A5,ANNUAL!$1:$1048576,6,0)</f>
        <v>#REF!</v>
      </c>
      <c r="S5" s="3" t="e">
        <f>VLOOKUP(A5,'UT-I'!$A$1:$EA$1758,7,0)</f>
        <v>#REF!</v>
      </c>
      <c r="T5" s="3" t="e">
        <f>VLOOKUP($A5,'HALF YEARLY'!$1:$1048576,7,0)</f>
        <v>#REF!</v>
      </c>
      <c r="U5" s="3" t="e">
        <f>VLOOKUP($A5,'UT-II'!$1:$1048576,7,0)</f>
        <v>#REF!</v>
      </c>
      <c r="V5" s="3" t="e">
        <f>VLOOKUP($A5,ANNUAL!$1:$1048576,7,0)</f>
        <v>#REF!</v>
      </c>
      <c r="W5" s="3" t="e">
        <f>VLOOKUP(A5,'UT-I'!$A$1:$EA$1758,8,0)</f>
        <v>#REF!</v>
      </c>
      <c r="X5" s="3" t="e">
        <f>VLOOKUP($A5,'HALF YEARLY'!$1:$1048576,8,0)</f>
        <v>#REF!</v>
      </c>
      <c r="Y5" s="3" t="e">
        <f>VLOOKUP($A5,'UT-II'!$1:$1048576,8,0)</f>
        <v>#REF!</v>
      </c>
      <c r="Z5" s="3" t="e">
        <f>VLOOKUP($A5,ANNUAL!$1:$1048576,8,0)</f>
        <v>#REF!</v>
      </c>
      <c r="AA5" s="3" t="e">
        <f>VLOOKUP(A5,'UT-I'!$A$1:$EA$1758,9,0)</f>
        <v>#REF!</v>
      </c>
      <c r="AB5" s="3" t="e">
        <f>VLOOKUP($A5,'HALF YEARLY'!$1:$1048576,9,0)</f>
        <v>#REF!</v>
      </c>
      <c r="AC5" s="3" t="e">
        <f>VLOOKUP($A5,'UT-II'!$1:$1048576,9,0)</f>
        <v>#REF!</v>
      </c>
      <c r="AD5" s="3" t="e">
        <f>VLOOKUP($A5,ANNUAL!$1:$1048576,9,0)</f>
        <v>#REF!</v>
      </c>
      <c r="AE5" s="3" t="e">
        <f>VLOOKUP(A5,'UT-I'!$A$1:$EA$1758,10,0)</f>
        <v>#REF!</v>
      </c>
      <c r="AF5" s="3" t="e">
        <f>VLOOKUP($A5,'HALF YEARLY'!$1:$1048576,10,0)</f>
        <v>#REF!</v>
      </c>
      <c r="AG5" s="3" t="e">
        <f>VLOOKUP($A5,'UT-II'!$1:$1048576,10,0)</f>
        <v>#REF!</v>
      </c>
      <c r="AH5" s="3" t="e">
        <f>VLOOKUP($A5,ANNUAL!$1:$1048576,10,0)</f>
        <v>#REF!</v>
      </c>
      <c r="AI5" s="3" t="e">
        <f>VLOOKUP(A5,'UT-I'!$A$1:$EA$1758,11,0)</f>
        <v>#REF!</v>
      </c>
      <c r="AJ5" s="3" t="e">
        <f>VLOOKUP($A5,'HALF YEARLY'!$1:$1048576,11,0)</f>
        <v>#REF!</v>
      </c>
      <c r="AK5" s="3" t="e">
        <f>VLOOKUP($A5,'UT-II'!$1:$1048576,11,0)</f>
        <v>#REF!</v>
      </c>
      <c r="AL5" s="3" t="e">
        <f>VLOOKUP($A5,ANNUAL!$1:$1048576,11,0)</f>
        <v>#REF!</v>
      </c>
      <c r="AM5" s="3" t="e">
        <f>VLOOKUP(A5,'UT-I'!$A$1:$EA$1758,12,0)</f>
        <v>#REF!</v>
      </c>
      <c r="AN5" s="3" t="e">
        <f>VLOOKUP($A5,'HALF YEARLY'!$1:$1048576,12,0)</f>
        <v>#REF!</v>
      </c>
      <c r="AO5" s="3" t="e">
        <f>VLOOKUP($A5,'UT-II'!$1:$1048576,12,0)</f>
        <v>#REF!</v>
      </c>
      <c r="AP5" s="3" t="e">
        <f>VLOOKUP($A5,ANNUAL!$1:$1048576,12,0)</f>
        <v>#REF!</v>
      </c>
      <c r="AQ5" s="3" t="e">
        <f>VLOOKUP(A5,'UT-I'!$A$1:$EA$1758,13,0)</f>
        <v>#REF!</v>
      </c>
      <c r="AR5" s="3" t="e">
        <f>VLOOKUP($A5,'HALF YEARLY'!$1:$1048576,13,0)</f>
        <v>#REF!</v>
      </c>
      <c r="AS5" s="3" t="e">
        <f>VLOOKUP($A5,'UT-II'!$1:$1048576,13,0)</f>
        <v>#REF!</v>
      </c>
      <c r="AT5" s="3" t="e">
        <f>VLOOKUP($A5,ANNUAL!$1:$1048576,13,0)</f>
        <v>#REF!</v>
      </c>
      <c r="AU5" s="3" t="e">
        <f>VLOOKUP(A5,'UT-I'!$A$1:$EA$1758,14,0)</f>
        <v>#REF!</v>
      </c>
      <c r="AV5" s="3" t="e">
        <f>VLOOKUP($A5,'HALF YEARLY'!$1:$1048576,14,0)</f>
        <v>#REF!</v>
      </c>
      <c r="AW5" s="3" t="e">
        <f>VLOOKUP($A5,'UT-II'!$1:$1048576,14,0)</f>
        <v>#REF!</v>
      </c>
      <c r="AX5" s="3" t="e">
        <f>VLOOKUP($A5,ANNUAL!$1:$1048576,14,0)</f>
        <v>#REF!</v>
      </c>
      <c r="AY5" s="3" t="e">
        <f>VLOOKUP(A5,'UT-I'!$A$1:$EA$1758,15,0)</f>
        <v>#REF!</v>
      </c>
      <c r="AZ5" s="3" t="e">
        <f>VLOOKUP($A5,'HALF YEARLY'!$1:$1048576,15,0)</f>
        <v>#REF!</v>
      </c>
      <c r="BA5" s="3" t="e">
        <f>VLOOKUP($A5,'UT-II'!$1:$1048576,15,0)</f>
        <v>#REF!</v>
      </c>
      <c r="BB5" s="3" t="e">
        <f>VLOOKUP($A5,ANNUAL!$1:$1048576,15,0)</f>
        <v>#REF!</v>
      </c>
      <c r="BC5" s="3" t="e">
        <f>VLOOKUP(A5,'UT-I'!$A$1:$EA$1758,16,0)</f>
        <v>#REF!</v>
      </c>
      <c r="BD5" s="3" t="e">
        <f>VLOOKUP($A5,'HALF YEARLY'!$1:$1048576,16,0)</f>
        <v>#REF!</v>
      </c>
      <c r="BE5" s="3" t="e">
        <f>VLOOKUP($A5,'UT-II'!$1:$1048576,16,0)</f>
        <v>#REF!</v>
      </c>
      <c r="BF5" s="3" t="e">
        <f>VLOOKUP($A5,ANNUAL!$1:$1048576,16,0)</f>
        <v>#REF!</v>
      </c>
      <c r="BG5" s="3" t="e">
        <f>VLOOKUP(A5,'UT-I'!$A$1:$EA$1758,17,0)</f>
        <v>#REF!</v>
      </c>
      <c r="BH5" s="3" t="e">
        <f>VLOOKUP($A5,'HALF YEARLY'!$1:$1048576,17,0)</f>
        <v>#REF!</v>
      </c>
      <c r="BI5" s="3" t="e">
        <f>VLOOKUP($A5,'UT-II'!$1:$1048576,17,0)</f>
        <v>#REF!</v>
      </c>
      <c r="BJ5" s="3" t="e">
        <f>VLOOKUP($A5,ANNUAL!$1:$1048576,17,0)</f>
        <v>#REF!</v>
      </c>
      <c r="BK5" s="3" t="e">
        <f>VLOOKUP($A5,ANNUAL!$1:$1048576,18,0)</f>
        <v>#REF!</v>
      </c>
      <c r="BL5" s="3" t="e">
        <f>VLOOKUP($A5,ANNUAL!$1:$1048576,19,0)</f>
        <v>#REF!</v>
      </c>
      <c r="BM5" s="3" t="e">
        <f>VLOOKUP($A5,ANNUAL!$1:$1048576,20,0)</f>
        <v>#REF!</v>
      </c>
    </row>
    <row r="6" spans="1:65">
      <c r="A6" s="1" t="e">
        <f>DETAILS!#REF!</f>
        <v>#REF!</v>
      </c>
      <c r="B6" s="3" t="e">
        <f>DETAILS!#REF!</f>
        <v>#REF!</v>
      </c>
      <c r="C6" s="3" t="e">
        <f>VLOOKUP(A6,'UT-I'!$A$1:$EA$1758,3,0)</f>
        <v>#REF!</v>
      </c>
      <c r="D6" s="3" t="e">
        <f>VLOOKUP($A6,'HALF YEARLY'!$1:$1048576,3,0)</f>
        <v>#REF!</v>
      </c>
      <c r="E6" s="3" t="e">
        <f>VLOOKUP($A6,'UT-II'!$1:$1048576,3,0)</f>
        <v>#REF!</v>
      </c>
      <c r="F6" s="3" t="e">
        <f>VLOOKUP($A6,ANNUAL!$1:$1048576,3,0)</f>
        <v>#REF!</v>
      </c>
      <c r="G6" s="3" t="e">
        <f>VLOOKUP(A6,'UT-I'!$A$1:$EA$1758,4,0)</f>
        <v>#REF!</v>
      </c>
      <c r="H6" s="3" t="e">
        <f>VLOOKUP($A6,'HALF YEARLY'!$1:$1048576,4,0)</f>
        <v>#REF!</v>
      </c>
      <c r="I6" s="3" t="e">
        <f>VLOOKUP($A6,'UT-II'!$1:$1048576,4,0)</f>
        <v>#REF!</v>
      </c>
      <c r="J6" s="3" t="e">
        <f>VLOOKUP($A6,ANNUAL!$1:$1048576,4,0)</f>
        <v>#REF!</v>
      </c>
      <c r="K6" s="3" t="e">
        <f>VLOOKUP(A6,'UT-I'!$A$1:$EA$1758,5,0)</f>
        <v>#REF!</v>
      </c>
      <c r="L6" s="3" t="e">
        <f>VLOOKUP($A6,'HALF YEARLY'!$1:$1048576,5,0)</f>
        <v>#REF!</v>
      </c>
      <c r="M6" s="3" t="e">
        <f>VLOOKUP($A6,'UT-II'!$1:$1048576,5,0)</f>
        <v>#REF!</v>
      </c>
      <c r="N6" s="3" t="e">
        <f>VLOOKUP($A6,ANNUAL!$1:$1048576,5,0)</f>
        <v>#REF!</v>
      </c>
      <c r="O6" s="3" t="e">
        <f>VLOOKUP(A6,'UT-I'!$A$1:$EA$1758,6,0)</f>
        <v>#REF!</v>
      </c>
      <c r="P6" s="3" t="e">
        <f>VLOOKUP($A6,'HALF YEARLY'!$1:$1048576,6,0)</f>
        <v>#REF!</v>
      </c>
      <c r="Q6" s="3" t="e">
        <f>VLOOKUP($A6,'UT-II'!$1:$1048576,6,0)</f>
        <v>#REF!</v>
      </c>
      <c r="R6" s="3" t="e">
        <f>VLOOKUP($A6,ANNUAL!$1:$1048576,6,0)</f>
        <v>#REF!</v>
      </c>
      <c r="S6" s="3" t="e">
        <f>VLOOKUP(A6,'UT-I'!$A$1:$EA$1758,7,0)</f>
        <v>#REF!</v>
      </c>
      <c r="T6" s="3" t="e">
        <f>VLOOKUP($A6,'HALF YEARLY'!$1:$1048576,7,0)</f>
        <v>#REF!</v>
      </c>
      <c r="U6" s="3" t="e">
        <f>VLOOKUP($A6,'UT-II'!$1:$1048576,7,0)</f>
        <v>#REF!</v>
      </c>
      <c r="V6" s="3" t="e">
        <f>VLOOKUP($A6,ANNUAL!$1:$1048576,7,0)</f>
        <v>#REF!</v>
      </c>
      <c r="W6" s="3" t="e">
        <f>VLOOKUP(A6,'UT-I'!$A$1:$EA$1758,8,0)</f>
        <v>#REF!</v>
      </c>
      <c r="X6" s="3" t="e">
        <f>VLOOKUP($A6,'HALF YEARLY'!$1:$1048576,8,0)</f>
        <v>#REF!</v>
      </c>
      <c r="Y6" s="3" t="e">
        <f>VLOOKUP($A6,'UT-II'!$1:$1048576,8,0)</f>
        <v>#REF!</v>
      </c>
      <c r="Z6" s="3" t="e">
        <f>VLOOKUP($A6,ANNUAL!$1:$1048576,8,0)</f>
        <v>#REF!</v>
      </c>
      <c r="AA6" s="3" t="e">
        <f>VLOOKUP(A6,'UT-I'!$A$1:$EA$1758,9,0)</f>
        <v>#REF!</v>
      </c>
      <c r="AB6" s="3" t="e">
        <f>VLOOKUP($A6,'HALF YEARLY'!$1:$1048576,9,0)</f>
        <v>#REF!</v>
      </c>
      <c r="AC6" s="3" t="e">
        <f>VLOOKUP($A6,'UT-II'!$1:$1048576,9,0)</f>
        <v>#REF!</v>
      </c>
      <c r="AD6" s="3" t="e">
        <f>VLOOKUP($A6,ANNUAL!$1:$1048576,9,0)</f>
        <v>#REF!</v>
      </c>
      <c r="AE6" s="3" t="e">
        <f>VLOOKUP(A6,'UT-I'!$A$1:$EA$1758,10,0)</f>
        <v>#REF!</v>
      </c>
      <c r="AF6" s="3" t="e">
        <f>VLOOKUP($A6,'HALF YEARLY'!$1:$1048576,10,0)</f>
        <v>#REF!</v>
      </c>
      <c r="AG6" s="3" t="e">
        <f>VLOOKUP($A6,'UT-II'!$1:$1048576,10,0)</f>
        <v>#REF!</v>
      </c>
      <c r="AH6" s="3" t="e">
        <f>VLOOKUP($A6,ANNUAL!$1:$1048576,10,0)</f>
        <v>#REF!</v>
      </c>
      <c r="AI6" s="3" t="e">
        <f>VLOOKUP(A6,'UT-I'!$A$1:$EA$1758,11,0)</f>
        <v>#REF!</v>
      </c>
      <c r="AJ6" s="3" t="e">
        <f>VLOOKUP($A6,'HALF YEARLY'!$1:$1048576,11,0)</f>
        <v>#REF!</v>
      </c>
      <c r="AK6" s="3" t="e">
        <f>VLOOKUP($A6,'UT-II'!$1:$1048576,11,0)</f>
        <v>#REF!</v>
      </c>
      <c r="AL6" s="3" t="e">
        <f>VLOOKUP($A6,ANNUAL!$1:$1048576,11,0)</f>
        <v>#REF!</v>
      </c>
      <c r="AM6" s="3" t="e">
        <f>VLOOKUP(A6,'UT-I'!$A$1:$EA$1758,12,0)</f>
        <v>#REF!</v>
      </c>
      <c r="AN6" s="3" t="e">
        <f>VLOOKUP($A6,'HALF YEARLY'!$1:$1048576,12,0)</f>
        <v>#REF!</v>
      </c>
      <c r="AO6" s="3" t="e">
        <f>VLOOKUP($A6,'UT-II'!$1:$1048576,12,0)</f>
        <v>#REF!</v>
      </c>
      <c r="AP6" s="3" t="e">
        <f>VLOOKUP($A6,ANNUAL!$1:$1048576,12,0)</f>
        <v>#REF!</v>
      </c>
      <c r="AQ6" s="3" t="e">
        <f>VLOOKUP(A6,'UT-I'!$A$1:$EA$1758,13,0)</f>
        <v>#REF!</v>
      </c>
      <c r="AR6" s="3" t="e">
        <f>VLOOKUP($A6,'HALF YEARLY'!$1:$1048576,13,0)</f>
        <v>#REF!</v>
      </c>
      <c r="AS6" s="3" t="e">
        <f>VLOOKUP($A6,'UT-II'!$1:$1048576,13,0)</f>
        <v>#REF!</v>
      </c>
      <c r="AT6" s="3" t="e">
        <f>VLOOKUP($A6,ANNUAL!$1:$1048576,13,0)</f>
        <v>#REF!</v>
      </c>
      <c r="AU6" s="3" t="e">
        <f>VLOOKUP(A6,'UT-I'!$A$1:$EA$1758,14,0)</f>
        <v>#REF!</v>
      </c>
      <c r="AV6" s="3" t="e">
        <f>VLOOKUP($A6,'HALF YEARLY'!$1:$1048576,14,0)</f>
        <v>#REF!</v>
      </c>
      <c r="AW6" s="3" t="e">
        <f>VLOOKUP($A6,'UT-II'!$1:$1048576,14,0)</f>
        <v>#REF!</v>
      </c>
      <c r="AX6" s="3" t="e">
        <f>VLOOKUP($A6,ANNUAL!$1:$1048576,14,0)</f>
        <v>#REF!</v>
      </c>
      <c r="AY6" s="3" t="e">
        <f>VLOOKUP(A6,'UT-I'!$A$1:$EA$1758,15,0)</f>
        <v>#REF!</v>
      </c>
      <c r="AZ6" s="3" t="e">
        <f>VLOOKUP($A6,'HALF YEARLY'!$1:$1048576,15,0)</f>
        <v>#REF!</v>
      </c>
      <c r="BA6" s="3" t="e">
        <f>VLOOKUP($A6,'UT-II'!$1:$1048576,15,0)</f>
        <v>#REF!</v>
      </c>
      <c r="BB6" s="3" t="e">
        <f>VLOOKUP($A6,ANNUAL!$1:$1048576,15,0)</f>
        <v>#REF!</v>
      </c>
      <c r="BC6" s="3" t="e">
        <f>VLOOKUP(A6,'UT-I'!$A$1:$EA$1758,16,0)</f>
        <v>#REF!</v>
      </c>
      <c r="BD6" s="3" t="e">
        <f>VLOOKUP($A6,'HALF YEARLY'!$1:$1048576,16,0)</f>
        <v>#REF!</v>
      </c>
      <c r="BE6" s="3" t="e">
        <f>VLOOKUP($A6,'UT-II'!$1:$1048576,16,0)</f>
        <v>#REF!</v>
      </c>
      <c r="BF6" s="3" t="e">
        <f>VLOOKUP($A6,ANNUAL!$1:$1048576,16,0)</f>
        <v>#REF!</v>
      </c>
      <c r="BG6" s="3" t="e">
        <f>VLOOKUP(A6,'UT-I'!$A$1:$EA$1758,17,0)</f>
        <v>#REF!</v>
      </c>
      <c r="BH6" s="3" t="e">
        <f>VLOOKUP($A6,'HALF YEARLY'!$1:$1048576,17,0)</f>
        <v>#REF!</v>
      </c>
      <c r="BI6" s="3" t="e">
        <f>VLOOKUP($A6,'UT-II'!$1:$1048576,17,0)</f>
        <v>#REF!</v>
      </c>
      <c r="BJ6" s="3" t="e">
        <f>VLOOKUP($A6,ANNUAL!$1:$1048576,17,0)</f>
        <v>#REF!</v>
      </c>
      <c r="BK6" s="3" t="e">
        <f>VLOOKUP($A6,ANNUAL!$1:$1048576,18,0)</f>
        <v>#REF!</v>
      </c>
      <c r="BL6" s="3" t="e">
        <f>VLOOKUP($A6,ANNUAL!$1:$1048576,19,0)</f>
        <v>#REF!</v>
      </c>
      <c r="BM6" s="3" t="e">
        <f>VLOOKUP($A6,ANNUAL!$1:$1048576,20,0)</f>
        <v>#REF!</v>
      </c>
    </row>
    <row r="7" spans="1:65">
      <c r="A7" s="1">
        <f>DETAILS!A4</f>
        <v>1940</v>
      </c>
      <c r="B7" s="3" t="str">
        <f>DETAILS!B4</f>
        <v>ADITRI CHAUDHARI</v>
      </c>
      <c r="C7" s="3" t="str">
        <f>VLOOKUP(A7,'UT-I'!$A$1:$EA$1758,3,0)</f>
        <v>NA</v>
      </c>
      <c r="D7" s="3">
        <f>VLOOKUP($A7,'HALF YEARLY'!$1:$1048576,3,0)</f>
        <v>41</v>
      </c>
      <c r="E7" s="3">
        <f>VLOOKUP($A7,'UT-II'!$1:$1048576,3,0)</f>
        <v>0</v>
      </c>
      <c r="F7" s="3">
        <f>VLOOKUP($A7,ANNUAL!$1:$1048576,3,0)</f>
        <v>35</v>
      </c>
      <c r="G7" s="3">
        <f>VLOOKUP(A7,'UT-I'!$A$1:$EA$1758,4,0)</f>
        <v>17</v>
      </c>
      <c r="H7" s="3">
        <f>VLOOKUP($A7,'HALF YEARLY'!$1:$1048576,4,0)</f>
        <v>30</v>
      </c>
      <c r="I7" s="3">
        <f>VLOOKUP($A7,'UT-II'!$1:$1048576,4,0)</f>
        <v>0</v>
      </c>
      <c r="J7" s="3">
        <f>VLOOKUP($A7,ANNUAL!$1:$1048576,4,0)</f>
        <v>40</v>
      </c>
      <c r="K7" s="3" t="str">
        <f>VLOOKUP(A7,'UT-I'!$A$1:$EA$1758,5,0)</f>
        <v>NA</v>
      </c>
      <c r="L7" s="3">
        <f>VLOOKUP($A7,'HALF YEARLY'!$1:$1048576,5,0)</f>
        <v>21</v>
      </c>
      <c r="M7" s="3">
        <f>VLOOKUP($A7,'UT-II'!$1:$1048576,5,0)</f>
        <v>0</v>
      </c>
      <c r="N7" s="3">
        <f>VLOOKUP($A7,ANNUAL!$1:$1048576,5,0)</f>
        <v>30</v>
      </c>
      <c r="O7" s="3" t="str">
        <f>VLOOKUP(A7,'UT-I'!$A$1:$EA$1758,6,0)</f>
        <v>NA</v>
      </c>
      <c r="P7" s="3">
        <f>VLOOKUP($A7,'HALF YEARLY'!$1:$1048576,6,0)</f>
        <v>43</v>
      </c>
      <c r="Q7" s="3">
        <f>VLOOKUP($A7,'UT-II'!$1:$1048576,6,0)</f>
        <v>0</v>
      </c>
      <c r="R7" s="3">
        <f>VLOOKUP($A7,ANNUAL!$1:$1048576,6,0)</f>
        <v>34</v>
      </c>
      <c r="S7" s="3">
        <f>VLOOKUP(A7,'UT-I'!$A$1:$EA$1758,7,0)</f>
        <v>17</v>
      </c>
      <c r="T7" s="3">
        <f>VLOOKUP($A7,'HALF YEARLY'!$1:$1048576,7,0)</f>
        <v>30</v>
      </c>
      <c r="U7" s="3">
        <f>VLOOKUP($A7,'UT-II'!$1:$1048576,7,0)</f>
        <v>0</v>
      </c>
      <c r="V7" s="3">
        <f>VLOOKUP($A7,ANNUAL!$1:$1048576,7,0)</f>
        <v>40</v>
      </c>
      <c r="W7" s="3" t="str">
        <f>VLOOKUP(A7,'UT-I'!$A$1:$EA$1758,8,0)</f>
        <v>NA</v>
      </c>
      <c r="X7" s="3">
        <f>VLOOKUP($A7,'HALF YEARLY'!$1:$1048576,8,0)</f>
        <v>25</v>
      </c>
      <c r="Y7" s="3">
        <f>VLOOKUP($A7,'UT-II'!$1:$1048576,8,0)</f>
        <v>0</v>
      </c>
      <c r="Z7" s="3">
        <f>VLOOKUP($A7,ANNUAL!$1:$1048576,8,0)</f>
        <v>42</v>
      </c>
      <c r="AA7" s="3" t="str">
        <f>VLOOKUP(A7,'UT-I'!$A$1:$EA$1758,9,0)</f>
        <v>NA</v>
      </c>
      <c r="AB7" s="3">
        <f>VLOOKUP($A7,'HALF YEARLY'!$1:$1048576,9,0)</f>
        <v>37</v>
      </c>
      <c r="AC7" s="3">
        <f>VLOOKUP($A7,'UT-II'!$1:$1048576,9,0)</f>
        <v>0</v>
      </c>
      <c r="AD7" s="3">
        <f>VLOOKUP($A7,ANNUAL!$1:$1048576,9,0)</f>
        <v>46</v>
      </c>
      <c r="AE7" s="3">
        <f>VLOOKUP(A7,'UT-I'!$A$1:$EA$1758,10,0)</f>
        <v>17</v>
      </c>
      <c r="AF7" s="3">
        <f>VLOOKUP($A7,'HALF YEARLY'!$1:$1048576,10,0)</f>
        <v>20</v>
      </c>
      <c r="AG7" s="3">
        <f>VLOOKUP($A7,'UT-II'!$1:$1048576,10,0)</f>
        <v>0</v>
      </c>
      <c r="AH7" s="3">
        <f>VLOOKUP($A7,ANNUAL!$1:$1048576,10,0)</f>
        <v>35</v>
      </c>
      <c r="AI7" s="3">
        <f>VLOOKUP(A7,'UT-I'!$A$1:$EA$1758,11,0)</f>
        <v>17</v>
      </c>
      <c r="AJ7" s="3">
        <f>VLOOKUP($A7,'HALF YEARLY'!$1:$1048576,11,0)</f>
        <v>20</v>
      </c>
      <c r="AK7" s="3">
        <f>VLOOKUP($A7,'UT-II'!$1:$1048576,11,0)</f>
        <v>0</v>
      </c>
      <c r="AL7" s="3">
        <f>VLOOKUP($A7,ANNUAL!$1:$1048576,11,0)</f>
        <v>40</v>
      </c>
      <c r="AM7" s="3">
        <f>VLOOKUP(A7,'UT-I'!$A$1:$EA$1758,12,0)</f>
        <v>17</v>
      </c>
      <c r="AN7" s="3">
        <f>VLOOKUP($A7,'HALF YEARLY'!$1:$1048576,12,0)</f>
        <v>20</v>
      </c>
      <c r="AO7" s="3">
        <f>VLOOKUP($A7,'UT-II'!$1:$1048576,12,0)</f>
        <v>0</v>
      </c>
      <c r="AP7" s="3">
        <f>VLOOKUP($A7,ANNUAL!$1:$1048576,12,0)</f>
        <v>30</v>
      </c>
      <c r="AQ7" s="3" t="str">
        <f>VLOOKUP(A7,'UT-I'!$A$1:$EA$1758,13,0)</f>
        <v>D</v>
      </c>
      <c r="AR7" s="3" t="str">
        <f>VLOOKUP($A7,'HALF YEARLY'!$1:$1048576,13,0)</f>
        <v>D</v>
      </c>
      <c r="AS7" s="3">
        <f>VLOOKUP($A7,'UT-II'!$1:$1048576,13,0)</f>
        <v>0</v>
      </c>
      <c r="AT7" s="3" t="str">
        <f>VLOOKUP($A7,ANNUAL!$1:$1048576,13,0)</f>
        <v>A</v>
      </c>
      <c r="AU7" s="3" t="str">
        <f>VLOOKUP(A7,'UT-I'!$A$1:$EA$1758,14,0)</f>
        <v>NA</v>
      </c>
      <c r="AV7" s="3" t="str">
        <f>VLOOKUP($A7,'HALF YEARLY'!$1:$1048576,14,0)</f>
        <v>C</v>
      </c>
      <c r="AW7" s="3">
        <f>VLOOKUP($A7,'UT-II'!$1:$1048576,14,0)</f>
        <v>0</v>
      </c>
      <c r="AX7" s="3" t="str">
        <f>VLOOKUP($A7,ANNUAL!$1:$1048576,14,0)</f>
        <v>A</v>
      </c>
      <c r="AY7" s="3" t="str">
        <f>VLOOKUP(A7,'UT-I'!$A$1:$EA$1758,15,0)</f>
        <v>D</v>
      </c>
      <c r="AZ7" s="3" t="str">
        <f>VLOOKUP($A7,'HALF YEARLY'!$1:$1048576,15,0)</f>
        <v>A</v>
      </c>
      <c r="BA7" s="3">
        <f>VLOOKUP($A7,'UT-II'!$1:$1048576,15,0)</f>
        <v>0</v>
      </c>
      <c r="BB7" s="3" t="str">
        <f>VLOOKUP($A7,ANNUAL!$1:$1048576,15,0)</f>
        <v>A</v>
      </c>
      <c r="BC7" s="3" t="str">
        <f>VLOOKUP(A7,'UT-I'!$A$1:$EA$1758,16,0)</f>
        <v>D</v>
      </c>
      <c r="BD7" s="3" t="str">
        <f>VLOOKUP($A7,'HALF YEARLY'!$1:$1048576,16,0)</f>
        <v>B</v>
      </c>
      <c r="BE7" s="3">
        <f>VLOOKUP($A7,'UT-II'!$1:$1048576,16,0)</f>
        <v>0</v>
      </c>
      <c r="BF7" s="3" t="str">
        <f>VLOOKUP($A7,ANNUAL!$1:$1048576,16,0)</f>
        <v>A</v>
      </c>
      <c r="BG7" s="3">
        <f>VLOOKUP(A7,'UT-I'!$A$1:$EA$1758,17,0)</f>
        <v>85</v>
      </c>
      <c r="BH7" s="3">
        <f>VLOOKUP($A7,'HALF YEARLY'!$1:$1048576,17,0)</f>
        <v>287</v>
      </c>
      <c r="BI7" s="3">
        <f>VLOOKUP($A7,'UT-II'!$1:$1048576,17,0)</f>
        <v>0</v>
      </c>
      <c r="BJ7" s="3" t="str">
        <f>VLOOKUP($A7,ANNUAL!$1:$1048576,17,0)</f>
        <v>A</v>
      </c>
      <c r="BK7" s="3">
        <f>VLOOKUP($A7,ANNUAL!$1:$1048576,18,0)</f>
        <v>129</v>
      </c>
      <c r="BL7" s="3">
        <f>VLOOKUP($A7,ANNUAL!$1:$1048576,19,0)</f>
        <v>153</v>
      </c>
      <c r="BM7" s="3" t="str">
        <f>VLOOKUP($A7,ANNUAL!$1:$1048576,20,0)</f>
        <v>Needs improvement.</v>
      </c>
    </row>
    <row r="8" spans="1:65">
      <c r="A8" s="1">
        <f>DETAILS!A5</f>
        <v>1948</v>
      </c>
      <c r="B8" s="3" t="str">
        <f>DETAILS!B5</f>
        <v>AHEM</v>
      </c>
      <c r="C8" s="3" t="str">
        <f>VLOOKUP(A8,'UT-I'!$A$1:$EA$1758,3,0)</f>
        <v>NA</v>
      </c>
      <c r="D8" s="3">
        <f>VLOOKUP($A8,'HALF YEARLY'!$1:$1048576,3,0)</f>
        <v>46</v>
      </c>
      <c r="E8" s="3">
        <f>VLOOKUP($A8,'UT-II'!$1:$1048576,3,0)</f>
        <v>0</v>
      </c>
      <c r="F8" s="3">
        <f>VLOOKUP($A8,ANNUAL!$1:$1048576,3,0)</f>
        <v>47</v>
      </c>
      <c r="G8" s="3" t="str">
        <f>VLOOKUP(A8,'UT-I'!$A$1:$EA$1758,4,0)</f>
        <v>NA</v>
      </c>
      <c r="H8" s="3">
        <f>VLOOKUP($A8,'HALF YEARLY'!$1:$1048576,4,0)</f>
        <v>35</v>
      </c>
      <c r="I8" s="3">
        <f>VLOOKUP($A8,'UT-II'!$1:$1048576,4,0)</f>
        <v>0</v>
      </c>
      <c r="J8" s="3">
        <f>VLOOKUP($A8,ANNUAL!$1:$1048576,4,0)</f>
        <v>50</v>
      </c>
      <c r="K8" s="3">
        <f>VLOOKUP(A8,'UT-I'!$A$1:$EA$1758,5,0)</f>
        <v>50</v>
      </c>
      <c r="L8" s="3">
        <f>VLOOKUP($A8,'HALF YEARLY'!$1:$1048576,5,0)</f>
        <v>48</v>
      </c>
      <c r="M8" s="3">
        <f>VLOOKUP($A8,'UT-II'!$1:$1048576,5,0)</f>
        <v>0</v>
      </c>
      <c r="N8" s="3">
        <f>VLOOKUP($A8,ANNUAL!$1:$1048576,5,0)</f>
        <v>47</v>
      </c>
      <c r="O8" s="3" t="str">
        <f>VLOOKUP(A8,'UT-I'!$A$1:$EA$1758,6,0)</f>
        <v>NA</v>
      </c>
      <c r="P8" s="3">
        <f>VLOOKUP($A8,'HALF YEARLY'!$1:$1048576,6,0)</f>
        <v>48</v>
      </c>
      <c r="Q8" s="3">
        <f>VLOOKUP($A8,'UT-II'!$1:$1048576,6,0)</f>
        <v>0</v>
      </c>
      <c r="R8" s="3">
        <f>VLOOKUP($A8,ANNUAL!$1:$1048576,6,0)</f>
        <v>50</v>
      </c>
      <c r="S8" s="3" t="str">
        <f>VLOOKUP(A8,'UT-I'!$A$1:$EA$1758,7,0)</f>
        <v>NA</v>
      </c>
      <c r="T8" s="3">
        <f>VLOOKUP($A8,'HALF YEARLY'!$1:$1048576,7,0)</f>
        <v>45</v>
      </c>
      <c r="U8" s="3">
        <f>VLOOKUP($A8,'UT-II'!$1:$1048576,7,0)</f>
        <v>0</v>
      </c>
      <c r="V8" s="3">
        <f>VLOOKUP($A8,ANNUAL!$1:$1048576,7,0)</f>
        <v>50</v>
      </c>
      <c r="W8" s="3" t="str">
        <f>VLOOKUP(A8,'UT-I'!$A$1:$EA$1758,8,0)</f>
        <v>NA</v>
      </c>
      <c r="X8" s="3">
        <f>VLOOKUP($A8,'HALF YEARLY'!$1:$1048576,8,0)</f>
        <v>49</v>
      </c>
      <c r="Y8" s="3">
        <f>VLOOKUP($A8,'UT-II'!$1:$1048576,8,0)</f>
        <v>0</v>
      </c>
      <c r="Z8" s="3">
        <f>VLOOKUP($A8,ANNUAL!$1:$1048576,8,0)</f>
        <v>50</v>
      </c>
      <c r="AA8" s="3" t="str">
        <f>VLOOKUP(A8,'UT-I'!$A$1:$EA$1758,9,0)</f>
        <v>NA</v>
      </c>
      <c r="AB8" s="3">
        <f>VLOOKUP($A8,'HALF YEARLY'!$1:$1048576,9,0)</f>
        <v>42</v>
      </c>
      <c r="AC8" s="3">
        <f>VLOOKUP($A8,'UT-II'!$1:$1048576,9,0)</f>
        <v>0</v>
      </c>
      <c r="AD8" s="3">
        <f>VLOOKUP($A8,ANNUAL!$1:$1048576,9,0)</f>
        <v>50</v>
      </c>
      <c r="AE8" s="3" t="str">
        <f>VLOOKUP(A8,'UT-I'!$A$1:$EA$1758,10,0)</f>
        <v>NA</v>
      </c>
      <c r="AF8" s="3">
        <f>VLOOKUP($A8,'HALF YEARLY'!$1:$1048576,10,0)</f>
        <v>35</v>
      </c>
      <c r="AG8" s="3">
        <f>VLOOKUP($A8,'UT-II'!$1:$1048576,10,0)</f>
        <v>0</v>
      </c>
      <c r="AH8" s="3">
        <f>VLOOKUP($A8,ANNUAL!$1:$1048576,10,0)</f>
        <v>50</v>
      </c>
      <c r="AI8" s="3" t="str">
        <f>VLOOKUP(A8,'UT-I'!$A$1:$EA$1758,11,0)</f>
        <v>NA</v>
      </c>
      <c r="AJ8" s="3">
        <f>VLOOKUP($A8,'HALF YEARLY'!$1:$1048576,11,0)</f>
        <v>30</v>
      </c>
      <c r="AK8" s="3">
        <f>VLOOKUP($A8,'UT-II'!$1:$1048576,11,0)</f>
        <v>0</v>
      </c>
      <c r="AL8" s="3">
        <f>VLOOKUP($A8,ANNUAL!$1:$1048576,11,0)</f>
        <v>50</v>
      </c>
      <c r="AM8" s="3" t="str">
        <f>VLOOKUP(A8,'UT-I'!$A$1:$EA$1758,12,0)</f>
        <v>NA</v>
      </c>
      <c r="AN8" s="3">
        <f>VLOOKUP($A8,'HALF YEARLY'!$1:$1048576,12,0)</f>
        <v>40</v>
      </c>
      <c r="AO8" s="3">
        <f>VLOOKUP($A8,'UT-II'!$1:$1048576,12,0)</f>
        <v>0</v>
      </c>
      <c r="AP8" s="3">
        <f>VLOOKUP($A8,ANNUAL!$1:$1048576,12,0)</f>
        <v>45</v>
      </c>
      <c r="AQ8" s="3" t="str">
        <f>VLOOKUP(A8,'UT-I'!$A$1:$EA$1758,13,0)</f>
        <v>NA</v>
      </c>
      <c r="AR8" s="3" t="str">
        <f>VLOOKUP($A8,'HALF YEARLY'!$1:$1048576,13,0)</f>
        <v xml:space="preserve"> A</v>
      </c>
      <c r="AS8" s="3">
        <f>VLOOKUP($A8,'UT-II'!$1:$1048576,13,0)</f>
        <v>0</v>
      </c>
      <c r="AT8" s="3" t="str">
        <f>VLOOKUP($A8,ANNUAL!$1:$1048576,13,0)</f>
        <v>A</v>
      </c>
      <c r="AU8" s="3" t="str">
        <f>VLOOKUP(A8,'UT-I'!$A$1:$EA$1758,14,0)</f>
        <v>NA</v>
      </c>
      <c r="AV8" s="3" t="str">
        <f>VLOOKUP($A8,'HALF YEARLY'!$1:$1048576,14,0)</f>
        <v>A</v>
      </c>
      <c r="AW8" s="3">
        <f>VLOOKUP($A8,'UT-II'!$1:$1048576,14,0)</f>
        <v>0</v>
      </c>
      <c r="AX8" s="3" t="str">
        <f>VLOOKUP($A8,ANNUAL!$1:$1048576,14,0)</f>
        <v>A</v>
      </c>
      <c r="AY8" s="3" t="str">
        <f>VLOOKUP(A8,'UT-I'!$A$1:$EA$1758,15,0)</f>
        <v>NA</v>
      </c>
      <c r="AZ8" s="3" t="str">
        <f>VLOOKUP($A8,'HALF YEARLY'!$1:$1048576,15,0)</f>
        <v>A</v>
      </c>
      <c r="BA8" s="3">
        <f>VLOOKUP($A8,'UT-II'!$1:$1048576,15,0)</f>
        <v>0</v>
      </c>
      <c r="BB8" s="3" t="str">
        <f>VLOOKUP($A8,ANNUAL!$1:$1048576,15,0)</f>
        <v>A</v>
      </c>
      <c r="BC8" s="3" t="str">
        <f>VLOOKUP(A8,'UT-I'!$A$1:$EA$1758,16,0)</f>
        <v>NA</v>
      </c>
      <c r="BD8" s="3" t="str">
        <f>VLOOKUP($A8,'HALF YEARLY'!$1:$1048576,16,0)</f>
        <v>A</v>
      </c>
      <c r="BE8" s="3">
        <f>VLOOKUP($A8,'UT-II'!$1:$1048576,16,0)</f>
        <v>0</v>
      </c>
      <c r="BF8" s="3" t="str">
        <f>VLOOKUP($A8,ANNUAL!$1:$1048576,16,0)</f>
        <v>A</v>
      </c>
      <c r="BG8" s="3">
        <f>VLOOKUP(A8,'UT-I'!$A$1:$EA$1758,17,0)</f>
        <v>50</v>
      </c>
      <c r="BH8" s="3">
        <f>VLOOKUP($A8,'HALF YEARLY'!$1:$1048576,17,0)</f>
        <v>418</v>
      </c>
      <c r="BI8" s="3">
        <f>VLOOKUP($A8,'UT-II'!$1:$1048576,17,0)</f>
        <v>0</v>
      </c>
      <c r="BJ8" s="3" t="str">
        <f>VLOOKUP($A8,ANNUAL!$1:$1048576,17,0)</f>
        <v>A</v>
      </c>
      <c r="BK8" s="3">
        <f>VLOOKUP($A8,ANNUAL!$1:$1048576,18,0)</f>
        <v>174</v>
      </c>
      <c r="BL8" s="3">
        <f>VLOOKUP($A8,ANNUAL!$1:$1048576,19,0)</f>
        <v>214</v>
      </c>
      <c r="BM8" s="3" t="str">
        <f>VLOOKUP($A8,ANNUAL!$1:$1048576,20,0)</f>
        <v>Excellent progress this year!</v>
      </c>
    </row>
    <row r="9" spans="1:65">
      <c r="A9" s="1" t="e">
        <f>DETAILS!#REF!</f>
        <v>#REF!</v>
      </c>
      <c r="B9" s="3" t="e">
        <f>DETAILS!#REF!</f>
        <v>#REF!</v>
      </c>
      <c r="C9" s="3" t="e">
        <f>VLOOKUP(A9,'UT-I'!$A$1:$EA$1758,3,0)</f>
        <v>#REF!</v>
      </c>
      <c r="D9" s="3" t="e">
        <f>VLOOKUP($A9,'HALF YEARLY'!$1:$1048576,3,0)</f>
        <v>#REF!</v>
      </c>
      <c r="E9" s="3" t="e">
        <f>VLOOKUP($A9,'UT-II'!$1:$1048576,3,0)</f>
        <v>#REF!</v>
      </c>
      <c r="F9" s="3" t="e">
        <f>VLOOKUP($A9,ANNUAL!$1:$1048576,3,0)</f>
        <v>#REF!</v>
      </c>
      <c r="G9" s="3" t="e">
        <f>VLOOKUP(A9,'UT-I'!$A$1:$EA$1758,4,0)</f>
        <v>#REF!</v>
      </c>
      <c r="H9" s="3" t="e">
        <f>VLOOKUP($A9,'HALF YEARLY'!$1:$1048576,4,0)</f>
        <v>#REF!</v>
      </c>
      <c r="I9" s="3" t="e">
        <f>VLOOKUP($A9,'UT-II'!$1:$1048576,4,0)</f>
        <v>#REF!</v>
      </c>
      <c r="J9" s="3" t="e">
        <f>VLOOKUP($A9,ANNUAL!$1:$1048576,4,0)</f>
        <v>#REF!</v>
      </c>
      <c r="K9" s="3" t="e">
        <f>VLOOKUP(A9,'UT-I'!$A$1:$EA$1758,5,0)</f>
        <v>#REF!</v>
      </c>
      <c r="L9" s="3" t="e">
        <f>VLOOKUP($A9,'HALF YEARLY'!$1:$1048576,5,0)</f>
        <v>#REF!</v>
      </c>
      <c r="M9" s="3" t="e">
        <f>VLOOKUP($A9,'UT-II'!$1:$1048576,5,0)</f>
        <v>#REF!</v>
      </c>
      <c r="N9" s="3" t="e">
        <f>VLOOKUP($A9,ANNUAL!$1:$1048576,5,0)</f>
        <v>#REF!</v>
      </c>
      <c r="O9" s="3" t="e">
        <f>VLOOKUP(A9,'UT-I'!$A$1:$EA$1758,6,0)</f>
        <v>#REF!</v>
      </c>
      <c r="P9" s="3" t="e">
        <f>VLOOKUP($A9,'HALF YEARLY'!$1:$1048576,6,0)</f>
        <v>#REF!</v>
      </c>
      <c r="Q9" s="3" t="e">
        <f>VLOOKUP($A9,'UT-II'!$1:$1048576,6,0)</f>
        <v>#REF!</v>
      </c>
      <c r="R9" s="3" t="e">
        <f>VLOOKUP($A9,ANNUAL!$1:$1048576,6,0)</f>
        <v>#REF!</v>
      </c>
      <c r="S9" s="3" t="e">
        <f>VLOOKUP(A9,'UT-I'!$A$1:$EA$1758,7,0)</f>
        <v>#REF!</v>
      </c>
      <c r="T9" s="3" t="e">
        <f>VLOOKUP($A9,'HALF YEARLY'!$1:$1048576,7,0)</f>
        <v>#REF!</v>
      </c>
      <c r="U9" s="3" t="e">
        <f>VLOOKUP($A9,'UT-II'!$1:$1048576,7,0)</f>
        <v>#REF!</v>
      </c>
      <c r="V9" s="3" t="e">
        <f>VLOOKUP($A9,ANNUAL!$1:$1048576,7,0)</f>
        <v>#REF!</v>
      </c>
      <c r="W9" s="3" t="e">
        <f>VLOOKUP(A9,'UT-I'!$A$1:$EA$1758,8,0)</f>
        <v>#REF!</v>
      </c>
      <c r="X9" s="3" t="e">
        <f>VLOOKUP($A9,'HALF YEARLY'!$1:$1048576,8,0)</f>
        <v>#REF!</v>
      </c>
      <c r="Y9" s="3" t="e">
        <f>VLOOKUP($A9,'UT-II'!$1:$1048576,8,0)</f>
        <v>#REF!</v>
      </c>
      <c r="Z9" s="3" t="e">
        <f>VLOOKUP($A9,ANNUAL!$1:$1048576,8,0)</f>
        <v>#REF!</v>
      </c>
      <c r="AA9" s="3" t="e">
        <f>VLOOKUP(A9,'UT-I'!$A$1:$EA$1758,9,0)</f>
        <v>#REF!</v>
      </c>
      <c r="AB9" s="3" t="e">
        <f>VLOOKUP($A9,'HALF YEARLY'!$1:$1048576,9,0)</f>
        <v>#REF!</v>
      </c>
      <c r="AC9" s="3" t="e">
        <f>VLOOKUP($A9,'UT-II'!$1:$1048576,9,0)</f>
        <v>#REF!</v>
      </c>
      <c r="AD9" s="3" t="e">
        <f>VLOOKUP($A9,ANNUAL!$1:$1048576,9,0)</f>
        <v>#REF!</v>
      </c>
      <c r="AE9" s="3" t="e">
        <f>VLOOKUP(A9,'UT-I'!$A$1:$EA$1758,10,0)</f>
        <v>#REF!</v>
      </c>
      <c r="AF9" s="3" t="e">
        <f>VLOOKUP($A9,'HALF YEARLY'!$1:$1048576,10,0)</f>
        <v>#REF!</v>
      </c>
      <c r="AG9" s="3" t="e">
        <f>VLOOKUP($A9,'UT-II'!$1:$1048576,10,0)</f>
        <v>#REF!</v>
      </c>
      <c r="AH9" s="3" t="e">
        <f>VLOOKUP($A9,ANNUAL!$1:$1048576,10,0)</f>
        <v>#REF!</v>
      </c>
      <c r="AI9" s="3" t="e">
        <f>VLOOKUP(A9,'UT-I'!$A$1:$EA$1758,11,0)</f>
        <v>#REF!</v>
      </c>
      <c r="AJ9" s="3" t="e">
        <f>VLOOKUP($A9,'HALF YEARLY'!$1:$1048576,11,0)</f>
        <v>#REF!</v>
      </c>
      <c r="AK9" s="3" t="e">
        <f>VLOOKUP($A9,'UT-II'!$1:$1048576,11,0)</f>
        <v>#REF!</v>
      </c>
      <c r="AL9" s="3" t="e">
        <f>VLOOKUP($A9,ANNUAL!$1:$1048576,11,0)</f>
        <v>#REF!</v>
      </c>
      <c r="AM9" s="3" t="e">
        <f>VLOOKUP(A9,'UT-I'!$A$1:$EA$1758,12,0)</f>
        <v>#REF!</v>
      </c>
      <c r="AN9" s="3" t="e">
        <f>VLOOKUP($A9,'HALF YEARLY'!$1:$1048576,12,0)</f>
        <v>#REF!</v>
      </c>
      <c r="AO9" s="3" t="e">
        <f>VLOOKUP($A9,'UT-II'!$1:$1048576,12,0)</f>
        <v>#REF!</v>
      </c>
      <c r="AP9" s="3" t="e">
        <f>VLOOKUP($A9,ANNUAL!$1:$1048576,12,0)</f>
        <v>#REF!</v>
      </c>
      <c r="AQ9" s="3" t="e">
        <f>VLOOKUP(A9,'UT-I'!$A$1:$EA$1758,13,0)</f>
        <v>#REF!</v>
      </c>
      <c r="AR9" s="3" t="e">
        <f>VLOOKUP($A9,'HALF YEARLY'!$1:$1048576,13,0)</f>
        <v>#REF!</v>
      </c>
      <c r="AS9" s="3" t="e">
        <f>VLOOKUP($A9,'UT-II'!$1:$1048576,13,0)</f>
        <v>#REF!</v>
      </c>
      <c r="AT9" s="3" t="e">
        <f>VLOOKUP($A9,ANNUAL!$1:$1048576,13,0)</f>
        <v>#REF!</v>
      </c>
      <c r="AU9" s="3" t="e">
        <f>VLOOKUP(A9,'UT-I'!$A$1:$EA$1758,14,0)</f>
        <v>#REF!</v>
      </c>
      <c r="AV9" s="3" t="e">
        <f>VLOOKUP($A9,'HALF YEARLY'!$1:$1048576,14,0)</f>
        <v>#REF!</v>
      </c>
      <c r="AW9" s="3" t="e">
        <f>VLOOKUP($A9,'UT-II'!$1:$1048576,14,0)</f>
        <v>#REF!</v>
      </c>
      <c r="AX9" s="3" t="e">
        <f>VLOOKUP($A9,ANNUAL!$1:$1048576,14,0)</f>
        <v>#REF!</v>
      </c>
      <c r="AY9" s="3" t="e">
        <f>VLOOKUP(A9,'UT-I'!$A$1:$EA$1758,15,0)</f>
        <v>#REF!</v>
      </c>
      <c r="AZ9" s="3" t="e">
        <f>VLOOKUP($A9,'HALF YEARLY'!$1:$1048576,15,0)</f>
        <v>#REF!</v>
      </c>
      <c r="BA9" s="3" t="e">
        <f>VLOOKUP($A9,'UT-II'!$1:$1048576,15,0)</f>
        <v>#REF!</v>
      </c>
      <c r="BB9" s="3" t="e">
        <f>VLOOKUP($A9,ANNUAL!$1:$1048576,15,0)</f>
        <v>#REF!</v>
      </c>
      <c r="BC9" s="3" t="e">
        <f>VLOOKUP(A9,'UT-I'!$A$1:$EA$1758,16,0)</f>
        <v>#REF!</v>
      </c>
      <c r="BD9" s="3" t="e">
        <f>VLOOKUP($A9,'HALF YEARLY'!$1:$1048576,16,0)</f>
        <v>#REF!</v>
      </c>
      <c r="BE9" s="3" t="e">
        <f>VLOOKUP($A9,'UT-II'!$1:$1048576,16,0)</f>
        <v>#REF!</v>
      </c>
      <c r="BF9" s="3" t="e">
        <f>VLOOKUP($A9,ANNUAL!$1:$1048576,16,0)</f>
        <v>#REF!</v>
      </c>
      <c r="BG9" s="3" t="e">
        <f>VLOOKUP(A9,'UT-I'!$A$1:$EA$1758,17,0)</f>
        <v>#REF!</v>
      </c>
      <c r="BH9" s="3" t="e">
        <f>VLOOKUP($A9,'HALF YEARLY'!$1:$1048576,17,0)</f>
        <v>#REF!</v>
      </c>
      <c r="BI9" s="3" t="e">
        <f>VLOOKUP($A9,'UT-II'!$1:$1048576,17,0)</f>
        <v>#REF!</v>
      </c>
      <c r="BJ9" s="3" t="e">
        <f>VLOOKUP($A9,ANNUAL!$1:$1048576,17,0)</f>
        <v>#REF!</v>
      </c>
      <c r="BK9" s="3" t="e">
        <f>VLOOKUP($A9,ANNUAL!$1:$1048576,18,0)</f>
        <v>#REF!</v>
      </c>
      <c r="BL9" s="3" t="e">
        <f>VLOOKUP($A9,ANNUAL!$1:$1048576,19,0)</f>
        <v>#REF!</v>
      </c>
      <c r="BM9" s="3" t="e">
        <f>VLOOKUP($A9,ANNUAL!$1:$1048576,20,0)</f>
        <v>#REF!</v>
      </c>
    </row>
    <row r="10" spans="1:65">
      <c r="A10" s="1" t="e">
        <f>DETAILS!#REF!</f>
        <v>#REF!</v>
      </c>
      <c r="B10" s="3" t="e">
        <f>DETAILS!#REF!</f>
        <v>#REF!</v>
      </c>
      <c r="C10" s="3" t="e">
        <f>VLOOKUP(A10,'UT-I'!$A$1:$EA$1758,3,0)</f>
        <v>#REF!</v>
      </c>
      <c r="D10" s="3" t="e">
        <f>VLOOKUP($A10,'HALF YEARLY'!$1:$1048576,3,0)</f>
        <v>#REF!</v>
      </c>
      <c r="E10" s="3" t="e">
        <f>VLOOKUP($A10,'UT-II'!$1:$1048576,3,0)</f>
        <v>#REF!</v>
      </c>
      <c r="F10" s="3" t="e">
        <f>VLOOKUP($A10,ANNUAL!$1:$1048576,3,0)</f>
        <v>#REF!</v>
      </c>
      <c r="G10" s="3" t="e">
        <f>VLOOKUP(A10,'UT-I'!$A$1:$EA$1758,4,0)</f>
        <v>#REF!</v>
      </c>
      <c r="H10" s="3" t="e">
        <f>VLOOKUP($A10,'HALF YEARLY'!$1:$1048576,4,0)</f>
        <v>#REF!</v>
      </c>
      <c r="I10" s="3" t="e">
        <f>VLOOKUP($A10,'UT-II'!$1:$1048576,4,0)</f>
        <v>#REF!</v>
      </c>
      <c r="J10" s="3" t="e">
        <f>VLOOKUP($A10,ANNUAL!$1:$1048576,4,0)</f>
        <v>#REF!</v>
      </c>
      <c r="K10" s="3" t="e">
        <f>VLOOKUP(A10,'UT-I'!$A$1:$EA$1758,5,0)</f>
        <v>#REF!</v>
      </c>
      <c r="L10" s="3" t="e">
        <f>VLOOKUP($A10,'HALF YEARLY'!$1:$1048576,5,0)</f>
        <v>#REF!</v>
      </c>
      <c r="M10" s="3" t="e">
        <f>VLOOKUP($A10,'UT-II'!$1:$1048576,5,0)</f>
        <v>#REF!</v>
      </c>
      <c r="N10" s="3" t="e">
        <f>VLOOKUP($A10,ANNUAL!$1:$1048576,5,0)</f>
        <v>#REF!</v>
      </c>
      <c r="O10" s="3" t="e">
        <f>VLOOKUP(A10,'UT-I'!$A$1:$EA$1758,6,0)</f>
        <v>#REF!</v>
      </c>
      <c r="P10" s="3" t="e">
        <f>VLOOKUP($A10,'HALF YEARLY'!$1:$1048576,6,0)</f>
        <v>#REF!</v>
      </c>
      <c r="Q10" s="3" t="e">
        <f>VLOOKUP($A10,'UT-II'!$1:$1048576,6,0)</f>
        <v>#REF!</v>
      </c>
      <c r="R10" s="3" t="e">
        <f>VLOOKUP($A10,ANNUAL!$1:$1048576,6,0)</f>
        <v>#REF!</v>
      </c>
      <c r="S10" s="3" t="e">
        <f>VLOOKUP(A10,'UT-I'!$A$1:$EA$1758,7,0)</f>
        <v>#REF!</v>
      </c>
      <c r="T10" s="3" t="e">
        <f>VLOOKUP($A10,'HALF YEARLY'!$1:$1048576,7,0)</f>
        <v>#REF!</v>
      </c>
      <c r="U10" s="3" t="e">
        <f>VLOOKUP($A10,'UT-II'!$1:$1048576,7,0)</f>
        <v>#REF!</v>
      </c>
      <c r="V10" s="3" t="e">
        <f>VLOOKUP($A10,ANNUAL!$1:$1048576,7,0)</f>
        <v>#REF!</v>
      </c>
      <c r="W10" s="3" t="e">
        <f>VLOOKUP(A10,'UT-I'!$A$1:$EA$1758,8,0)</f>
        <v>#REF!</v>
      </c>
      <c r="X10" s="3" t="e">
        <f>VLOOKUP($A10,'HALF YEARLY'!$1:$1048576,8,0)</f>
        <v>#REF!</v>
      </c>
      <c r="Y10" s="3" t="e">
        <f>VLOOKUP($A10,'UT-II'!$1:$1048576,8,0)</f>
        <v>#REF!</v>
      </c>
      <c r="Z10" s="3" t="e">
        <f>VLOOKUP($A10,ANNUAL!$1:$1048576,8,0)</f>
        <v>#REF!</v>
      </c>
      <c r="AA10" s="3" t="e">
        <f>VLOOKUP(A10,'UT-I'!$A$1:$EA$1758,9,0)</f>
        <v>#REF!</v>
      </c>
      <c r="AB10" s="3" t="e">
        <f>VLOOKUP($A10,'HALF YEARLY'!$1:$1048576,9,0)</f>
        <v>#REF!</v>
      </c>
      <c r="AC10" s="3" t="e">
        <f>VLOOKUP($A10,'UT-II'!$1:$1048576,9,0)</f>
        <v>#REF!</v>
      </c>
      <c r="AD10" s="3" t="e">
        <f>VLOOKUP($A10,ANNUAL!$1:$1048576,9,0)</f>
        <v>#REF!</v>
      </c>
      <c r="AE10" s="3" t="e">
        <f>VLOOKUP(A10,'UT-I'!$A$1:$EA$1758,10,0)</f>
        <v>#REF!</v>
      </c>
      <c r="AF10" s="3" t="e">
        <f>VLOOKUP($A10,'HALF YEARLY'!$1:$1048576,10,0)</f>
        <v>#REF!</v>
      </c>
      <c r="AG10" s="3" t="e">
        <f>VLOOKUP($A10,'UT-II'!$1:$1048576,10,0)</f>
        <v>#REF!</v>
      </c>
      <c r="AH10" s="3" t="e">
        <f>VLOOKUP($A10,ANNUAL!$1:$1048576,10,0)</f>
        <v>#REF!</v>
      </c>
      <c r="AI10" s="3" t="e">
        <f>VLOOKUP(A10,'UT-I'!$A$1:$EA$1758,11,0)</f>
        <v>#REF!</v>
      </c>
      <c r="AJ10" s="3" t="e">
        <f>VLOOKUP($A10,'HALF YEARLY'!$1:$1048576,11,0)</f>
        <v>#REF!</v>
      </c>
      <c r="AK10" s="3" t="e">
        <f>VLOOKUP($A10,'UT-II'!$1:$1048576,11,0)</f>
        <v>#REF!</v>
      </c>
      <c r="AL10" s="3" t="e">
        <f>VLOOKUP($A10,ANNUAL!$1:$1048576,11,0)</f>
        <v>#REF!</v>
      </c>
      <c r="AM10" s="3" t="e">
        <f>VLOOKUP(A10,'UT-I'!$A$1:$EA$1758,12,0)</f>
        <v>#REF!</v>
      </c>
      <c r="AN10" s="3" t="e">
        <f>VLOOKUP($A10,'HALF YEARLY'!$1:$1048576,12,0)</f>
        <v>#REF!</v>
      </c>
      <c r="AO10" s="3" t="e">
        <f>VLOOKUP($A10,'UT-II'!$1:$1048576,12,0)</f>
        <v>#REF!</v>
      </c>
      <c r="AP10" s="3" t="e">
        <f>VLOOKUP($A10,ANNUAL!$1:$1048576,12,0)</f>
        <v>#REF!</v>
      </c>
      <c r="AQ10" s="3" t="e">
        <f>VLOOKUP(A10,'UT-I'!$A$1:$EA$1758,13,0)</f>
        <v>#REF!</v>
      </c>
      <c r="AR10" s="3" t="e">
        <f>VLOOKUP($A10,'HALF YEARLY'!$1:$1048576,13,0)</f>
        <v>#REF!</v>
      </c>
      <c r="AS10" s="3" t="e">
        <f>VLOOKUP($A10,'UT-II'!$1:$1048576,13,0)</f>
        <v>#REF!</v>
      </c>
      <c r="AT10" s="3" t="e">
        <f>VLOOKUP($A10,ANNUAL!$1:$1048576,13,0)</f>
        <v>#REF!</v>
      </c>
      <c r="AU10" s="3" t="e">
        <f>VLOOKUP(A10,'UT-I'!$A$1:$EA$1758,14,0)</f>
        <v>#REF!</v>
      </c>
      <c r="AV10" s="3" t="e">
        <f>VLOOKUP($A10,'HALF YEARLY'!$1:$1048576,14,0)</f>
        <v>#REF!</v>
      </c>
      <c r="AW10" s="3" t="e">
        <f>VLOOKUP($A10,'UT-II'!$1:$1048576,14,0)</f>
        <v>#REF!</v>
      </c>
      <c r="AX10" s="3" t="e">
        <f>VLOOKUP($A10,ANNUAL!$1:$1048576,14,0)</f>
        <v>#REF!</v>
      </c>
      <c r="AY10" s="3" t="e">
        <f>VLOOKUP(A10,'UT-I'!$A$1:$EA$1758,15,0)</f>
        <v>#REF!</v>
      </c>
      <c r="AZ10" s="3" t="e">
        <f>VLOOKUP($A10,'HALF YEARLY'!$1:$1048576,15,0)</f>
        <v>#REF!</v>
      </c>
      <c r="BA10" s="3" t="e">
        <f>VLOOKUP($A10,'UT-II'!$1:$1048576,15,0)</f>
        <v>#REF!</v>
      </c>
      <c r="BB10" s="3" t="e">
        <f>VLOOKUP($A10,ANNUAL!$1:$1048576,15,0)</f>
        <v>#REF!</v>
      </c>
      <c r="BC10" s="3" t="e">
        <f>VLOOKUP(A10,'UT-I'!$A$1:$EA$1758,16,0)</f>
        <v>#REF!</v>
      </c>
      <c r="BD10" s="3" t="e">
        <f>VLOOKUP($A10,'HALF YEARLY'!$1:$1048576,16,0)</f>
        <v>#REF!</v>
      </c>
      <c r="BE10" s="3" t="e">
        <f>VLOOKUP($A10,'UT-II'!$1:$1048576,16,0)</f>
        <v>#REF!</v>
      </c>
      <c r="BF10" s="3" t="e">
        <f>VLOOKUP($A10,ANNUAL!$1:$1048576,16,0)</f>
        <v>#REF!</v>
      </c>
      <c r="BG10" s="3" t="e">
        <f>VLOOKUP(A10,'UT-I'!$A$1:$EA$1758,17,0)</f>
        <v>#REF!</v>
      </c>
      <c r="BH10" s="3" t="e">
        <f>VLOOKUP($A10,'HALF YEARLY'!$1:$1048576,17,0)</f>
        <v>#REF!</v>
      </c>
      <c r="BI10" s="3" t="e">
        <f>VLOOKUP($A10,'UT-II'!$1:$1048576,17,0)</f>
        <v>#REF!</v>
      </c>
      <c r="BJ10" s="3" t="e">
        <f>VLOOKUP($A10,ANNUAL!$1:$1048576,17,0)</f>
        <v>#REF!</v>
      </c>
      <c r="BK10" s="3" t="e">
        <f>VLOOKUP($A10,ANNUAL!$1:$1048576,18,0)</f>
        <v>#REF!</v>
      </c>
      <c r="BL10" s="3" t="e">
        <f>VLOOKUP($A10,ANNUAL!$1:$1048576,19,0)</f>
        <v>#REF!</v>
      </c>
      <c r="BM10" s="3" t="e">
        <f>VLOOKUP($A10,ANNUAL!$1:$1048576,20,0)</f>
        <v>#REF!</v>
      </c>
    </row>
    <row r="11" spans="1:65">
      <c r="A11" s="1" t="e">
        <f>DETAILS!#REF!</f>
        <v>#REF!</v>
      </c>
      <c r="B11" s="3" t="e">
        <f>DETAILS!#REF!</f>
        <v>#REF!</v>
      </c>
      <c r="C11" s="3" t="e">
        <f>VLOOKUP(A11,'UT-I'!$A$1:$EA$1758,3,0)</f>
        <v>#REF!</v>
      </c>
      <c r="D11" s="3" t="e">
        <f>VLOOKUP($A11,'HALF YEARLY'!$1:$1048576,3,0)</f>
        <v>#REF!</v>
      </c>
      <c r="E11" s="3" t="e">
        <f>VLOOKUP($A11,'UT-II'!$1:$1048576,3,0)</f>
        <v>#REF!</v>
      </c>
      <c r="F11" s="3" t="e">
        <f>VLOOKUP($A11,ANNUAL!$1:$1048576,3,0)</f>
        <v>#REF!</v>
      </c>
      <c r="G11" s="3" t="e">
        <f>VLOOKUP(A11,'UT-I'!$A$1:$EA$1758,4,0)</f>
        <v>#REF!</v>
      </c>
      <c r="H11" s="3" t="e">
        <f>VLOOKUP($A11,'HALF YEARLY'!$1:$1048576,4,0)</f>
        <v>#REF!</v>
      </c>
      <c r="I11" s="3" t="e">
        <f>VLOOKUP($A11,'UT-II'!$1:$1048576,4,0)</f>
        <v>#REF!</v>
      </c>
      <c r="J11" s="3" t="e">
        <f>VLOOKUP($A11,ANNUAL!$1:$1048576,4,0)</f>
        <v>#REF!</v>
      </c>
      <c r="K11" s="3" t="e">
        <f>VLOOKUP(A11,'UT-I'!$A$1:$EA$1758,5,0)</f>
        <v>#REF!</v>
      </c>
      <c r="L11" s="3" t="e">
        <f>VLOOKUP($A11,'HALF YEARLY'!$1:$1048576,5,0)</f>
        <v>#REF!</v>
      </c>
      <c r="M11" s="3" t="e">
        <f>VLOOKUP($A11,'UT-II'!$1:$1048576,5,0)</f>
        <v>#REF!</v>
      </c>
      <c r="N11" s="3" t="e">
        <f>VLOOKUP($A11,ANNUAL!$1:$1048576,5,0)</f>
        <v>#REF!</v>
      </c>
      <c r="O11" s="3" t="e">
        <f>VLOOKUP(A11,'UT-I'!$A$1:$EA$1758,6,0)</f>
        <v>#REF!</v>
      </c>
      <c r="P11" s="3" t="e">
        <f>VLOOKUP($A11,'HALF YEARLY'!$1:$1048576,6,0)</f>
        <v>#REF!</v>
      </c>
      <c r="Q11" s="3" t="e">
        <f>VLOOKUP($A11,'UT-II'!$1:$1048576,6,0)</f>
        <v>#REF!</v>
      </c>
      <c r="R11" s="3" t="e">
        <f>VLOOKUP($A11,ANNUAL!$1:$1048576,6,0)</f>
        <v>#REF!</v>
      </c>
      <c r="S11" s="3" t="e">
        <f>VLOOKUP(A11,'UT-I'!$A$1:$EA$1758,7,0)</f>
        <v>#REF!</v>
      </c>
      <c r="T11" s="3" t="e">
        <f>VLOOKUP($A11,'HALF YEARLY'!$1:$1048576,7,0)</f>
        <v>#REF!</v>
      </c>
      <c r="U11" s="3" t="e">
        <f>VLOOKUP($A11,'UT-II'!$1:$1048576,7,0)</f>
        <v>#REF!</v>
      </c>
      <c r="V11" s="3" t="e">
        <f>VLOOKUP($A11,ANNUAL!$1:$1048576,7,0)</f>
        <v>#REF!</v>
      </c>
      <c r="W11" s="3" t="e">
        <f>VLOOKUP(A11,'UT-I'!$A$1:$EA$1758,8,0)</f>
        <v>#REF!</v>
      </c>
      <c r="X11" s="3" t="e">
        <f>VLOOKUP($A11,'HALF YEARLY'!$1:$1048576,8,0)</f>
        <v>#REF!</v>
      </c>
      <c r="Y11" s="3" t="e">
        <f>VLOOKUP($A11,'UT-II'!$1:$1048576,8,0)</f>
        <v>#REF!</v>
      </c>
      <c r="Z11" s="3" t="e">
        <f>VLOOKUP($A11,ANNUAL!$1:$1048576,8,0)</f>
        <v>#REF!</v>
      </c>
      <c r="AA11" s="3" t="e">
        <f>VLOOKUP(A11,'UT-I'!$A$1:$EA$1758,9,0)</f>
        <v>#REF!</v>
      </c>
      <c r="AB11" s="3" t="e">
        <f>VLOOKUP($A11,'HALF YEARLY'!$1:$1048576,9,0)</f>
        <v>#REF!</v>
      </c>
      <c r="AC11" s="3" t="e">
        <f>VLOOKUP($A11,'UT-II'!$1:$1048576,9,0)</f>
        <v>#REF!</v>
      </c>
      <c r="AD11" s="3" t="e">
        <f>VLOOKUP($A11,ANNUAL!$1:$1048576,9,0)</f>
        <v>#REF!</v>
      </c>
      <c r="AE11" s="3" t="e">
        <f>VLOOKUP(A11,'UT-I'!$A$1:$EA$1758,10,0)</f>
        <v>#REF!</v>
      </c>
      <c r="AF11" s="3" t="e">
        <f>VLOOKUP($A11,'HALF YEARLY'!$1:$1048576,10,0)</f>
        <v>#REF!</v>
      </c>
      <c r="AG11" s="3" t="e">
        <f>VLOOKUP($A11,'UT-II'!$1:$1048576,10,0)</f>
        <v>#REF!</v>
      </c>
      <c r="AH11" s="3" t="e">
        <f>VLOOKUP($A11,ANNUAL!$1:$1048576,10,0)</f>
        <v>#REF!</v>
      </c>
      <c r="AI11" s="3" t="e">
        <f>VLOOKUP(A11,'UT-I'!$A$1:$EA$1758,11,0)</f>
        <v>#REF!</v>
      </c>
      <c r="AJ11" s="3" t="e">
        <f>VLOOKUP($A11,'HALF YEARLY'!$1:$1048576,11,0)</f>
        <v>#REF!</v>
      </c>
      <c r="AK11" s="3" t="e">
        <f>VLOOKUP($A11,'UT-II'!$1:$1048576,11,0)</f>
        <v>#REF!</v>
      </c>
      <c r="AL11" s="3" t="e">
        <f>VLOOKUP($A11,ANNUAL!$1:$1048576,11,0)</f>
        <v>#REF!</v>
      </c>
      <c r="AM11" s="3" t="e">
        <f>VLOOKUP(A11,'UT-I'!$A$1:$EA$1758,12,0)</f>
        <v>#REF!</v>
      </c>
      <c r="AN11" s="3" t="e">
        <f>VLOOKUP($A11,'HALF YEARLY'!$1:$1048576,12,0)</f>
        <v>#REF!</v>
      </c>
      <c r="AO11" s="3" t="e">
        <f>VLOOKUP($A11,'UT-II'!$1:$1048576,12,0)</f>
        <v>#REF!</v>
      </c>
      <c r="AP11" s="3" t="e">
        <f>VLOOKUP($A11,ANNUAL!$1:$1048576,12,0)</f>
        <v>#REF!</v>
      </c>
      <c r="AQ11" s="3" t="e">
        <f>VLOOKUP(A11,'UT-I'!$A$1:$EA$1758,13,0)</f>
        <v>#REF!</v>
      </c>
      <c r="AR11" s="3" t="e">
        <f>VLOOKUP($A11,'HALF YEARLY'!$1:$1048576,13,0)</f>
        <v>#REF!</v>
      </c>
      <c r="AS11" s="3" t="e">
        <f>VLOOKUP($A11,'UT-II'!$1:$1048576,13,0)</f>
        <v>#REF!</v>
      </c>
      <c r="AT11" s="3" t="e">
        <f>VLOOKUP($A11,ANNUAL!$1:$1048576,13,0)</f>
        <v>#REF!</v>
      </c>
      <c r="AU11" s="3" t="e">
        <f>VLOOKUP(A11,'UT-I'!$A$1:$EA$1758,14,0)</f>
        <v>#REF!</v>
      </c>
      <c r="AV11" s="3" t="e">
        <f>VLOOKUP($A11,'HALF YEARLY'!$1:$1048576,14,0)</f>
        <v>#REF!</v>
      </c>
      <c r="AW11" s="3" t="e">
        <f>VLOOKUP($A11,'UT-II'!$1:$1048576,14,0)</f>
        <v>#REF!</v>
      </c>
      <c r="AX11" s="3" t="e">
        <f>VLOOKUP($A11,ANNUAL!$1:$1048576,14,0)</f>
        <v>#REF!</v>
      </c>
      <c r="AY11" s="3" t="e">
        <f>VLOOKUP(A11,'UT-I'!$A$1:$EA$1758,15,0)</f>
        <v>#REF!</v>
      </c>
      <c r="AZ11" s="3" t="e">
        <f>VLOOKUP($A11,'HALF YEARLY'!$1:$1048576,15,0)</f>
        <v>#REF!</v>
      </c>
      <c r="BA11" s="3" t="e">
        <f>VLOOKUP($A11,'UT-II'!$1:$1048576,15,0)</f>
        <v>#REF!</v>
      </c>
      <c r="BB11" s="3" t="e">
        <f>VLOOKUP($A11,ANNUAL!$1:$1048576,15,0)</f>
        <v>#REF!</v>
      </c>
      <c r="BC11" s="3" t="e">
        <f>VLOOKUP(A11,'UT-I'!$A$1:$EA$1758,16,0)</f>
        <v>#REF!</v>
      </c>
      <c r="BD11" s="3" t="e">
        <f>VLOOKUP($A11,'HALF YEARLY'!$1:$1048576,16,0)</f>
        <v>#REF!</v>
      </c>
      <c r="BE11" s="3" t="e">
        <f>VLOOKUP($A11,'UT-II'!$1:$1048576,16,0)</f>
        <v>#REF!</v>
      </c>
      <c r="BF11" s="3" t="e">
        <f>VLOOKUP($A11,ANNUAL!$1:$1048576,16,0)</f>
        <v>#REF!</v>
      </c>
      <c r="BG11" s="3" t="e">
        <f>VLOOKUP(A11,'UT-I'!$A$1:$EA$1758,17,0)</f>
        <v>#REF!</v>
      </c>
      <c r="BH11" s="3" t="e">
        <f>VLOOKUP($A11,'HALF YEARLY'!$1:$1048576,17,0)</f>
        <v>#REF!</v>
      </c>
      <c r="BI11" s="3" t="e">
        <f>VLOOKUP($A11,'UT-II'!$1:$1048576,17,0)</f>
        <v>#REF!</v>
      </c>
      <c r="BJ11" s="3" t="e">
        <f>VLOOKUP($A11,ANNUAL!$1:$1048576,17,0)</f>
        <v>#REF!</v>
      </c>
      <c r="BK11" s="3" t="e">
        <f>VLOOKUP($A11,ANNUAL!$1:$1048576,18,0)</f>
        <v>#REF!</v>
      </c>
      <c r="BL11" s="3" t="e">
        <f>VLOOKUP($A11,ANNUAL!$1:$1048576,19,0)</f>
        <v>#REF!</v>
      </c>
      <c r="BM11" s="3" t="e">
        <f>VLOOKUP($A11,ANNUAL!$1:$1048576,20,0)</f>
        <v>#REF!</v>
      </c>
    </row>
    <row r="12" spans="1:65">
      <c r="A12" s="1" t="e">
        <f>DETAILS!#REF!</f>
        <v>#REF!</v>
      </c>
      <c r="B12" s="3" t="e">
        <f>DETAILS!#REF!</f>
        <v>#REF!</v>
      </c>
      <c r="C12" s="3" t="e">
        <f>VLOOKUP(A12,'UT-I'!$A$1:$EA$1758,3,0)</f>
        <v>#REF!</v>
      </c>
      <c r="D12" s="3" t="e">
        <f>VLOOKUP($A12,'HALF YEARLY'!$1:$1048576,3,0)</f>
        <v>#REF!</v>
      </c>
      <c r="E12" s="3" t="e">
        <f>VLOOKUP($A12,'UT-II'!$1:$1048576,3,0)</f>
        <v>#REF!</v>
      </c>
      <c r="F12" s="3" t="e">
        <f>VLOOKUP($A12,ANNUAL!$1:$1048576,3,0)</f>
        <v>#REF!</v>
      </c>
      <c r="G12" s="3" t="e">
        <f>VLOOKUP(A12,'UT-I'!$A$1:$EA$1758,4,0)</f>
        <v>#REF!</v>
      </c>
      <c r="H12" s="3" t="e">
        <f>VLOOKUP($A12,'HALF YEARLY'!$1:$1048576,4,0)</f>
        <v>#REF!</v>
      </c>
      <c r="I12" s="3" t="e">
        <f>VLOOKUP($A12,'UT-II'!$1:$1048576,4,0)</f>
        <v>#REF!</v>
      </c>
      <c r="J12" s="3" t="e">
        <f>VLOOKUP($A12,ANNUAL!$1:$1048576,4,0)</f>
        <v>#REF!</v>
      </c>
      <c r="K12" s="3" t="e">
        <f>VLOOKUP(A12,'UT-I'!$A$1:$EA$1758,5,0)</f>
        <v>#REF!</v>
      </c>
      <c r="L12" s="3" t="e">
        <f>VLOOKUP($A12,'HALF YEARLY'!$1:$1048576,5,0)</f>
        <v>#REF!</v>
      </c>
      <c r="M12" s="3" t="e">
        <f>VLOOKUP($A12,'UT-II'!$1:$1048576,5,0)</f>
        <v>#REF!</v>
      </c>
      <c r="N12" s="3" t="e">
        <f>VLOOKUP($A12,ANNUAL!$1:$1048576,5,0)</f>
        <v>#REF!</v>
      </c>
      <c r="O12" s="3" t="e">
        <f>VLOOKUP(A12,'UT-I'!$A$1:$EA$1758,6,0)</f>
        <v>#REF!</v>
      </c>
      <c r="P12" s="3" t="e">
        <f>VLOOKUP($A12,'HALF YEARLY'!$1:$1048576,6,0)</f>
        <v>#REF!</v>
      </c>
      <c r="Q12" s="3" t="e">
        <f>VLOOKUP($A12,'UT-II'!$1:$1048576,6,0)</f>
        <v>#REF!</v>
      </c>
      <c r="R12" s="3" t="e">
        <f>VLOOKUP($A12,ANNUAL!$1:$1048576,6,0)</f>
        <v>#REF!</v>
      </c>
      <c r="S12" s="3" t="e">
        <f>VLOOKUP(A12,'UT-I'!$A$1:$EA$1758,7,0)</f>
        <v>#REF!</v>
      </c>
      <c r="T12" s="3" t="e">
        <f>VLOOKUP($A12,'HALF YEARLY'!$1:$1048576,7,0)</f>
        <v>#REF!</v>
      </c>
      <c r="U12" s="3" t="e">
        <f>VLOOKUP($A12,'UT-II'!$1:$1048576,7,0)</f>
        <v>#REF!</v>
      </c>
      <c r="V12" s="3" t="e">
        <f>VLOOKUP($A12,ANNUAL!$1:$1048576,7,0)</f>
        <v>#REF!</v>
      </c>
      <c r="W12" s="3" t="e">
        <f>VLOOKUP(A12,'UT-I'!$A$1:$EA$1758,8,0)</f>
        <v>#REF!</v>
      </c>
      <c r="X12" s="3" t="e">
        <f>VLOOKUP($A12,'HALF YEARLY'!$1:$1048576,8,0)</f>
        <v>#REF!</v>
      </c>
      <c r="Y12" s="3" t="e">
        <f>VLOOKUP($A12,'UT-II'!$1:$1048576,8,0)</f>
        <v>#REF!</v>
      </c>
      <c r="Z12" s="3" t="e">
        <f>VLOOKUP($A12,ANNUAL!$1:$1048576,8,0)</f>
        <v>#REF!</v>
      </c>
      <c r="AA12" s="3" t="e">
        <f>VLOOKUP(A12,'UT-I'!$A$1:$EA$1758,9,0)</f>
        <v>#REF!</v>
      </c>
      <c r="AB12" s="3" t="e">
        <f>VLOOKUP($A12,'HALF YEARLY'!$1:$1048576,9,0)</f>
        <v>#REF!</v>
      </c>
      <c r="AC12" s="3" t="e">
        <f>VLOOKUP($A12,'UT-II'!$1:$1048576,9,0)</f>
        <v>#REF!</v>
      </c>
      <c r="AD12" s="3" t="e">
        <f>VLOOKUP($A12,ANNUAL!$1:$1048576,9,0)</f>
        <v>#REF!</v>
      </c>
      <c r="AE12" s="3" t="e">
        <f>VLOOKUP(A12,'UT-I'!$A$1:$EA$1758,10,0)</f>
        <v>#REF!</v>
      </c>
      <c r="AF12" s="3" t="e">
        <f>VLOOKUP($A12,'HALF YEARLY'!$1:$1048576,10,0)</f>
        <v>#REF!</v>
      </c>
      <c r="AG12" s="3" t="e">
        <f>VLOOKUP($A12,'UT-II'!$1:$1048576,10,0)</f>
        <v>#REF!</v>
      </c>
      <c r="AH12" s="3" t="e">
        <f>VLOOKUP($A12,ANNUAL!$1:$1048576,10,0)</f>
        <v>#REF!</v>
      </c>
      <c r="AI12" s="3" t="e">
        <f>VLOOKUP(A12,'UT-I'!$A$1:$EA$1758,11,0)</f>
        <v>#REF!</v>
      </c>
      <c r="AJ12" s="3" t="e">
        <f>VLOOKUP($A12,'HALF YEARLY'!$1:$1048576,11,0)</f>
        <v>#REF!</v>
      </c>
      <c r="AK12" s="3" t="e">
        <f>VLOOKUP($A12,'UT-II'!$1:$1048576,11,0)</f>
        <v>#REF!</v>
      </c>
      <c r="AL12" s="3" t="e">
        <f>VLOOKUP($A12,ANNUAL!$1:$1048576,11,0)</f>
        <v>#REF!</v>
      </c>
      <c r="AM12" s="3" t="e">
        <f>VLOOKUP(A12,'UT-I'!$A$1:$EA$1758,12,0)</f>
        <v>#REF!</v>
      </c>
      <c r="AN12" s="3" t="e">
        <f>VLOOKUP($A12,'HALF YEARLY'!$1:$1048576,12,0)</f>
        <v>#REF!</v>
      </c>
      <c r="AO12" s="3" t="e">
        <f>VLOOKUP($A12,'UT-II'!$1:$1048576,12,0)</f>
        <v>#REF!</v>
      </c>
      <c r="AP12" s="3" t="e">
        <f>VLOOKUP($A12,ANNUAL!$1:$1048576,12,0)</f>
        <v>#REF!</v>
      </c>
      <c r="AQ12" s="3" t="e">
        <f>VLOOKUP(A12,'UT-I'!$A$1:$EA$1758,13,0)</f>
        <v>#REF!</v>
      </c>
      <c r="AR12" s="3" t="e">
        <f>VLOOKUP($A12,'HALF YEARLY'!$1:$1048576,13,0)</f>
        <v>#REF!</v>
      </c>
      <c r="AS12" s="3" t="e">
        <f>VLOOKUP($A12,'UT-II'!$1:$1048576,13,0)</f>
        <v>#REF!</v>
      </c>
      <c r="AT12" s="3" t="e">
        <f>VLOOKUP($A12,ANNUAL!$1:$1048576,13,0)</f>
        <v>#REF!</v>
      </c>
      <c r="AU12" s="3" t="e">
        <f>VLOOKUP(A12,'UT-I'!$A$1:$EA$1758,14,0)</f>
        <v>#REF!</v>
      </c>
      <c r="AV12" s="3" t="e">
        <f>VLOOKUP($A12,'HALF YEARLY'!$1:$1048576,14,0)</f>
        <v>#REF!</v>
      </c>
      <c r="AW12" s="3" t="e">
        <f>VLOOKUP($A12,'UT-II'!$1:$1048576,14,0)</f>
        <v>#REF!</v>
      </c>
      <c r="AX12" s="3" t="e">
        <f>VLOOKUP($A12,ANNUAL!$1:$1048576,14,0)</f>
        <v>#REF!</v>
      </c>
      <c r="AY12" s="3" t="e">
        <f>VLOOKUP(A12,'UT-I'!$A$1:$EA$1758,15,0)</f>
        <v>#REF!</v>
      </c>
      <c r="AZ12" s="3" t="e">
        <f>VLOOKUP($A12,'HALF YEARLY'!$1:$1048576,15,0)</f>
        <v>#REF!</v>
      </c>
      <c r="BA12" s="3" t="e">
        <f>VLOOKUP($A12,'UT-II'!$1:$1048576,15,0)</f>
        <v>#REF!</v>
      </c>
      <c r="BB12" s="3" t="e">
        <f>VLOOKUP($A12,ANNUAL!$1:$1048576,15,0)</f>
        <v>#REF!</v>
      </c>
      <c r="BC12" s="3" t="e">
        <f>VLOOKUP(A12,'UT-I'!$A$1:$EA$1758,16,0)</f>
        <v>#REF!</v>
      </c>
      <c r="BD12" s="3" t="e">
        <f>VLOOKUP($A12,'HALF YEARLY'!$1:$1048576,16,0)</f>
        <v>#REF!</v>
      </c>
      <c r="BE12" s="3" t="e">
        <f>VLOOKUP($A12,'UT-II'!$1:$1048576,16,0)</f>
        <v>#REF!</v>
      </c>
      <c r="BF12" s="3" t="e">
        <f>VLOOKUP($A12,ANNUAL!$1:$1048576,16,0)</f>
        <v>#REF!</v>
      </c>
      <c r="BG12" s="3" t="e">
        <f>VLOOKUP(A12,'UT-I'!$A$1:$EA$1758,17,0)</f>
        <v>#REF!</v>
      </c>
      <c r="BH12" s="3" t="e">
        <f>VLOOKUP($A12,'HALF YEARLY'!$1:$1048576,17,0)</f>
        <v>#REF!</v>
      </c>
      <c r="BI12" s="3" t="e">
        <f>VLOOKUP($A12,'UT-II'!$1:$1048576,17,0)</f>
        <v>#REF!</v>
      </c>
      <c r="BJ12" s="3" t="e">
        <f>VLOOKUP($A12,ANNUAL!$1:$1048576,17,0)</f>
        <v>#REF!</v>
      </c>
      <c r="BK12" s="3" t="e">
        <f>VLOOKUP($A12,ANNUAL!$1:$1048576,18,0)</f>
        <v>#REF!</v>
      </c>
      <c r="BL12" s="3" t="e">
        <f>VLOOKUP($A12,ANNUAL!$1:$1048576,19,0)</f>
        <v>#REF!</v>
      </c>
      <c r="BM12" s="3" t="e">
        <f>VLOOKUP($A12,ANNUAL!$1:$1048576,20,0)</f>
        <v>#REF!</v>
      </c>
    </row>
    <row r="13" spans="1:65">
      <c r="A13" s="1">
        <f>DETAILS!A6</f>
        <v>1868</v>
      </c>
      <c r="B13" s="3" t="str">
        <f>DETAILS!B6</f>
        <v>ANUSHKA RAJ</v>
      </c>
      <c r="C13" s="3">
        <f>VLOOKUP(A13,'UT-I'!$A$1:$EA$1758,3,0)</f>
        <v>43</v>
      </c>
      <c r="D13" s="3">
        <f>VLOOKUP($A13,'HALF YEARLY'!$1:$1048576,3,0)</f>
        <v>47</v>
      </c>
      <c r="E13" s="3">
        <f>VLOOKUP($A13,'UT-II'!$1:$1048576,3,0)</f>
        <v>0</v>
      </c>
      <c r="F13" s="3">
        <f>VLOOKUP($A13,ANNUAL!$1:$1048576,3,0)</f>
        <v>46</v>
      </c>
      <c r="G13" s="3">
        <f>VLOOKUP(A13,'UT-I'!$A$1:$EA$1758,4,0)</f>
        <v>40</v>
      </c>
      <c r="H13" s="3">
        <f>VLOOKUP($A13,'HALF YEARLY'!$1:$1048576,4,0)</f>
        <v>45</v>
      </c>
      <c r="I13" s="3">
        <f>VLOOKUP($A13,'UT-II'!$1:$1048576,4,0)</f>
        <v>0</v>
      </c>
      <c r="J13" s="3">
        <f>VLOOKUP($A13,ANNUAL!$1:$1048576,4,0)</f>
        <v>50</v>
      </c>
      <c r="K13" s="3">
        <f>VLOOKUP(A13,'UT-I'!$A$1:$EA$1758,5,0)</f>
        <v>30</v>
      </c>
      <c r="L13" s="3">
        <f>VLOOKUP($A13,'HALF YEARLY'!$1:$1048576,5,0)</f>
        <v>49</v>
      </c>
      <c r="M13" s="3">
        <f>VLOOKUP($A13,'UT-II'!$1:$1048576,5,0)</f>
        <v>0</v>
      </c>
      <c r="N13" s="3">
        <f>VLOOKUP($A13,ANNUAL!$1:$1048576,5,0)</f>
        <v>30</v>
      </c>
      <c r="O13" s="3">
        <f>VLOOKUP(A13,'UT-I'!$A$1:$EA$1758,6,0)</f>
        <v>43</v>
      </c>
      <c r="P13" s="3">
        <f>VLOOKUP($A13,'HALF YEARLY'!$1:$1048576,6,0)</f>
        <v>43</v>
      </c>
      <c r="Q13" s="3">
        <f>VLOOKUP($A13,'UT-II'!$1:$1048576,6,0)</f>
        <v>0</v>
      </c>
      <c r="R13" s="3">
        <f>VLOOKUP($A13,ANNUAL!$1:$1048576,6,0)</f>
        <v>46</v>
      </c>
      <c r="S13" s="3">
        <f>VLOOKUP(A13,'UT-I'!$A$1:$EA$1758,7,0)</f>
        <v>40</v>
      </c>
      <c r="T13" s="3">
        <f>VLOOKUP($A13,'HALF YEARLY'!$1:$1048576,7,0)</f>
        <v>40</v>
      </c>
      <c r="U13" s="3">
        <f>VLOOKUP($A13,'UT-II'!$1:$1048576,7,0)</f>
        <v>0</v>
      </c>
      <c r="V13" s="3">
        <f>VLOOKUP($A13,ANNUAL!$1:$1048576,7,0)</f>
        <v>48</v>
      </c>
      <c r="W13" s="3">
        <f>VLOOKUP(A13,'UT-I'!$A$1:$EA$1758,8,0)</f>
        <v>30</v>
      </c>
      <c r="X13" s="3" t="str">
        <f>VLOOKUP($A13,'HALF YEARLY'!$1:$1048576,8,0)</f>
        <v>AB</v>
      </c>
      <c r="Y13" s="3">
        <f>VLOOKUP($A13,'UT-II'!$1:$1048576,8,0)</f>
        <v>0</v>
      </c>
      <c r="Z13" s="3">
        <f>VLOOKUP($A13,ANNUAL!$1:$1048576,8,0)</f>
        <v>43</v>
      </c>
      <c r="AA13" s="3">
        <f>VLOOKUP(A13,'UT-I'!$A$1:$EA$1758,9,0)</f>
        <v>39</v>
      </c>
      <c r="AB13" s="3">
        <f>VLOOKUP($A13,'HALF YEARLY'!$1:$1048576,9,0)</f>
        <v>36</v>
      </c>
      <c r="AC13" s="3">
        <f>VLOOKUP($A13,'UT-II'!$1:$1048576,9,0)</f>
        <v>0</v>
      </c>
      <c r="AD13" s="3">
        <f>VLOOKUP($A13,ANNUAL!$1:$1048576,9,0)</f>
        <v>50</v>
      </c>
      <c r="AE13" s="3">
        <f>VLOOKUP(A13,'UT-I'!$A$1:$EA$1758,10,0)</f>
        <v>50</v>
      </c>
      <c r="AF13" s="3">
        <f>VLOOKUP($A13,'HALF YEARLY'!$1:$1048576,10,0)</f>
        <v>35</v>
      </c>
      <c r="AG13" s="3">
        <f>VLOOKUP($A13,'UT-II'!$1:$1048576,10,0)</f>
        <v>0</v>
      </c>
      <c r="AH13" s="3">
        <f>VLOOKUP($A13,ANNUAL!$1:$1048576,10,0)</f>
        <v>50</v>
      </c>
      <c r="AI13" s="3">
        <f>VLOOKUP(A13,'UT-I'!$A$1:$EA$1758,11,0)</f>
        <v>50</v>
      </c>
      <c r="AJ13" s="3">
        <f>VLOOKUP($A13,'HALF YEARLY'!$1:$1048576,11,0)</f>
        <v>30</v>
      </c>
      <c r="AK13" s="3">
        <f>VLOOKUP($A13,'UT-II'!$1:$1048576,11,0)</f>
        <v>0</v>
      </c>
      <c r="AL13" s="3">
        <f>VLOOKUP($A13,ANNUAL!$1:$1048576,11,0)</f>
        <v>45</v>
      </c>
      <c r="AM13" s="3">
        <f>VLOOKUP(A13,'UT-I'!$A$1:$EA$1758,12,0)</f>
        <v>40</v>
      </c>
      <c r="AN13" s="3" t="str">
        <f>VLOOKUP($A13,'HALF YEARLY'!$1:$1048576,12,0)</f>
        <v>AB</v>
      </c>
      <c r="AO13" s="3">
        <f>VLOOKUP($A13,'UT-II'!$1:$1048576,12,0)</f>
        <v>0</v>
      </c>
      <c r="AP13" s="3">
        <f>VLOOKUP($A13,ANNUAL!$1:$1048576,12,0)</f>
        <v>45</v>
      </c>
      <c r="AQ13" s="3" t="str">
        <f>VLOOKUP(A13,'UT-I'!$A$1:$EA$1758,13,0)</f>
        <v>B</v>
      </c>
      <c r="AR13" s="3" t="str">
        <f>VLOOKUP($A13,'HALF YEARLY'!$1:$1048576,13,0)</f>
        <v>C</v>
      </c>
      <c r="AS13" s="3">
        <f>VLOOKUP($A13,'UT-II'!$1:$1048576,13,0)</f>
        <v>0</v>
      </c>
      <c r="AT13" s="3" t="str">
        <f>VLOOKUP($A13,ANNUAL!$1:$1048576,13,0)</f>
        <v>A</v>
      </c>
      <c r="AU13" s="3" t="str">
        <f>VLOOKUP(A13,'UT-I'!$A$1:$EA$1758,14,0)</f>
        <v>A</v>
      </c>
      <c r="AV13" s="3" t="str">
        <f>VLOOKUP($A13,'HALF YEARLY'!$1:$1048576,14,0)</f>
        <v>A</v>
      </c>
      <c r="AW13" s="3">
        <f>VLOOKUP($A13,'UT-II'!$1:$1048576,14,0)</f>
        <v>0</v>
      </c>
      <c r="AX13" s="3" t="str">
        <f>VLOOKUP($A13,ANNUAL!$1:$1048576,14,0)</f>
        <v>A</v>
      </c>
      <c r="AY13" s="3" t="str">
        <f>VLOOKUP(A13,'UT-I'!$A$1:$EA$1758,15,0)</f>
        <v>B</v>
      </c>
      <c r="AZ13" s="3" t="str">
        <f>VLOOKUP($A13,'HALF YEARLY'!$1:$1048576,15,0)</f>
        <v>A</v>
      </c>
      <c r="BA13" s="3">
        <f>VLOOKUP($A13,'UT-II'!$1:$1048576,15,0)</f>
        <v>0</v>
      </c>
      <c r="BB13" s="3" t="str">
        <f>VLOOKUP($A13,ANNUAL!$1:$1048576,15,0)</f>
        <v>A</v>
      </c>
      <c r="BC13" s="3" t="str">
        <f>VLOOKUP(A13,'UT-I'!$A$1:$EA$1758,16,0)</f>
        <v>B</v>
      </c>
      <c r="BD13" s="3" t="str">
        <f>VLOOKUP($A13,'HALF YEARLY'!$1:$1048576,16,0)</f>
        <v>A</v>
      </c>
      <c r="BE13" s="3">
        <f>VLOOKUP($A13,'UT-II'!$1:$1048576,16,0)</f>
        <v>0</v>
      </c>
      <c r="BF13" s="3" t="str">
        <f>VLOOKUP($A13,ANNUAL!$1:$1048576,16,0)</f>
        <v>A</v>
      </c>
      <c r="BG13" s="3">
        <f>VLOOKUP(A13,'UT-I'!$A$1:$EA$1758,17,0)</f>
        <v>405</v>
      </c>
      <c r="BH13" s="3">
        <f>VLOOKUP($A13,'HALF YEARLY'!$1:$1048576,17,0)</f>
        <v>325</v>
      </c>
      <c r="BI13" s="3">
        <f>VLOOKUP($A13,'UT-II'!$1:$1048576,17,0)</f>
        <v>0</v>
      </c>
      <c r="BJ13" s="3" t="str">
        <f>VLOOKUP($A13,ANNUAL!$1:$1048576,17,0)</f>
        <v>A</v>
      </c>
      <c r="BK13" s="3">
        <f>VLOOKUP($A13,ANNUAL!$1:$1048576,18,0)</f>
        <v>161</v>
      </c>
      <c r="BL13" s="3">
        <f>VLOOKUP($A13,ANNUAL!$1:$1048576,19,0)</f>
        <v>204</v>
      </c>
      <c r="BM13" s="3" t="str">
        <f>VLOOKUP($A13,ANNUAL!$1:$1048576,20,0)</f>
        <v>Good. Can do better.</v>
      </c>
    </row>
    <row r="14" spans="1:65">
      <c r="A14" s="1">
        <f>DETAILS!A7</f>
        <v>1939</v>
      </c>
      <c r="B14" s="3" t="str">
        <f>DETAILS!B7</f>
        <v>ARNAV SINGH</v>
      </c>
      <c r="C14" s="3">
        <f>VLOOKUP(A14,'UT-I'!$A$1:$EA$1758,3,0)</f>
        <v>47</v>
      </c>
      <c r="D14" s="3">
        <f>VLOOKUP($A14,'HALF YEARLY'!$1:$1048576,3,0)</f>
        <v>46</v>
      </c>
      <c r="E14" s="3">
        <f>VLOOKUP($A14,'UT-II'!$1:$1048576,3,0)</f>
        <v>0</v>
      </c>
      <c r="F14" s="3">
        <f>VLOOKUP($A14,ANNUAL!$1:$1048576,3,0)</f>
        <v>39</v>
      </c>
      <c r="G14" s="3">
        <f>VLOOKUP(A14,'UT-I'!$A$1:$EA$1758,4,0)</f>
        <v>50</v>
      </c>
      <c r="H14" s="3">
        <f>VLOOKUP($A14,'HALF YEARLY'!$1:$1048576,4,0)</f>
        <v>50</v>
      </c>
      <c r="I14" s="3">
        <f>VLOOKUP($A14,'UT-II'!$1:$1048576,4,0)</f>
        <v>0</v>
      </c>
      <c r="J14" s="3">
        <f>VLOOKUP($A14,ANNUAL!$1:$1048576,4,0)</f>
        <v>40</v>
      </c>
      <c r="K14" s="3">
        <f>VLOOKUP(A14,'UT-I'!$A$1:$EA$1758,5,0)</f>
        <v>45</v>
      </c>
      <c r="L14" s="3">
        <f>VLOOKUP($A14,'HALF YEARLY'!$1:$1048576,5,0)</f>
        <v>44</v>
      </c>
      <c r="M14" s="3">
        <f>VLOOKUP($A14,'UT-II'!$1:$1048576,5,0)</f>
        <v>0</v>
      </c>
      <c r="N14" s="3">
        <f>VLOOKUP($A14,ANNUAL!$1:$1048576,5,0)</f>
        <v>30</v>
      </c>
      <c r="O14" s="3">
        <f>VLOOKUP(A14,'UT-I'!$A$1:$EA$1758,6,0)</f>
        <v>46</v>
      </c>
      <c r="P14" s="3">
        <f>VLOOKUP($A14,'HALF YEARLY'!$1:$1048576,6,0)</f>
        <v>49</v>
      </c>
      <c r="Q14" s="3">
        <f>VLOOKUP($A14,'UT-II'!$1:$1048576,6,0)</f>
        <v>0</v>
      </c>
      <c r="R14" s="3">
        <f>VLOOKUP($A14,ANNUAL!$1:$1048576,6,0)</f>
        <v>38</v>
      </c>
      <c r="S14" s="3">
        <f>VLOOKUP(A14,'UT-I'!$A$1:$EA$1758,7,0)</f>
        <v>50</v>
      </c>
      <c r="T14" s="3">
        <f>VLOOKUP($A14,'HALF YEARLY'!$1:$1048576,7,0)</f>
        <v>50</v>
      </c>
      <c r="U14" s="3">
        <f>VLOOKUP($A14,'UT-II'!$1:$1048576,7,0)</f>
        <v>0</v>
      </c>
      <c r="V14" s="3">
        <f>VLOOKUP($A14,ANNUAL!$1:$1048576,7,0)</f>
        <v>45</v>
      </c>
      <c r="W14" s="3">
        <f>VLOOKUP(A14,'UT-I'!$A$1:$EA$1758,8,0)</f>
        <v>45</v>
      </c>
      <c r="X14" s="3">
        <f>VLOOKUP($A14,'HALF YEARLY'!$1:$1048576,8,0)</f>
        <v>46</v>
      </c>
      <c r="Y14" s="3">
        <f>VLOOKUP($A14,'UT-II'!$1:$1048576,8,0)</f>
        <v>0</v>
      </c>
      <c r="Z14" s="3">
        <f>VLOOKUP($A14,ANNUAL!$1:$1048576,8,0)</f>
        <v>30</v>
      </c>
      <c r="AA14" s="3">
        <f>VLOOKUP(A14,'UT-I'!$A$1:$EA$1758,9,0)</f>
        <v>46</v>
      </c>
      <c r="AB14" s="3">
        <f>VLOOKUP($A14,'HALF YEARLY'!$1:$1048576,9,0)</f>
        <v>45</v>
      </c>
      <c r="AC14" s="3">
        <f>VLOOKUP($A14,'UT-II'!$1:$1048576,9,0)</f>
        <v>0</v>
      </c>
      <c r="AD14" s="3">
        <f>VLOOKUP($A14,ANNUAL!$1:$1048576,9,0)</f>
        <v>40</v>
      </c>
      <c r="AE14" s="3">
        <f>VLOOKUP(A14,'UT-I'!$A$1:$EA$1758,10,0)</f>
        <v>50</v>
      </c>
      <c r="AF14" s="3">
        <f>VLOOKUP($A14,'HALF YEARLY'!$1:$1048576,10,0)</f>
        <v>50</v>
      </c>
      <c r="AG14" s="3">
        <f>VLOOKUP($A14,'UT-II'!$1:$1048576,10,0)</f>
        <v>0</v>
      </c>
      <c r="AH14" s="3">
        <f>VLOOKUP($A14,ANNUAL!$1:$1048576,10,0)</f>
        <v>40</v>
      </c>
      <c r="AI14" s="3">
        <f>VLOOKUP(A14,'UT-I'!$A$1:$EA$1758,11,0)</f>
        <v>50</v>
      </c>
      <c r="AJ14" s="3">
        <f>VLOOKUP($A14,'HALF YEARLY'!$1:$1048576,11,0)</f>
        <v>45</v>
      </c>
      <c r="AK14" s="3">
        <f>VLOOKUP($A14,'UT-II'!$1:$1048576,11,0)</f>
        <v>0</v>
      </c>
      <c r="AL14" s="3">
        <f>VLOOKUP($A14,ANNUAL!$1:$1048576,11,0)</f>
        <v>40</v>
      </c>
      <c r="AM14" s="3">
        <f>VLOOKUP(A14,'UT-I'!$A$1:$EA$1758,12,0)</f>
        <v>50</v>
      </c>
      <c r="AN14" s="3">
        <f>VLOOKUP($A14,'HALF YEARLY'!$1:$1048576,12,0)</f>
        <v>50</v>
      </c>
      <c r="AO14" s="3">
        <f>VLOOKUP($A14,'UT-II'!$1:$1048576,12,0)</f>
        <v>0</v>
      </c>
      <c r="AP14" s="3">
        <f>VLOOKUP($A14,ANNUAL!$1:$1048576,12,0)</f>
        <v>35</v>
      </c>
      <c r="AQ14" s="3" t="str">
        <f>VLOOKUP(A14,'UT-I'!$A$1:$EA$1758,13,0)</f>
        <v>A</v>
      </c>
      <c r="AR14" s="3" t="str">
        <f>VLOOKUP($A14,'HALF YEARLY'!$1:$1048576,13,0)</f>
        <v>A</v>
      </c>
      <c r="AS14" s="3">
        <f>VLOOKUP($A14,'UT-II'!$1:$1048576,13,0)</f>
        <v>0</v>
      </c>
      <c r="AT14" s="3" t="str">
        <f>VLOOKUP($A14,ANNUAL!$1:$1048576,13,0)</f>
        <v>A</v>
      </c>
      <c r="AU14" s="3" t="str">
        <f>VLOOKUP(A14,'UT-I'!$A$1:$EA$1758,14,0)</f>
        <v>A</v>
      </c>
      <c r="AV14" s="3" t="str">
        <f>VLOOKUP($A14,'HALF YEARLY'!$1:$1048576,14,0)</f>
        <v>A</v>
      </c>
      <c r="AW14" s="3">
        <f>VLOOKUP($A14,'UT-II'!$1:$1048576,14,0)</f>
        <v>0</v>
      </c>
      <c r="AX14" s="3" t="str">
        <f>VLOOKUP($A14,ANNUAL!$1:$1048576,14,0)</f>
        <v>A</v>
      </c>
      <c r="AY14" s="3" t="str">
        <f>VLOOKUP(A14,'UT-I'!$A$1:$EA$1758,15,0)</f>
        <v>A</v>
      </c>
      <c r="AZ14" s="3" t="str">
        <f>VLOOKUP($A14,'HALF YEARLY'!$1:$1048576,15,0)</f>
        <v>A</v>
      </c>
      <c r="BA14" s="3">
        <f>VLOOKUP($A14,'UT-II'!$1:$1048576,15,0)</f>
        <v>0</v>
      </c>
      <c r="BB14" s="3" t="str">
        <f>VLOOKUP($A14,ANNUAL!$1:$1048576,15,0)</f>
        <v>A</v>
      </c>
      <c r="BC14" s="3" t="str">
        <f>VLOOKUP(A14,'UT-I'!$A$1:$EA$1758,16,0)</f>
        <v>A</v>
      </c>
      <c r="BD14" s="3" t="str">
        <f>VLOOKUP($A14,'HALF YEARLY'!$1:$1048576,16,0)</f>
        <v>A</v>
      </c>
      <c r="BE14" s="3">
        <f>VLOOKUP($A14,'UT-II'!$1:$1048576,16,0)</f>
        <v>0</v>
      </c>
      <c r="BF14" s="3" t="str">
        <f>VLOOKUP($A14,ANNUAL!$1:$1048576,16,0)</f>
        <v>A</v>
      </c>
      <c r="BG14" s="3">
        <f>VLOOKUP(A14,'UT-I'!$A$1:$EA$1758,17,0)</f>
        <v>479</v>
      </c>
      <c r="BH14" s="3">
        <f>VLOOKUP($A14,'HALF YEARLY'!$1:$1048576,17,0)</f>
        <v>475</v>
      </c>
      <c r="BI14" s="3">
        <f>VLOOKUP($A14,'UT-II'!$1:$1048576,17,0)</f>
        <v>0</v>
      </c>
      <c r="BJ14" s="3" t="str">
        <f>VLOOKUP($A14,ANNUAL!$1:$1048576,17,0)</f>
        <v>A</v>
      </c>
      <c r="BK14" s="3">
        <f>VLOOKUP($A14,ANNUAL!$1:$1048576,18,0)</f>
        <v>122</v>
      </c>
      <c r="BL14" s="3">
        <f>VLOOKUP($A14,ANNUAL!$1:$1048576,19,0)</f>
        <v>176</v>
      </c>
      <c r="BM14" s="3" t="str">
        <f>VLOOKUP($A14,ANNUAL!$1:$1048576,20,0)</f>
        <v>Good. Can do better.</v>
      </c>
    </row>
    <row r="15" spans="1:65">
      <c r="A15" s="1">
        <f>DETAILS!A8</f>
        <v>1956</v>
      </c>
      <c r="B15" s="3" t="str">
        <f>DETAILS!B8</f>
        <v>ATHARV UPADHYAY</v>
      </c>
      <c r="C15" s="3" t="str">
        <f>VLOOKUP(A15,'UT-I'!$A$1:$EA$1758,3,0)</f>
        <v>NA</v>
      </c>
      <c r="D15" s="3">
        <f>VLOOKUP($A15,'HALF YEARLY'!$1:$1048576,3,0)</f>
        <v>34</v>
      </c>
      <c r="E15" s="3">
        <f>VLOOKUP($A15,'UT-II'!$1:$1048576,3,0)</f>
        <v>0</v>
      </c>
      <c r="F15" s="3">
        <f>VLOOKUP($A15,ANNUAL!$1:$1048576,3,0)</f>
        <v>33</v>
      </c>
      <c r="G15" s="3" t="str">
        <f>VLOOKUP(A15,'UT-I'!$A$1:$EA$1758,4,0)</f>
        <v>NA</v>
      </c>
      <c r="H15" s="3">
        <f>VLOOKUP($A15,'HALF YEARLY'!$1:$1048576,4,0)</f>
        <v>25</v>
      </c>
      <c r="I15" s="3">
        <f>VLOOKUP($A15,'UT-II'!$1:$1048576,4,0)</f>
        <v>0</v>
      </c>
      <c r="J15" s="3">
        <f>VLOOKUP($A15,ANNUAL!$1:$1048576,4,0)</f>
        <v>40</v>
      </c>
      <c r="K15" s="3" t="str">
        <f>VLOOKUP(A15,'UT-I'!$A$1:$EA$1758,5,0)</f>
        <v>NA</v>
      </c>
      <c r="L15" s="3">
        <f>VLOOKUP($A15,'HALF YEARLY'!$1:$1048576,5,0)</f>
        <v>35</v>
      </c>
      <c r="M15" s="3">
        <f>VLOOKUP($A15,'UT-II'!$1:$1048576,5,0)</f>
        <v>0</v>
      </c>
      <c r="N15" s="3">
        <f>VLOOKUP($A15,ANNUAL!$1:$1048576,5,0)</f>
        <v>30</v>
      </c>
      <c r="O15" s="3" t="str">
        <f>VLOOKUP(A15,'UT-I'!$A$1:$EA$1758,6,0)</f>
        <v>NA</v>
      </c>
      <c r="P15" s="3">
        <f>VLOOKUP($A15,'HALF YEARLY'!$1:$1048576,6,0)</f>
        <v>42</v>
      </c>
      <c r="Q15" s="3">
        <f>VLOOKUP($A15,'UT-II'!$1:$1048576,6,0)</f>
        <v>0</v>
      </c>
      <c r="R15" s="3">
        <f>VLOOKUP($A15,ANNUAL!$1:$1048576,6,0)</f>
        <v>33</v>
      </c>
      <c r="S15" s="3" t="str">
        <f>VLOOKUP(A15,'UT-I'!$A$1:$EA$1758,7,0)</f>
        <v>NA</v>
      </c>
      <c r="T15" s="3">
        <f>VLOOKUP($A15,'HALF YEARLY'!$1:$1048576,7,0)</f>
        <v>20</v>
      </c>
      <c r="U15" s="3">
        <f>VLOOKUP($A15,'UT-II'!$1:$1048576,7,0)</f>
        <v>0</v>
      </c>
      <c r="V15" s="3">
        <f>VLOOKUP($A15,ANNUAL!$1:$1048576,7,0)</f>
        <v>40</v>
      </c>
      <c r="W15" s="3" t="str">
        <f>VLOOKUP(A15,'UT-I'!$A$1:$EA$1758,8,0)</f>
        <v>NA</v>
      </c>
      <c r="X15" s="3">
        <f>VLOOKUP($A15,'HALF YEARLY'!$1:$1048576,8,0)</f>
        <v>38</v>
      </c>
      <c r="Y15" s="3">
        <f>VLOOKUP($A15,'UT-II'!$1:$1048576,8,0)</f>
        <v>0</v>
      </c>
      <c r="Z15" s="3">
        <f>VLOOKUP($A15,ANNUAL!$1:$1048576,8,0)</f>
        <v>30</v>
      </c>
      <c r="AA15" s="3" t="str">
        <f>VLOOKUP(A15,'UT-I'!$A$1:$EA$1758,9,0)</f>
        <v>NA</v>
      </c>
      <c r="AB15" s="3">
        <f>VLOOKUP($A15,'HALF YEARLY'!$1:$1048576,9,0)</f>
        <v>34</v>
      </c>
      <c r="AC15" s="3">
        <f>VLOOKUP($A15,'UT-II'!$1:$1048576,9,0)</f>
        <v>0</v>
      </c>
      <c r="AD15" s="3">
        <f>VLOOKUP($A15,ANNUAL!$1:$1048576,9,0)</f>
        <v>45</v>
      </c>
      <c r="AE15" s="3" t="str">
        <f>VLOOKUP(A15,'UT-I'!$A$1:$EA$1758,10,0)</f>
        <v>NA</v>
      </c>
      <c r="AF15" s="3">
        <f>VLOOKUP($A15,'HALF YEARLY'!$1:$1048576,10,0)</f>
        <v>20</v>
      </c>
      <c r="AG15" s="3">
        <f>VLOOKUP($A15,'UT-II'!$1:$1048576,10,0)</f>
        <v>0</v>
      </c>
      <c r="AH15" s="3">
        <f>VLOOKUP($A15,ANNUAL!$1:$1048576,10,0)</f>
        <v>45</v>
      </c>
      <c r="AI15" s="3" t="str">
        <f>VLOOKUP(A15,'UT-I'!$A$1:$EA$1758,11,0)</f>
        <v>NA</v>
      </c>
      <c r="AJ15" s="3">
        <f>VLOOKUP($A15,'HALF YEARLY'!$1:$1048576,11,0)</f>
        <v>20</v>
      </c>
      <c r="AK15" s="3">
        <f>VLOOKUP($A15,'UT-II'!$1:$1048576,11,0)</f>
        <v>0</v>
      </c>
      <c r="AL15" s="3">
        <f>VLOOKUP($A15,ANNUAL!$1:$1048576,11,0)</f>
        <v>50</v>
      </c>
      <c r="AM15" s="3" t="str">
        <f>VLOOKUP(A15,'UT-I'!$A$1:$EA$1758,12,0)</f>
        <v>NA</v>
      </c>
      <c r="AN15" s="3">
        <f>VLOOKUP($A15,'HALF YEARLY'!$1:$1048576,12,0)</f>
        <v>30</v>
      </c>
      <c r="AO15" s="3">
        <f>VLOOKUP($A15,'UT-II'!$1:$1048576,12,0)</f>
        <v>0</v>
      </c>
      <c r="AP15" s="3">
        <f>VLOOKUP($A15,ANNUAL!$1:$1048576,12,0)</f>
        <v>40</v>
      </c>
      <c r="AQ15" s="3" t="str">
        <f>VLOOKUP(A15,'UT-I'!$A$1:$EA$1758,13,0)</f>
        <v>NA</v>
      </c>
      <c r="AR15" s="3" t="str">
        <f>VLOOKUP($A15,'HALF YEARLY'!$1:$1048576,13,0)</f>
        <v>D</v>
      </c>
      <c r="AS15" s="3">
        <f>VLOOKUP($A15,'UT-II'!$1:$1048576,13,0)</f>
        <v>0</v>
      </c>
      <c r="AT15" s="3" t="str">
        <f>VLOOKUP($A15,ANNUAL!$1:$1048576,13,0)</f>
        <v>A</v>
      </c>
      <c r="AU15" s="3" t="str">
        <f>VLOOKUP(A15,'UT-I'!$A$1:$EA$1758,14,0)</f>
        <v>NA</v>
      </c>
      <c r="AV15" s="3" t="str">
        <f>VLOOKUP($A15,'HALF YEARLY'!$1:$1048576,14,0)</f>
        <v>A</v>
      </c>
      <c r="AW15" s="3">
        <f>VLOOKUP($A15,'UT-II'!$1:$1048576,14,0)</f>
        <v>0</v>
      </c>
      <c r="AX15" s="3" t="str">
        <f>VLOOKUP($A15,ANNUAL!$1:$1048576,14,0)</f>
        <v>A</v>
      </c>
      <c r="AY15" s="3" t="str">
        <f>VLOOKUP(A15,'UT-I'!$A$1:$EA$1758,15,0)</f>
        <v>NA</v>
      </c>
      <c r="AZ15" s="3" t="str">
        <f>VLOOKUP($A15,'HALF YEARLY'!$1:$1048576,15,0)</f>
        <v>C</v>
      </c>
      <c r="BA15" s="3">
        <f>VLOOKUP($A15,'UT-II'!$1:$1048576,15,0)</f>
        <v>0</v>
      </c>
      <c r="BB15" s="3" t="str">
        <f>VLOOKUP($A15,ANNUAL!$1:$1048576,15,0)</f>
        <v>A</v>
      </c>
      <c r="BC15" s="3" t="str">
        <f>VLOOKUP(A15,'UT-I'!$A$1:$EA$1758,16,0)</f>
        <v>NA</v>
      </c>
      <c r="BD15" s="3" t="str">
        <f>VLOOKUP($A15,'HALF YEARLY'!$1:$1048576,16,0)</f>
        <v>A</v>
      </c>
      <c r="BE15" s="3">
        <f>VLOOKUP($A15,'UT-II'!$1:$1048576,16,0)</f>
        <v>0</v>
      </c>
      <c r="BF15" s="3" t="str">
        <f>VLOOKUP($A15,ANNUAL!$1:$1048576,16,0)</f>
        <v>A</v>
      </c>
      <c r="BG15" s="3" t="str">
        <f>VLOOKUP(A15,'UT-I'!$A$1:$EA$1758,17,0)</f>
        <v>NA</v>
      </c>
      <c r="BH15" s="3">
        <f>VLOOKUP($A15,'HALF YEARLY'!$1:$1048576,17,0)</f>
        <v>298</v>
      </c>
      <c r="BI15" s="3">
        <f>VLOOKUP($A15,'UT-II'!$1:$1048576,17,0)</f>
        <v>0</v>
      </c>
      <c r="BJ15" s="3" t="str">
        <f>VLOOKUP($A15,ANNUAL!$1:$1048576,17,0)</f>
        <v>A</v>
      </c>
      <c r="BK15" s="3">
        <f>VLOOKUP($A15,ANNUAL!$1:$1048576,18,0)</f>
        <v>107</v>
      </c>
      <c r="BL15" s="3">
        <f>VLOOKUP($A15,ANNUAL!$1:$1048576,19,0)</f>
        <v>167</v>
      </c>
      <c r="BM15" s="3" t="str">
        <f>VLOOKUP($A15,ANNUAL!$1:$1048576,20,0)</f>
        <v>Great Potential- Stay Focused!</v>
      </c>
    </row>
    <row r="16" spans="1:65">
      <c r="A16" s="1">
        <f>DETAILS!A9</f>
        <v>1882</v>
      </c>
      <c r="B16" s="3" t="str">
        <f>DETAILS!B9</f>
        <v>ATHRAV SINGH</v>
      </c>
      <c r="C16" s="3">
        <f>VLOOKUP(A16,'UT-I'!$A$1:$EA$1758,3,0)</f>
        <v>49</v>
      </c>
      <c r="D16" s="3">
        <f>VLOOKUP($A16,'HALF YEARLY'!$1:$1048576,3,0)</f>
        <v>50</v>
      </c>
      <c r="E16" s="3">
        <f>VLOOKUP($A16,'UT-II'!$1:$1048576,3,0)</f>
        <v>0</v>
      </c>
      <c r="F16" s="3">
        <f>VLOOKUP($A16,ANNUAL!$1:$1048576,3,0)</f>
        <v>0</v>
      </c>
      <c r="G16" s="3">
        <f>VLOOKUP(A16,'UT-I'!$A$1:$EA$1758,4,0)</f>
        <v>50</v>
      </c>
      <c r="H16" s="3">
        <f>VLOOKUP($A16,'HALF YEARLY'!$1:$1048576,4,0)</f>
        <v>50</v>
      </c>
      <c r="I16" s="3">
        <f>VLOOKUP($A16,'UT-II'!$1:$1048576,4,0)</f>
        <v>0</v>
      </c>
      <c r="J16" s="3">
        <f>VLOOKUP($A16,ANNUAL!$1:$1048576,4,0)</f>
        <v>0</v>
      </c>
      <c r="K16" s="3">
        <f>VLOOKUP(A16,'UT-I'!$A$1:$EA$1758,5,0)</f>
        <v>48</v>
      </c>
      <c r="L16" s="3">
        <f>VLOOKUP($A16,'HALF YEARLY'!$1:$1048576,5,0)</f>
        <v>47</v>
      </c>
      <c r="M16" s="3">
        <f>VLOOKUP($A16,'UT-II'!$1:$1048576,5,0)</f>
        <v>0</v>
      </c>
      <c r="N16" s="3">
        <f>VLOOKUP($A16,ANNUAL!$1:$1048576,5,0)</f>
        <v>0</v>
      </c>
      <c r="O16" s="3">
        <f>VLOOKUP(A16,'UT-I'!$A$1:$EA$1758,6,0)</f>
        <v>50</v>
      </c>
      <c r="P16" s="3">
        <f>VLOOKUP($A16,'HALF YEARLY'!$1:$1048576,6,0)</f>
        <v>50</v>
      </c>
      <c r="Q16" s="3">
        <f>VLOOKUP($A16,'UT-II'!$1:$1048576,6,0)</f>
        <v>0</v>
      </c>
      <c r="R16" s="3">
        <f>VLOOKUP($A16,ANNUAL!$1:$1048576,6,0)</f>
        <v>0</v>
      </c>
      <c r="S16" s="3">
        <f>VLOOKUP(A16,'UT-I'!$A$1:$EA$1758,7,0)</f>
        <v>50</v>
      </c>
      <c r="T16" s="3">
        <f>VLOOKUP($A16,'HALF YEARLY'!$1:$1048576,7,0)</f>
        <v>50</v>
      </c>
      <c r="U16" s="3">
        <f>VLOOKUP($A16,'UT-II'!$1:$1048576,7,0)</f>
        <v>0</v>
      </c>
      <c r="V16" s="3">
        <f>VLOOKUP($A16,ANNUAL!$1:$1048576,7,0)</f>
        <v>0</v>
      </c>
      <c r="W16" s="3">
        <f>VLOOKUP(A16,'UT-I'!$A$1:$EA$1758,8,0)</f>
        <v>48</v>
      </c>
      <c r="X16" s="3">
        <f>VLOOKUP($A16,'HALF YEARLY'!$1:$1048576,8,0)</f>
        <v>49</v>
      </c>
      <c r="Y16" s="3">
        <f>VLOOKUP($A16,'UT-II'!$1:$1048576,8,0)</f>
        <v>0</v>
      </c>
      <c r="Z16" s="3">
        <f>VLOOKUP($A16,ANNUAL!$1:$1048576,8,0)</f>
        <v>0</v>
      </c>
      <c r="AA16" s="3">
        <f>VLOOKUP(A16,'UT-I'!$A$1:$EA$1758,9,0)</f>
        <v>48</v>
      </c>
      <c r="AB16" s="3">
        <f>VLOOKUP($A16,'HALF YEARLY'!$1:$1048576,9,0)</f>
        <v>50</v>
      </c>
      <c r="AC16" s="3">
        <f>VLOOKUP($A16,'UT-II'!$1:$1048576,9,0)</f>
        <v>0</v>
      </c>
      <c r="AD16" s="3">
        <f>VLOOKUP($A16,ANNUAL!$1:$1048576,9,0)</f>
        <v>0</v>
      </c>
      <c r="AE16" s="3">
        <f>VLOOKUP(A16,'UT-I'!$A$1:$EA$1758,10,0)</f>
        <v>50</v>
      </c>
      <c r="AF16" s="3">
        <f>VLOOKUP($A16,'HALF YEARLY'!$1:$1048576,10,0)</f>
        <v>50</v>
      </c>
      <c r="AG16" s="3">
        <f>VLOOKUP($A16,'UT-II'!$1:$1048576,10,0)</f>
        <v>0</v>
      </c>
      <c r="AH16" s="3">
        <f>VLOOKUP($A16,ANNUAL!$1:$1048576,10,0)</f>
        <v>0</v>
      </c>
      <c r="AI16" s="3">
        <f>VLOOKUP(A16,'UT-I'!$A$1:$EA$1758,11,0)</f>
        <v>50</v>
      </c>
      <c r="AJ16" s="3">
        <f>VLOOKUP($A16,'HALF YEARLY'!$1:$1048576,11,0)</f>
        <v>50</v>
      </c>
      <c r="AK16" s="3">
        <f>VLOOKUP($A16,'UT-II'!$1:$1048576,11,0)</f>
        <v>0</v>
      </c>
      <c r="AL16" s="3">
        <f>VLOOKUP($A16,ANNUAL!$1:$1048576,11,0)</f>
        <v>0</v>
      </c>
      <c r="AM16" s="3">
        <f>VLOOKUP(A16,'UT-I'!$A$1:$EA$1758,12,0)</f>
        <v>50</v>
      </c>
      <c r="AN16" s="3">
        <f>VLOOKUP($A16,'HALF YEARLY'!$1:$1048576,12,0)</f>
        <v>50</v>
      </c>
      <c r="AO16" s="3">
        <f>VLOOKUP($A16,'UT-II'!$1:$1048576,12,0)</f>
        <v>0</v>
      </c>
      <c r="AP16" s="3">
        <f>VLOOKUP($A16,ANNUAL!$1:$1048576,12,0)</f>
        <v>0</v>
      </c>
      <c r="AQ16" s="3" t="str">
        <f>VLOOKUP(A16,'UT-I'!$A$1:$EA$1758,13,0)</f>
        <v>A</v>
      </c>
      <c r="AR16" s="3" t="str">
        <f>VLOOKUP($A16,'HALF YEARLY'!$1:$1048576,13,0)</f>
        <v>A</v>
      </c>
      <c r="AS16" s="3">
        <f>VLOOKUP($A16,'UT-II'!$1:$1048576,13,0)</f>
        <v>0</v>
      </c>
      <c r="AT16" s="3">
        <f>VLOOKUP($A16,ANNUAL!$1:$1048576,13,0)</f>
        <v>0</v>
      </c>
      <c r="AU16" s="3" t="str">
        <f>VLOOKUP(A16,'UT-I'!$A$1:$EA$1758,14,0)</f>
        <v>A</v>
      </c>
      <c r="AV16" s="3" t="str">
        <f>VLOOKUP($A16,'HALF YEARLY'!$1:$1048576,14,0)</f>
        <v>A</v>
      </c>
      <c r="AW16" s="3">
        <f>VLOOKUP($A16,'UT-II'!$1:$1048576,14,0)</f>
        <v>0</v>
      </c>
      <c r="AX16" s="3">
        <f>VLOOKUP($A16,ANNUAL!$1:$1048576,14,0)</f>
        <v>0</v>
      </c>
      <c r="AY16" s="3" t="str">
        <f>VLOOKUP(A16,'UT-I'!$A$1:$EA$1758,15,0)</f>
        <v>A</v>
      </c>
      <c r="AZ16" s="3" t="str">
        <f>VLOOKUP($A16,'HALF YEARLY'!$1:$1048576,15,0)</f>
        <v>A</v>
      </c>
      <c r="BA16" s="3">
        <f>VLOOKUP($A16,'UT-II'!$1:$1048576,15,0)</f>
        <v>0</v>
      </c>
      <c r="BB16" s="3">
        <f>VLOOKUP($A16,ANNUAL!$1:$1048576,15,0)</f>
        <v>0</v>
      </c>
      <c r="BC16" s="3" t="str">
        <f>VLOOKUP(A16,'UT-I'!$A$1:$EA$1758,16,0)</f>
        <v>A</v>
      </c>
      <c r="BD16" s="3" t="str">
        <f>VLOOKUP($A16,'HALF YEARLY'!$1:$1048576,16,0)</f>
        <v>A</v>
      </c>
      <c r="BE16" s="3">
        <f>VLOOKUP($A16,'UT-II'!$1:$1048576,16,0)</f>
        <v>0</v>
      </c>
      <c r="BF16" s="3">
        <f>VLOOKUP($A16,ANNUAL!$1:$1048576,16,0)</f>
        <v>0</v>
      </c>
      <c r="BG16" s="3">
        <f>VLOOKUP(A16,'UT-I'!$A$1:$EA$1758,17,0)</f>
        <v>493</v>
      </c>
      <c r="BH16" s="3">
        <f>VLOOKUP($A16,'HALF YEARLY'!$1:$1048576,17,0)</f>
        <v>496</v>
      </c>
      <c r="BI16" s="3">
        <f>VLOOKUP($A16,'UT-II'!$1:$1048576,17,0)</f>
        <v>0</v>
      </c>
      <c r="BJ16" s="3">
        <f>VLOOKUP($A16,ANNUAL!$1:$1048576,17,0)</f>
        <v>0</v>
      </c>
      <c r="BK16" s="3">
        <f>VLOOKUP($A16,ANNUAL!$1:$1048576,18,0)</f>
        <v>0</v>
      </c>
      <c r="BL16" s="3">
        <f>VLOOKUP($A16,ANNUAL!$1:$1048576,19,0)</f>
        <v>0</v>
      </c>
      <c r="BM16" s="3">
        <f>VLOOKUP($A16,ANNUAL!$1:$1048576,20,0)</f>
        <v>0</v>
      </c>
    </row>
    <row r="17" spans="1:65">
      <c r="A17" s="1">
        <f>DETAILS!A10</f>
        <v>1954</v>
      </c>
      <c r="B17" s="3" t="str">
        <f>DETAILS!B10</f>
        <v>AVANTIKA</v>
      </c>
      <c r="C17" s="3" t="str">
        <f>VLOOKUP(A17,'UT-I'!$A$1:$EA$1758,3,0)</f>
        <v>NA</v>
      </c>
      <c r="D17" s="3">
        <f>VLOOKUP($A17,'HALF YEARLY'!$1:$1048576,3,0)</f>
        <v>44</v>
      </c>
      <c r="E17" s="3">
        <f>VLOOKUP($A17,'UT-II'!$1:$1048576,3,0)</f>
        <v>0</v>
      </c>
      <c r="F17" s="3">
        <f>VLOOKUP($A17,ANNUAL!$1:$1048576,3,0)</f>
        <v>49</v>
      </c>
      <c r="G17" s="3" t="str">
        <f>VLOOKUP(A17,'UT-I'!$A$1:$EA$1758,4,0)</f>
        <v>NA</v>
      </c>
      <c r="H17" s="3">
        <f>VLOOKUP($A17,'HALF YEARLY'!$1:$1048576,4,0)</f>
        <v>20</v>
      </c>
      <c r="I17" s="3">
        <f>VLOOKUP($A17,'UT-II'!$1:$1048576,4,0)</f>
        <v>0</v>
      </c>
      <c r="J17" s="3">
        <f>VLOOKUP($A17,ANNUAL!$1:$1048576,4,0)</f>
        <v>50</v>
      </c>
      <c r="K17" s="3" t="str">
        <f>VLOOKUP(A17,'UT-I'!$A$1:$EA$1758,5,0)</f>
        <v>NA</v>
      </c>
      <c r="L17" s="3">
        <f>VLOOKUP($A17,'HALF YEARLY'!$1:$1048576,5,0)</f>
        <v>42</v>
      </c>
      <c r="M17" s="3">
        <f>VLOOKUP($A17,'UT-II'!$1:$1048576,5,0)</f>
        <v>0</v>
      </c>
      <c r="N17" s="3">
        <f>VLOOKUP($A17,ANNUAL!$1:$1048576,5,0)</f>
        <v>43</v>
      </c>
      <c r="O17" s="3" t="str">
        <f>VLOOKUP(A17,'UT-I'!$A$1:$EA$1758,6,0)</f>
        <v>NA</v>
      </c>
      <c r="P17" s="3">
        <f>VLOOKUP($A17,'HALF YEARLY'!$1:$1048576,6,0)</f>
        <v>40</v>
      </c>
      <c r="Q17" s="3">
        <f>VLOOKUP($A17,'UT-II'!$1:$1048576,6,0)</f>
        <v>0</v>
      </c>
      <c r="R17" s="3">
        <f>VLOOKUP($A17,ANNUAL!$1:$1048576,6,0)</f>
        <v>48</v>
      </c>
      <c r="S17" s="3" t="str">
        <f>VLOOKUP(A17,'UT-I'!$A$1:$EA$1758,7,0)</f>
        <v>NA</v>
      </c>
      <c r="T17" s="3">
        <f>VLOOKUP($A17,'HALF YEARLY'!$1:$1048576,7,0)</f>
        <v>30</v>
      </c>
      <c r="U17" s="3">
        <f>VLOOKUP($A17,'UT-II'!$1:$1048576,7,0)</f>
        <v>0</v>
      </c>
      <c r="V17" s="3">
        <f>VLOOKUP($A17,ANNUAL!$1:$1048576,7,0)</f>
        <v>49</v>
      </c>
      <c r="W17" s="3" t="str">
        <f>VLOOKUP(A17,'UT-I'!$A$1:$EA$1758,8,0)</f>
        <v>NA</v>
      </c>
      <c r="X17" s="3">
        <f>VLOOKUP($A17,'HALF YEARLY'!$1:$1048576,8,0)</f>
        <v>40</v>
      </c>
      <c r="Y17" s="3">
        <f>VLOOKUP($A17,'UT-II'!$1:$1048576,8,0)</f>
        <v>0</v>
      </c>
      <c r="Z17" s="3">
        <f>VLOOKUP($A17,ANNUAL!$1:$1048576,8,0)</f>
        <v>48</v>
      </c>
      <c r="AA17" s="3" t="str">
        <f>VLOOKUP(A17,'UT-I'!$A$1:$EA$1758,9,0)</f>
        <v>NA</v>
      </c>
      <c r="AB17" s="3">
        <f>VLOOKUP($A17,'HALF YEARLY'!$1:$1048576,9,0)</f>
        <v>33</v>
      </c>
      <c r="AC17" s="3">
        <f>VLOOKUP($A17,'UT-II'!$1:$1048576,9,0)</f>
        <v>0</v>
      </c>
      <c r="AD17" s="3">
        <f>VLOOKUP($A17,ANNUAL!$1:$1048576,9,0)</f>
        <v>48</v>
      </c>
      <c r="AE17" s="3" t="str">
        <f>VLOOKUP(A17,'UT-I'!$A$1:$EA$1758,10,0)</f>
        <v>NA</v>
      </c>
      <c r="AF17" s="3">
        <f>VLOOKUP($A17,'HALF YEARLY'!$1:$1048576,10,0)</f>
        <v>20</v>
      </c>
      <c r="AG17" s="3">
        <f>VLOOKUP($A17,'UT-II'!$1:$1048576,10,0)</f>
        <v>0</v>
      </c>
      <c r="AH17" s="3">
        <f>VLOOKUP($A17,ANNUAL!$1:$1048576,10,0)</f>
        <v>48</v>
      </c>
      <c r="AI17" s="3" t="str">
        <f>VLOOKUP(A17,'UT-I'!$A$1:$EA$1758,11,0)</f>
        <v>NA</v>
      </c>
      <c r="AJ17" s="3">
        <f>VLOOKUP($A17,'HALF YEARLY'!$1:$1048576,11,0)</f>
        <v>20</v>
      </c>
      <c r="AK17" s="3">
        <f>VLOOKUP($A17,'UT-II'!$1:$1048576,11,0)</f>
        <v>0</v>
      </c>
      <c r="AL17" s="3">
        <f>VLOOKUP($A17,ANNUAL!$1:$1048576,11,0)</f>
        <v>40</v>
      </c>
      <c r="AM17" s="3" t="str">
        <f>VLOOKUP(A17,'UT-I'!$A$1:$EA$1758,12,0)</f>
        <v>NA</v>
      </c>
      <c r="AN17" s="3">
        <f>VLOOKUP($A17,'HALF YEARLY'!$1:$1048576,12,0)</f>
        <v>30</v>
      </c>
      <c r="AO17" s="3">
        <f>VLOOKUP($A17,'UT-II'!$1:$1048576,12,0)</f>
        <v>0</v>
      </c>
      <c r="AP17" s="3">
        <f>VLOOKUP($A17,ANNUAL!$1:$1048576,12,0)</f>
        <v>50</v>
      </c>
      <c r="AQ17" s="3" t="str">
        <f>VLOOKUP(A17,'UT-I'!$A$1:$EA$1758,13,0)</f>
        <v>NA</v>
      </c>
      <c r="AR17" s="3" t="str">
        <f>VLOOKUP($A17,'HALF YEARLY'!$1:$1048576,13,0)</f>
        <v>D</v>
      </c>
      <c r="AS17" s="3">
        <f>VLOOKUP($A17,'UT-II'!$1:$1048576,13,0)</f>
        <v>0</v>
      </c>
      <c r="AT17" s="3" t="str">
        <f>VLOOKUP($A17,ANNUAL!$1:$1048576,13,0)</f>
        <v>A</v>
      </c>
      <c r="AU17" s="3" t="str">
        <f>VLOOKUP(A17,'UT-I'!$A$1:$EA$1758,14,0)</f>
        <v>NA</v>
      </c>
      <c r="AV17" s="3" t="str">
        <f>VLOOKUP($A17,'HALF YEARLY'!$1:$1048576,14,0)</f>
        <v>A</v>
      </c>
      <c r="AW17" s="3">
        <f>VLOOKUP($A17,'UT-II'!$1:$1048576,14,0)</f>
        <v>0</v>
      </c>
      <c r="AX17" s="3" t="str">
        <f>VLOOKUP($A17,ANNUAL!$1:$1048576,14,0)</f>
        <v>A</v>
      </c>
      <c r="AY17" s="3" t="str">
        <f>VLOOKUP(A17,'UT-I'!$A$1:$EA$1758,15,0)</f>
        <v>NA</v>
      </c>
      <c r="AZ17" s="3" t="str">
        <f>VLOOKUP($A17,'HALF YEARLY'!$1:$1048576,15,0)</f>
        <v>B</v>
      </c>
      <c r="BA17" s="3">
        <f>VLOOKUP($A17,'UT-II'!$1:$1048576,15,0)</f>
        <v>0</v>
      </c>
      <c r="BB17" s="3" t="str">
        <f>VLOOKUP($A17,ANNUAL!$1:$1048576,15,0)</f>
        <v>A</v>
      </c>
      <c r="BC17" s="3" t="str">
        <f>VLOOKUP(A17,'UT-I'!$A$1:$EA$1758,16,0)</f>
        <v>NA</v>
      </c>
      <c r="BD17" s="3" t="str">
        <f>VLOOKUP($A17,'HALF YEARLY'!$1:$1048576,16,0)</f>
        <v>A</v>
      </c>
      <c r="BE17" s="3">
        <f>VLOOKUP($A17,'UT-II'!$1:$1048576,16,0)</f>
        <v>0</v>
      </c>
      <c r="BF17" s="3" t="str">
        <f>VLOOKUP($A17,ANNUAL!$1:$1048576,16,0)</f>
        <v>A</v>
      </c>
      <c r="BG17" s="3">
        <f>VLOOKUP(A17,'UT-I'!$A$1:$EA$1758,17,0)</f>
        <v>0</v>
      </c>
      <c r="BH17" s="3">
        <f>VLOOKUP($A17,'HALF YEARLY'!$1:$1048576,17,0)</f>
        <v>319</v>
      </c>
      <c r="BI17" s="3">
        <f>VLOOKUP($A17,'UT-II'!$1:$1048576,17,0)</f>
        <v>0</v>
      </c>
      <c r="BJ17" s="3" t="str">
        <f>VLOOKUP($A17,ANNUAL!$1:$1048576,17,0)</f>
        <v>A</v>
      </c>
      <c r="BK17" s="3">
        <f>VLOOKUP($A17,ANNUAL!$1:$1048576,18,0)</f>
        <v>160</v>
      </c>
      <c r="BL17" s="3">
        <f>VLOOKUP($A17,ANNUAL!$1:$1048576,19,0)</f>
        <v>214</v>
      </c>
      <c r="BM17" s="3" t="str">
        <f>VLOOKUP($A17,ANNUAL!$1:$1048576,20,0)</f>
        <v>Excellent progress this year!</v>
      </c>
    </row>
    <row r="18" spans="1:65">
      <c r="A18" s="1" t="e">
        <f>DETAILS!#REF!</f>
        <v>#REF!</v>
      </c>
      <c r="B18" s="3" t="e">
        <f>DETAILS!#REF!</f>
        <v>#REF!</v>
      </c>
      <c r="C18" s="3" t="e">
        <f>VLOOKUP(A18,'UT-I'!$A$1:$EA$1758,3,0)</f>
        <v>#REF!</v>
      </c>
      <c r="D18" s="3" t="e">
        <f>VLOOKUP($A18,'HALF YEARLY'!$1:$1048576,3,0)</f>
        <v>#REF!</v>
      </c>
      <c r="E18" s="3" t="e">
        <f>VLOOKUP($A18,'UT-II'!$1:$1048576,3,0)</f>
        <v>#REF!</v>
      </c>
      <c r="F18" s="3" t="e">
        <f>VLOOKUP($A18,ANNUAL!$1:$1048576,3,0)</f>
        <v>#REF!</v>
      </c>
      <c r="G18" s="3" t="e">
        <f>VLOOKUP(A18,'UT-I'!$A$1:$EA$1758,4,0)</f>
        <v>#REF!</v>
      </c>
      <c r="H18" s="3" t="e">
        <f>VLOOKUP($A18,'HALF YEARLY'!$1:$1048576,4,0)</f>
        <v>#REF!</v>
      </c>
      <c r="I18" s="3" t="e">
        <f>VLOOKUP($A18,'UT-II'!$1:$1048576,4,0)</f>
        <v>#REF!</v>
      </c>
      <c r="J18" s="3" t="e">
        <f>VLOOKUP($A18,ANNUAL!$1:$1048576,4,0)</f>
        <v>#REF!</v>
      </c>
      <c r="K18" s="3" t="e">
        <f>VLOOKUP(A18,'UT-I'!$A$1:$EA$1758,5,0)</f>
        <v>#REF!</v>
      </c>
      <c r="L18" s="3" t="e">
        <f>VLOOKUP($A18,'HALF YEARLY'!$1:$1048576,5,0)</f>
        <v>#REF!</v>
      </c>
      <c r="M18" s="3" t="e">
        <f>VLOOKUP($A18,'UT-II'!$1:$1048576,5,0)</f>
        <v>#REF!</v>
      </c>
      <c r="N18" s="3" t="e">
        <f>VLOOKUP($A18,ANNUAL!$1:$1048576,5,0)</f>
        <v>#REF!</v>
      </c>
      <c r="O18" s="3" t="e">
        <f>VLOOKUP(A18,'UT-I'!$A$1:$EA$1758,6,0)</f>
        <v>#REF!</v>
      </c>
      <c r="P18" s="3" t="e">
        <f>VLOOKUP($A18,'HALF YEARLY'!$1:$1048576,6,0)</f>
        <v>#REF!</v>
      </c>
      <c r="Q18" s="3" t="e">
        <f>VLOOKUP($A18,'UT-II'!$1:$1048576,6,0)</f>
        <v>#REF!</v>
      </c>
      <c r="R18" s="3" t="e">
        <f>VLOOKUP($A18,ANNUAL!$1:$1048576,6,0)</f>
        <v>#REF!</v>
      </c>
      <c r="S18" s="3" t="e">
        <f>VLOOKUP(A18,'UT-I'!$A$1:$EA$1758,7,0)</f>
        <v>#REF!</v>
      </c>
      <c r="T18" s="3" t="e">
        <f>VLOOKUP($A18,'HALF YEARLY'!$1:$1048576,7,0)</f>
        <v>#REF!</v>
      </c>
      <c r="U18" s="3" t="e">
        <f>VLOOKUP($A18,'UT-II'!$1:$1048576,7,0)</f>
        <v>#REF!</v>
      </c>
      <c r="V18" s="3" t="e">
        <f>VLOOKUP($A18,ANNUAL!$1:$1048576,7,0)</f>
        <v>#REF!</v>
      </c>
      <c r="W18" s="3" t="e">
        <f>VLOOKUP(A18,'UT-I'!$A$1:$EA$1758,8,0)</f>
        <v>#REF!</v>
      </c>
      <c r="X18" s="3" t="e">
        <f>VLOOKUP($A18,'HALF YEARLY'!$1:$1048576,8,0)</f>
        <v>#REF!</v>
      </c>
      <c r="Y18" s="3" t="e">
        <f>VLOOKUP($A18,'UT-II'!$1:$1048576,8,0)</f>
        <v>#REF!</v>
      </c>
      <c r="Z18" s="3" t="e">
        <f>VLOOKUP($A18,ANNUAL!$1:$1048576,8,0)</f>
        <v>#REF!</v>
      </c>
      <c r="AA18" s="3" t="e">
        <f>VLOOKUP(A18,'UT-I'!$A$1:$EA$1758,9,0)</f>
        <v>#REF!</v>
      </c>
      <c r="AB18" s="3" t="e">
        <f>VLOOKUP($A18,'HALF YEARLY'!$1:$1048576,9,0)</f>
        <v>#REF!</v>
      </c>
      <c r="AC18" s="3" t="e">
        <f>VLOOKUP($A18,'UT-II'!$1:$1048576,9,0)</f>
        <v>#REF!</v>
      </c>
      <c r="AD18" s="3" t="e">
        <f>VLOOKUP($A18,ANNUAL!$1:$1048576,9,0)</f>
        <v>#REF!</v>
      </c>
      <c r="AE18" s="3" t="e">
        <f>VLOOKUP(A18,'UT-I'!$A$1:$EA$1758,10,0)</f>
        <v>#REF!</v>
      </c>
      <c r="AF18" s="3" t="e">
        <f>VLOOKUP($A18,'HALF YEARLY'!$1:$1048576,10,0)</f>
        <v>#REF!</v>
      </c>
      <c r="AG18" s="3" t="e">
        <f>VLOOKUP($A18,'UT-II'!$1:$1048576,10,0)</f>
        <v>#REF!</v>
      </c>
      <c r="AH18" s="3" t="e">
        <f>VLOOKUP($A18,ANNUAL!$1:$1048576,10,0)</f>
        <v>#REF!</v>
      </c>
      <c r="AI18" s="3" t="e">
        <f>VLOOKUP(A18,'UT-I'!$A$1:$EA$1758,11,0)</f>
        <v>#REF!</v>
      </c>
      <c r="AJ18" s="3" t="e">
        <f>VLOOKUP($A18,'HALF YEARLY'!$1:$1048576,11,0)</f>
        <v>#REF!</v>
      </c>
      <c r="AK18" s="3" t="e">
        <f>VLOOKUP($A18,'UT-II'!$1:$1048576,11,0)</f>
        <v>#REF!</v>
      </c>
      <c r="AL18" s="3" t="e">
        <f>VLOOKUP($A18,ANNUAL!$1:$1048576,11,0)</f>
        <v>#REF!</v>
      </c>
      <c r="AM18" s="3" t="e">
        <f>VLOOKUP(A18,'UT-I'!$A$1:$EA$1758,12,0)</f>
        <v>#REF!</v>
      </c>
      <c r="AN18" s="3" t="e">
        <f>VLOOKUP($A18,'HALF YEARLY'!$1:$1048576,12,0)</f>
        <v>#REF!</v>
      </c>
      <c r="AO18" s="3" t="e">
        <f>VLOOKUP($A18,'UT-II'!$1:$1048576,12,0)</f>
        <v>#REF!</v>
      </c>
      <c r="AP18" s="3" t="e">
        <f>VLOOKUP($A18,ANNUAL!$1:$1048576,12,0)</f>
        <v>#REF!</v>
      </c>
      <c r="AQ18" s="3" t="e">
        <f>VLOOKUP(A18,'UT-I'!$A$1:$EA$1758,13,0)</f>
        <v>#REF!</v>
      </c>
      <c r="AR18" s="3" t="e">
        <f>VLOOKUP($A18,'HALF YEARLY'!$1:$1048576,13,0)</f>
        <v>#REF!</v>
      </c>
      <c r="AS18" s="3" t="e">
        <f>VLOOKUP($A18,'UT-II'!$1:$1048576,13,0)</f>
        <v>#REF!</v>
      </c>
      <c r="AT18" s="3" t="e">
        <f>VLOOKUP($A18,ANNUAL!$1:$1048576,13,0)</f>
        <v>#REF!</v>
      </c>
      <c r="AU18" s="3" t="e">
        <f>VLOOKUP(A18,'UT-I'!$A$1:$EA$1758,14,0)</f>
        <v>#REF!</v>
      </c>
      <c r="AV18" s="3" t="e">
        <f>VLOOKUP($A18,'HALF YEARLY'!$1:$1048576,14,0)</f>
        <v>#REF!</v>
      </c>
      <c r="AW18" s="3" t="e">
        <f>VLOOKUP($A18,'UT-II'!$1:$1048576,14,0)</f>
        <v>#REF!</v>
      </c>
      <c r="AX18" s="3" t="e">
        <f>VLOOKUP($A18,ANNUAL!$1:$1048576,14,0)</f>
        <v>#REF!</v>
      </c>
      <c r="AY18" s="3" t="e">
        <f>VLOOKUP(A18,'UT-I'!$A$1:$EA$1758,15,0)</f>
        <v>#REF!</v>
      </c>
      <c r="AZ18" s="3" t="e">
        <f>VLOOKUP($A18,'HALF YEARLY'!$1:$1048576,15,0)</f>
        <v>#REF!</v>
      </c>
      <c r="BA18" s="3" t="e">
        <f>VLOOKUP($A18,'UT-II'!$1:$1048576,15,0)</f>
        <v>#REF!</v>
      </c>
      <c r="BB18" s="3" t="e">
        <f>VLOOKUP($A18,ANNUAL!$1:$1048576,15,0)</f>
        <v>#REF!</v>
      </c>
      <c r="BC18" s="3" t="e">
        <f>VLOOKUP(A18,'UT-I'!$A$1:$EA$1758,16,0)</f>
        <v>#REF!</v>
      </c>
      <c r="BD18" s="3" t="e">
        <f>VLOOKUP($A18,'HALF YEARLY'!$1:$1048576,16,0)</f>
        <v>#REF!</v>
      </c>
      <c r="BE18" s="3" t="e">
        <f>VLOOKUP($A18,'UT-II'!$1:$1048576,16,0)</f>
        <v>#REF!</v>
      </c>
      <c r="BF18" s="3" t="e">
        <f>VLOOKUP($A18,ANNUAL!$1:$1048576,16,0)</f>
        <v>#REF!</v>
      </c>
      <c r="BG18" s="3" t="e">
        <f>VLOOKUP(A18,'UT-I'!$A$1:$EA$1758,17,0)</f>
        <v>#REF!</v>
      </c>
      <c r="BH18" s="3" t="e">
        <f>VLOOKUP($A18,'HALF YEARLY'!$1:$1048576,17,0)</f>
        <v>#REF!</v>
      </c>
      <c r="BI18" s="3" t="e">
        <f>VLOOKUP($A18,'UT-II'!$1:$1048576,17,0)</f>
        <v>#REF!</v>
      </c>
      <c r="BJ18" s="3" t="e">
        <f>VLOOKUP($A18,ANNUAL!$1:$1048576,17,0)</f>
        <v>#REF!</v>
      </c>
      <c r="BK18" s="3" t="e">
        <f>VLOOKUP($A18,ANNUAL!$1:$1048576,18,0)</f>
        <v>#REF!</v>
      </c>
      <c r="BL18" s="3" t="e">
        <f>VLOOKUP($A18,ANNUAL!$1:$1048576,19,0)</f>
        <v>#REF!</v>
      </c>
      <c r="BM18" s="3" t="e">
        <f>VLOOKUP($A18,ANNUAL!$1:$1048576,20,0)</f>
        <v>#REF!</v>
      </c>
    </row>
    <row r="19" spans="1:65">
      <c r="A19" s="1" t="e">
        <f>DETAILS!#REF!</f>
        <v>#REF!</v>
      </c>
      <c r="B19" s="3" t="e">
        <f>DETAILS!#REF!</f>
        <v>#REF!</v>
      </c>
      <c r="C19" s="3" t="e">
        <f>VLOOKUP(A19,'UT-I'!$A$1:$EA$1758,3,0)</f>
        <v>#REF!</v>
      </c>
      <c r="D19" s="3" t="e">
        <f>VLOOKUP($A19,'HALF YEARLY'!$1:$1048576,3,0)</f>
        <v>#REF!</v>
      </c>
      <c r="E19" s="3" t="e">
        <f>VLOOKUP($A19,'UT-II'!$1:$1048576,3,0)</f>
        <v>#REF!</v>
      </c>
      <c r="F19" s="3" t="e">
        <f>VLOOKUP($A19,ANNUAL!$1:$1048576,3,0)</f>
        <v>#REF!</v>
      </c>
      <c r="G19" s="3" t="e">
        <f>VLOOKUP(A19,'UT-I'!$A$1:$EA$1758,4,0)</f>
        <v>#REF!</v>
      </c>
      <c r="H19" s="3" t="e">
        <f>VLOOKUP($A19,'HALF YEARLY'!$1:$1048576,4,0)</f>
        <v>#REF!</v>
      </c>
      <c r="I19" s="3" t="e">
        <f>VLOOKUP($A19,'UT-II'!$1:$1048576,4,0)</f>
        <v>#REF!</v>
      </c>
      <c r="J19" s="3" t="e">
        <f>VLOOKUP($A19,ANNUAL!$1:$1048576,4,0)</f>
        <v>#REF!</v>
      </c>
      <c r="K19" s="3" t="e">
        <f>VLOOKUP(A19,'UT-I'!$A$1:$EA$1758,5,0)</f>
        <v>#REF!</v>
      </c>
      <c r="L19" s="3" t="e">
        <f>VLOOKUP($A19,'HALF YEARLY'!$1:$1048576,5,0)</f>
        <v>#REF!</v>
      </c>
      <c r="M19" s="3" t="e">
        <f>VLOOKUP($A19,'UT-II'!$1:$1048576,5,0)</f>
        <v>#REF!</v>
      </c>
      <c r="N19" s="3" t="e">
        <f>VLOOKUP($A19,ANNUAL!$1:$1048576,5,0)</f>
        <v>#REF!</v>
      </c>
      <c r="O19" s="3" t="e">
        <f>VLOOKUP(A19,'UT-I'!$A$1:$EA$1758,6,0)</f>
        <v>#REF!</v>
      </c>
      <c r="P19" s="3" t="e">
        <f>VLOOKUP($A19,'HALF YEARLY'!$1:$1048576,6,0)</f>
        <v>#REF!</v>
      </c>
      <c r="Q19" s="3" t="e">
        <f>VLOOKUP($A19,'UT-II'!$1:$1048576,6,0)</f>
        <v>#REF!</v>
      </c>
      <c r="R19" s="3" t="e">
        <f>VLOOKUP($A19,ANNUAL!$1:$1048576,6,0)</f>
        <v>#REF!</v>
      </c>
      <c r="S19" s="3" t="e">
        <f>VLOOKUP(A19,'UT-I'!$A$1:$EA$1758,7,0)</f>
        <v>#REF!</v>
      </c>
      <c r="T19" s="3" t="e">
        <f>VLOOKUP($A19,'HALF YEARLY'!$1:$1048576,7,0)</f>
        <v>#REF!</v>
      </c>
      <c r="U19" s="3" t="e">
        <f>VLOOKUP($A19,'UT-II'!$1:$1048576,7,0)</f>
        <v>#REF!</v>
      </c>
      <c r="V19" s="3" t="e">
        <f>VLOOKUP($A19,ANNUAL!$1:$1048576,7,0)</f>
        <v>#REF!</v>
      </c>
      <c r="W19" s="3" t="e">
        <f>VLOOKUP(A19,'UT-I'!$A$1:$EA$1758,8,0)</f>
        <v>#REF!</v>
      </c>
      <c r="X19" s="3" t="e">
        <f>VLOOKUP($A19,'HALF YEARLY'!$1:$1048576,8,0)</f>
        <v>#REF!</v>
      </c>
      <c r="Y19" s="3" t="e">
        <f>VLOOKUP($A19,'UT-II'!$1:$1048576,8,0)</f>
        <v>#REF!</v>
      </c>
      <c r="Z19" s="3" t="e">
        <f>VLOOKUP($A19,ANNUAL!$1:$1048576,8,0)</f>
        <v>#REF!</v>
      </c>
      <c r="AA19" s="3" t="e">
        <f>VLOOKUP(A19,'UT-I'!$A$1:$EA$1758,9,0)</f>
        <v>#REF!</v>
      </c>
      <c r="AB19" s="3" t="e">
        <f>VLOOKUP($A19,'HALF YEARLY'!$1:$1048576,9,0)</f>
        <v>#REF!</v>
      </c>
      <c r="AC19" s="3" t="e">
        <f>VLOOKUP($A19,'UT-II'!$1:$1048576,9,0)</f>
        <v>#REF!</v>
      </c>
      <c r="AD19" s="3" t="e">
        <f>VLOOKUP($A19,ANNUAL!$1:$1048576,9,0)</f>
        <v>#REF!</v>
      </c>
      <c r="AE19" s="3" t="e">
        <f>VLOOKUP(A19,'UT-I'!$A$1:$EA$1758,10,0)</f>
        <v>#REF!</v>
      </c>
      <c r="AF19" s="3" t="e">
        <f>VLOOKUP($A19,'HALF YEARLY'!$1:$1048576,10,0)</f>
        <v>#REF!</v>
      </c>
      <c r="AG19" s="3" t="e">
        <f>VLOOKUP($A19,'UT-II'!$1:$1048576,10,0)</f>
        <v>#REF!</v>
      </c>
      <c r="AH19" s="3" t="e">
        <f>VLOOKUP($A19,ANNUAL!$1:$1048576,10,0)</f>
        <v>#REF!</v>
      </c>
      <c r="AI19" s="3" t="e">
        <f>VLOOKUP(A19,'UT-I'!$A$1:$EA$1758,11,0)</f>
        <v>#REF!</v>
      </c>
      <c r="AJ19" s="3" t="e">
        <f>VLOOKUP($A19,'HALF YEARLY'!$1:$1048576,11,0)</f>
        <v>#REF!</v>
      </c>
      <c r="AK19" s="3" t="e">
        <f>VLOOKUP($A19,'UT-II'!$1:$1048576,11,0)</f>
        <v>#REF!</v>
      </c>
      <c r="AL19" s="3" t="e">
        <f>VLOOKUP($A19,ANNUAL!$1:$1048576,11,0)</f>
        <v>#REF!</v>
      </c>
      <c r="AM19" s="3" t="e">
        <f>VLOOKUP(A19,'UT-I'!$A$1:$EA$1758,12,0)</f>
        <v>#REF!</v>
      </c>
      <c r="AN19" s="3" t="e">
        <f>VLOOKUP($A19,'HALF YEARLY'!$1:$1048576,12,0)</f>
        <v>#REF!</v>
      </c>
      <c r="AO19" s="3" t="e">
        <f>VLOOKUP($A19,'UT-II'!$1:$1048576,12,0)</f>
        <v>#REF!</v>
      </c>
      <c r="AP19" s="3" t="e">
        <f>VLOOKUP($A19,ANNUAL!$1:$1048576,12,0)</f>
        <v>#REF!</v>
      </c>
      <c r="AQ19" s="3" t="e">
        <f>VLOOKUP(A19,'UT-I'!$A$1:$EA$1758,13,0)</f>
        <v>#REF!</v>
      </c>
      <c r="AR19" s="3" t="e">
        <f>VLOOKUP($A19,'HALF YEARLY'!$1:$1048576,13,0)</f>
        <v>#REF!</v>
      </c>
      <c r="AS19" s="3" t="e">
        <f>VLOOKUP($A19,'UT-II'!$1:$1048576,13,0)</f>
        <v>#REF!</v>
      </c>
      <c r="AT19" s="3" t="e">
        <f>VLOOKUP($A19,ANNUAL!$1:$1048576,13,0)</f>
        <v>#REF!</v>
      </c>
      <c r="AU19" s="3" t="e">
        <f>VLOOKUP(A19,'UT-I'!$A$1:$EA$1758,14,0)</f>
        <v>#REF!</v>
      </c>
      <c r="AV19" s="3" t="e">
        <f>VLOOKUP($A19,'HALF YEARLY'!$1:$1048576,14,0)</f>
        <v>#REF!</v>
      </c>
      <c r="AW19" s="3" t="e">
        <f>VLOOKUP($A19,'UT-II'!$1:$1048576,14,0)</f>
        <v>#REF!</v>
      </c>
      <c r="AX19" s="3" t="e">
        <f>VLOOKUP($A19,ANNUAL!$1:$1048576,14,0)</f>
        <v>#REF!</v>
      </c>
      <c r="AY19" s="3" t="e">
        <f>VLOOKUP(A19,'UT-I'!$A$1:$EA$1758,15,0)</f>
        <v>#REF!</v>
      </c>
      <c r="AZ19" s="3" t="e">
        <f>VLOOKUP($A19,'HALF YEARLY'!$1:$1048576,15,0)</f>
        <v>#REF!</v>
      </c>
      <c r="BA19" s="3" t="e">
        <f>VLOOKUP($A19,'UT-II'!$1:$1048576,15,0)</f>
        <v>#REF!</v>
      </c>
      <c r="BB19" s="3" t="e">
        <f>VLOOKUP($A19,ANNUAL!$1:$1048576,15,0)</f>
        <v>#REF!</v>
      </c>
      <c r="BC19" s="3" t="e">
        <f>VLOOKUP(A19,'UT-I'!$A$1:$EA$1758,16,0)</f>
        <v>#REF!</v>
      </c>
      <c r="BD19" s="3" t="e">
        <f>VLOOKUP($A19,'HALF YEARLY'!$1:$1048576,16,0)</f>
        <v>#REF!</v>
      </c>
      <c r="BE19" s="3" t="e">
        <f>VLOOKUP($A19,'UT-II'!$1:$1048576,16,0)</f>
        <v>#REF!</v>
      </c>
      <c r="BF19" s="3" t="e">
        <f>VLOOKUP($A19,ANNUAL!$1:$1048576,16,0)</f>
        <v>#REF!</v>
      </c>
      <c r="BG19" s="3" t="e">
        <f>VLOOKUP(A19,'UT-I'!$A$1:$EA$1758,17,0)</f>
        <v>#REF!</v>
      </c>
      <c r="BH19" s="3" t="e">
        <f>VLOOKUP($A19,'HALF YEARLY'!$1:$1048576,17,0)</f>
        <v>#REF!</v>
      </c>
      <c r="BI19" s="3" t="e">
        <f>VLOOKUP($A19,'UT-II'!$1:$1048576,17,0)</f>
        <v>#REF!</v>
      </c>
      <c r="BJ19" s="3" t="e">
        <f>VLOOKUP($A19,ANNUAL!$1:$1048576,17,0)</f>
        <v>#REF!</v>
      </c>
      <c r="BK19" s="3" t="e">
        <f>VLOOKUP($A19,ANNUAL!$1:$1048576,18,0)</f>
        <v>#REF!</v>
      </c>
      <c r="BL19" s="3" t="e">
        <f>VLOOKUP($A19,ANNUAL!$1:$1048576,19,0)</f>
        <v>#REF!</v>
      </c>
      <c r="BM19" s="3" t="e">
        <f>VLOOKUP($A19,ANNUAL!$1:$1048576,20,0)</f>
        <v>#REF!</v>
      </c>
    </row>
    <row r="20" spans="1:65">
      <c r="A20" s="1">
        <f>DETAILS!A11</f>
        <v>1923</v>
      </c>
      <c r="B20" s="3" t="str">
        <f>DETAILS!B11</f>
        <v>AVIKA MAURYA</v>
      </c>
      <c r="C20" s="3">
        <f>VLOOKUP(A20,'UT-I'!$A$1:$EA$1758,3,0)</f>
        <v>39</v>
      </c>
      <c r="D20" s="3">
        <f>VLOOKUP($A20,'HALF YEARLY'!$1:$1048576,3,0)</f>
        <v>41</v>
      </c>
      <c r="E20" s="3">
        <f>VLOOKUP($A20,'UT-II'!$1:$1048576,3,0)</f>
        <v>0</v>
      </c>
      <c r="F20" s="3">
        <f>VLOOKUP($A20,ANNUAL!$1:$1048576,3,0)</f>
        <v>50</v>
      </c>
      <c r="G20" s="3">
        <f>VLOOKUP(A20,'UT-I'!$A$1:$EA$1758,4,0)</f>
        <v>40</v>
      </c>
      <c r="H20" s="3">
        <f>VLOOKUP($A20,'HALF YEARLY'!$1:$1048576,4,0)</f>
        <v>45</v>
      </c>
      <c r="I20" s="3">
        <f>VLOOKUP($A20,'UT-II'!$1:$1048576,4,0)</f>
        <v>0</v>
      </c>
      <c r="J20" s="3">
        <f>VLOOKUP($A20,ANNUAL!$1:$1048576,4,0)</f>
        <v>48</v>
      </c>
      <c r="K20" s="3">
        <f>VLOOKUP(A20,'UT-I'!$A$1:$EA$1758,5,0)</f>
        <v>30</v>
      </c>
      <c r="L20" s="3">
        <f>VLOOKUP($A20,'HALF YEARLY'!$1:$1048576,5,0)</f>
        <v>31</v>
      </c>
      <c r="M20" s="3">
        <f>VLOOKUP($A20,'UT-II'!$1:$1048576,5,0)</f>
        <v>0</v>
      </c>
      <c r="N20" s="3">
        <f>VLOOKUP($A20,ANNUAL!$1:$1048576,5,0)</f>
        <v>48</v>
      </c>
      <c r="O20" s="3">
        <f>VLOOKUP(A20,'UT-I'!$A$1:$EA$1758,6,0)</f>
        <v>40</v>
      </c>
      <c r="P20" s="3">
        <f>VLOOKUP($A20,'HALF YEARLY'!$1:$1048576,6,0)</f>
        <v>36</v>
      </c>
      <c r="Q20" s="3">
        <f>VLOOKUP($A20,'UT-II'!$1:$1048576,6,0)</f>
        <v>0</v>
      </c>
      <c r="R20" s="3">
        <f>VLOOKUP($A20,ANNUAL!$1:$1048576,6,0)</f>
        <v>40</v>
      </c>
      <c r="S20" s="3">
        <f>VLOOKUP(A20,'UT-I'!$A$1:$EA$1758,7,0)</f>
        <v>40</v>
      </c>
      <c r="T20" s="3">
        <f>VLOOKUP($A20,'HALF YEARLY'!$1:$1048576,7,0)</f>
        <v>30</v>
      </c>
      <c r="U20" s="3">
        <f>VLOOKUP($A20,'UT-II'!$1:$1048576,7,0)</f>
        <v>0</v>
      </c>
      <c r="V20" s="3">
        <f>VLOOKUP($A20,ANNUAL!$1:$1048576,7,0)</f>
        <v>48</v>
      </c>
      <c r="W20" s="3">
        <f>VLOOKUP(A20,'UT-I'!$A$1:$EA$1758,8,0)</f>
        <v>30</v>
      </c>
      <c r="X20" s="3" t="str">
        <f>VLOOKUP($A20,'HALF YEARLY'!$1:$1048576,8,0)</f>
        <v>AB</v>
      </c>
      <c r="Y20" s="3">
        <f>VLOOKUP($A20,'UT-II'!$1:$1048576,8,0)</f>
        <v>0</v>
      </c>
      <c r="Z20" s="3">
        <f>VLOOKUP($A20,ANNUAL!$1:$1048576,8,0)</f>
        <v>48</v>
      </c>
      <c r="AA20" s="3">
        <f>VLOOKUP(A20,'UT-I'!$A$1:$EA$1758,9,0)</f>
        <v>39</v>
      </c>
      <c r="AB20" s="3">
        <f>VLOOKUP($A20,'HALF YEARLY'!$1:$1048576,9,0)</f>
        <v>35</v>
      </c>
      <c r="AC20" s="3">
        <f>VLOOKUP($A20,'UT-II'!$1:$1048576,9,0)</f>
        <v>0</v>
      </c>
      <c r="AD20" s="3">
        <f>VLOOKUP($A20,ANNUAL!$1:$1048576,9,0)</f>
        <v>48</v>
      </c>
      <c r="AE20" s="3">
        <f>VLOOKUP(A20,'UT-I'!$A$1:$EA$1758,10,0)</f>
        <v>40</v>
      </c>
      <c r="AF20" s="3">
        <f>VLOOKUP($A20,'HALF YEARLY'!$1:$1048576,10,0)</f>
        <v>30</v>
      </c>
      <c r="AG20" s="3">
        <f>VLOOKUP($A20,'UT-II'!$1:$1048576,10,0)</f>
        <v>0</v>
      </c>
      <c r="AH20" s="3">
        <f>VLOOKUP($A20,ANNUAL!$1:$1048576,10,0)</f>
        <v>50</v>
      </c>
      <c r="AI20" s="3">
        <f>VLOOKUP(A20,'UT-I'!$A$1:$EA$1758,11,0)</f>
        <v>50</v>
      </c>
      <c r="AJ20" s="3">
        <f>VLOOKUP($A20,'HALF YEARLY'!$1:$1048576,11,0)</f>
        <v>40</v>
      </c>
      <c r="AK20" s="3">
        <f>VLOOKUP($A20,'UT-II'!$1:$1048576,11,0)</f>
        <v>0</v>
      </c>
      <c r="AL20" s="3">
        <f>VLOOKUP($A20,ANNUAL!$1:$1048576,11,0)</f>
        <v>48</v>
      </c>
      <c r="AM20" s="3">
        <f>VLOOKUP(A20,'UT-I'!$A$1:$EA$1758,12,0)</f>
        <v>40</v>
      </c>
      <c r="AN20" s="3" t="str">
        <f>VLOOKUP($A20,'HALF YEARLY'!$1:$1048576,12,0)</f>
        <v>AB</v>
      </c>
      <c r="AO20" s="3">
        <f>VLOOKUP($A20,'UT-II'!$1:$1048576,12,0)</f>
        <v>0</v>
      </c>
      <c r="AP20" s="3">
        <f>VLOOKUP($A20,ANNUAL!$1:$1048576,12,0)</f>
        <v>48</v>
      </c>
      <c r="AQ20" s="3" t="str">
        <f>VLOOKUP(A20,'UT-I'!$A$1:$EA$1758,13,0)</f>
        <v>B</v>
      </c>
      <c r="AR20" s="3" t="str">
        <f>VLOOKUP($A20,'HALF YEARLY'!$1:$1048576,13,0)</f>
        <v>A</v>
      </c>
      <c r="AS20" s="3">
        <f>VLOOKUP($A20,'UT-II'!$1:$1048576,13,0)</f>
        <v>0</v>
      </c>
      <c r="AT20" s="3" t="str">
        <f>VLOOKUP($A20,ANNUAL!$1:$1048576,13,0)</f>
        <v>A</v>
      </c>
      <c r="AU20" s="3" t="str">
        <f>VLOOKUP(A20,'UT-I'!$A$1:$EA$1758,14,0)</f>
        <v>A</v>
      </c>
      <c r="AV20" s="3" t="str">
        <f>VLOOKUP($A20,'HALF YEARLY'!$1:$1048576,14,0)</f>
        <v>B</v>
      </c>
      <c r="AW20" s="3">
        <f>VLOOKUP($A20,'UT-II'!$1:$1048576,14,0)</f>
        <v>0</v>
      </c>
      <c r="AX20" s="3" t="str">
        <f>VLOOKUP($A20,ANNUAL!$1:$1048576,14,0)</f>
        <v>A</v>
      </c>
      <c r="AY20" s="3" t="str">
        <f>VLOOKUP(A20,'UT-I'!$A$1:$EA$1758,15,0)</f>
        <v>B</v>
      </c>
      <c r="AZ20" s="3" t="str">
        <f>VLOOKUP($A20,'HALF YEARLY'!$1:$1048576,15,0)</f>
        <v>B</v>
      </c>
      <c r="BA20" s="3">
        <f>VLOOKUP($A20,'UT-II'!$1:$1048576,15,0)</f>
        <v>0</v>
      </c>
      <c r="BB20" s="3" t="str">
        <f>VLOOKUP($A20,ANNUAL!$1:$1048576,15,0)</f>
        <v>A</v>
      </c>
      <c r="BC20" s="3" t="str">
        <f>VLOOKUP(A20,'UT-I'!$A$1:$EA$1758,16,0)</f>
        <v>B</v>
      </c>
      <c r="BD20" s="3" t="str">
        <f>VLOOKUP($A20,'HALF YEARLY'!$1:$1048576,16,0)</f>
        <v>A</v>
      </c>
      <c r="BE20" s="3">
        <f>VLOOKUP($A20,'UT-II'!$1:$1048576,16,0)</f>
        <v>0</v>
      </c>
      <c r="BF20" s="3" t="str">
        <f>VLOOKUP($A20,ANNUAL!$1:$1048576,16,0)</f>
        <v>A</v>
      </c>
      <c r="BG20" s="3">
        <f>VLOOKUP(A20,'UT-I'!$A$1:$EA$1758,17,0)</f>
        <v>388</v>
      </c>
      <c r="BH20" s="3">
        <f>VLOOKUP($A20,'HALF YEARLY'!$1:$1048576,17,0)</f>
        <v>288</v>
      </c>
      <c r="BI20" s="3">
        <f>VLOOKUP($A20,'UT-II'!$1:$1048576,17,0)</f>
        <v>0</v>
      </c>
      <c r="BJ20" s="3" t="str">
        <f>VLOOKUP($A20,ANNUAL!$1:$1048576,17,0)</f>
        <v>A</v>
      </c>
      <c r="BK20" s="3">
        <f>VLOOKUP($A20,ANNUAL!$1:$1048576,18,0)</f>
        <v>163</v>
      </c>
      <c r="BL20" s="3">
        <f>VLOOKUP($A20,ANNUAL!$1:$1048576,19,0)</f>
        <v>214</v>
      </c>
      <c r="BM20" s="3" t="str">
        <f>VLOOKUP($A20,ANNUAL!$1:$1048576,20,0)</f>
        <v>Excellent progress this year!</v>
      </c>
    </row>
    <row r="21" spans="1:65">
      <c r="A21" s="1">
        <f>DETAILS!A12</f>
        <v>1893</v>
      </c>
      <c r="B21" s="3" t="str">
        <f>DETAILS!B12</f>
        <v>DAKSH</v>
      </c>
      <c r="C21" s="3">
        <f>VLOOKUP(A21,'UT-I'!$A$1:$EA$1758,3,0)</f>
        <v>28</v>
      </c>
      <c r="D21" s="3">
        <f>VLOOKUP($A21,'HALF YEARLY'!$1:$1048576,3,0)</f>
        <v>30</v>
      </c>
      <c r="E21" s="3">
        <f>VLOOKUP($A21,'UT-II'!$1:$1048576,3,0)</f>
        <v>0</v>
      </c>
      <c r="F21" s="3">
        <f>VLOOKUP($A21,ANNUAL!$1:$1048576,3,0)</f>
        <v>50</v>
      </c>
      <c r="G21" s="3">
        <f>VLOOKUP(A21,'UT-I'!$A$1:$EA$1758,4,0)</f>
        <v>17</v>
      </c>
      <c r="H21" s="3">
        <f>VLOOKUP($A21,'HALF YEARLY'!$1:$1048576,4,0)</f>
        <v>17</v>
      </c>
      <c r="I21" s="3">
        <f>VLOOKUP($A21,'UT-II'!$1:$1048576,4,0)</f>
        <v>0</v>
      </c>
      <c r="J21" s="3">
        <f>VLOOKUP($A21,ANNUAL!$1:$1048576,4,0)</f>
        <v>50</v>
      </c>
      <c r="K21" s="3">
        <f>VLOOKUP(A21,'UT-I'!$A$1:$EA$1758,5,0)</f>
        <v>20</v>
      </c>
      <c r="L21" s="3">
        <f>VLOOKUP($A21,'HALF YEARLY'!$1:$1048576,5,0)</f>
        <v>41</v>
      </c>
      <c r="M21" s="3">
        <f>VLOOKUP($A21,'UT-II'!$1:$1048576,5,0)</f>
        <v>0</v>
      </c>
      <c r="N21" s="3">
        <f>VLOOKUP($A21,ANNUAL!$1:$1048576,5,0)</f>
        <v>48</v>
      </c>
      <c r="O21" s="3">
        <f>VLOOKUP(A21,'UT-I'!$A$1:$EA$1758,6,0)</f>
        <v>28</v>
      </c>
      <c r="P21" s="3">
        <f>VLOOKUP($A21,'HALF YEARLY'!$1:$1048576,6,0)</f>
        <v>34</v>
      </c>
      <c r="Q21" s="3">
        <f>VLOOKUP($A21,'UT-II'!$1:$1048576,6,0)</f>
        <v>0</v>
      </c>
      <c r="R21" s="3">
        <f>VLOOKUP($A21,ANNUAL!$1:$1048576,6,0)</f>
        <v>50</v>
      </c>
      <c r="S21" s="3">
        <f>VLOOKUP(A21,'UT-I'!$A$1:$EA$1758,7,0)</f>
        <v>17</v>
      </c>
      <c r="T21" s="3">
        <f>VLOOKUP($A21,'HALF YEARLY'!$1:$1048576,7,0)</f>
        <v>20</v>
      </c>
      <c r="U21" s="3">
        <f>VLOOKUP($A21,'UT-II'!$1:$1048576,7,0)</f>
        <v>0</v>
      </c>
      <c r="V21" s="3">
        <f>VLOOKUP($A21,ANNUAL!$1:$1048576,7,0)</f>
        <v>48</v>
      </c>
      <c r="W21" s="3">
        <f>VLOOKUP(A21,'UT-I'!$A$1:$EA$1758,8,0)</f>
        <v>25</v>
      </c>
      <c r="X21" s="3">
        <f>VLOOKUP($A21,'HALF YEARLY'!$1:$1048576,8,0)</f>
        <v>22</v>
      </c>
      <c r="Y21" s="3">
        <f>VLOOKUP($A21,'UT-II'!$1:$1048576,8,0)</f>
        <v>0</v>
      </c>
      <c r="Z21" s="3">
        <f>VLOOKUP($A21,ANNUAL!$1:$1048576,8,0)</f>
        <v>48</v>
      </c>
      <c r="AA21" s="3">
        <f>VLOOKUP(A21,'UT-I'!$A$1:$EA$1758,9,0)</f>
        <v>31</v>
      </c>
      <c r="AB21" s="3">
        <f>VLOOKUP($A21,'HALF YEARLY'!$1:$1048576,9,0)</f>
        <v>27</v>
      </c>
      <c r="AC21" s="3">
        <f>VLOOKUP($A21,'UT-II'!$1:$1048576,9,0)</f>
        <v>0</v>
      </c>
      <c r="AD21" s="3">
        <f>VLOOKUP($A21,ANNUAL!$1:$1048576,9,0)</f>
        <v>50</v>
      </c>
      <c r="AE21" s="3">
        <f>VLOOKUP(A21,'UT-I'!$A$1:$EA$1758,10,0)</f>
        <v>17</v>
      </c>
      <c r="AF21" s="3">
        <f>VLOOKUP($A21,'HALF YEARLY'!$1:$1048576,10,0)</f>
        <v>20</v>
      </c>
      <c r="AG21" s="3">
        <f>VLOOKUP($A21,'UT-II'!$1:$1048576,10,0)</f>
        <v>0</v>
      </c>
      <c r="AH21" s="3">
        <f>VLOOKUP($A21,ANNUAL!$1:$1048576,10,0)</f>
        <v>50</v>
      </c>
      <c r="AI21" s="3">
        <f>VLOOKUP(A21,'UT-I'!$A$1:$EA$1758,11,0)</f>
        <v>25</v>
      </c>
      <c r="AJ21" s="3">
        <f>VLOOKUP($A21,'HALF YEARLY'!$1:$1048576,11,0)</f>
        <v>17</v>
      </c>
      <c r="AK21" s="3">
        <f>VLOOKUP($A21,'UT-II'!$1:$1048576,11,0)</f>
        <v>0</v>
      </c>
      <c r="AL21" s="3">
        <f>VLOOKUP($A21,ANNUAL!$1:$1048576,11,0)</f>
        <v>50</v>
      </c>
      <c r="AM21" s="3">
        <f>VLOOKUP(A21,'UT-I'!$A$1:$EA$1758,12,0)</f>
        <v>17</v>
      </c>
      <c r="AN21" s="3">
        <f>VLOOKUP($A21,'HALF YEARLY'!$1:$1048576,12,0)</f>
        <v>17</v>
      </c>
      <c r="AO21" s="3">
        <f>VLOOKUP($A21,'UT-II'!$1:$1048576,12,0)</f>
        <v>0</v>
      </c>
      <c r="AP21" s="3">
        <f>VLOOKUP($A21,ANNUAL!$1:$1048576,12,0)</f>
        <v>50</v>
      </c>
      <c r="AQ21" s="3" t="str">
        <f>VLOOKUP(A21,'UT-I'!$A$1:$EA$1758,13,0)</f>
        <v>D</v>
      </c>
      <c r="AR21" s="3" t="str">
        <f>VLOOKUP($A21,'HALF YEARLY'!$1:$1048576,13,0)</f>
        <v>D</v>
      </c>
      <c r="AS21" s="3">
        <f>VLOOKUP($A21,'UT-II'!$1:$1048576,13,0)</f>
        <v>0</v>
      </c>
      <c r="AT21" s="3" t="str">
        <f>VLOOKUP($A21,ANNUAL!$1:$1048576,13,0)</f>
        <v>A</v>
      </c>
      <c r="AU21" s="3" t="str">
        <f>VLOOKUP(A21,'UT-I'!$A$1:$EA$1758,14,0)</f>
        <v>B</v>
      </c>
      <c r="AV21" s="3" t="str">
        <f>VLOOKUP($A21,'HALF YEARLY'!$1:$1048576,14,0)</f>
        <v>B</v>
      </c>
      <c r="AW21" s="3">
        <f>VLOOKUP($A21,'UT-II'!$1:$1048576,14,0)</f>
        <v>0</v>
      </c>
      <c r="AX21" s="3" t="str">
        <f>VLOOKUP($A21,ANNUAL!$1:$1048576,14,0)</f>
        <v>A</v>
      </c>
      <c r="AY21" s="3" t="str">
        <f>VLOOKUP(A21,'UT-I'!$A$1:$EA$1758,15,0)</f>
        <v>D</v>
      </c>
      <c r="AZ21" s="3" t="str">
        <f>VLOOKUP($A21,'HALF YEARLY'!$1:$1048576,15,0)</f>
        <v>D</v>
      </c>
      <c r="BA21" s="3">
        <f>VLOOKUP($A21,'UT-II'!$1:$1048576,15,0)</f>
        <v>0</v>
      </c>
      <c r="BB21" s="3" t="str">
        <f>VLOOKUP($A21,ANNUAL!$1:$1048576,15,0)</f>
        <v>A</v>
      </c>
      <c r="BC21" s="3" t="str">
        <f>VLOOKUP(A21,'UT-I'!$A$1:$EA$1758,16,0)</f>
        <v>C</v>
      </c>
      <c r="BD21" s="3" t="str">
        <f>VLOOKUP($A21,'HALF YEARLY'!$1:$1048576,16,0)</f>
        <v>A</v>
      </c>
      <c r="BE21" s="3">
        <f>VLOOKUP($A21,'UT-II'!$1:$1048576,16,0)</f>
        <v>0</v>
      </c>
      <c r="BF21" s="3" t="str">
        <f>VLOOKUP($A21,ANNUAL!$1:$1048576,16,0)</f>
        <v>A</v>
      </c>
      <c r="BG21" s="3">
        <f>VLOOKUP(A21,'UT-I'!$A$1:$EA$1758,17,0)</f>
        <v>225</v>
      </c>
      <c r="BH21" s="3">
        <f>VLOOKUP($A21,'HALF YEARLY'!$1:$1048576,17,0)</f>
        <v>245</v>
      </c>
      <c r="BI21" s="3">
        <f>VLOOKUP($A21,'UT-II'!$1:$1048576,17,0)</f>
        <v>0</v>
      </c>
      <c r="BJ21" s="3" t="str">
        <f>VLOOKUP($A21,ANNUAL!$1:$1048576,17,0)</f>
        <v>A</v>
      </c>
      <c r="BK21" s="3">
        <f>VLOOKUP($A21,ANNUAL!$1:$1048576,18,0)</f>
        <v>110</v>
      </c>
      <c r="BL21" s="3">
        <f>VLOOKUP($A21,ANNUAL!$1:$1048576,19,0)</f>
        <v>174</v>
      </c>
      <c r="BM21" s="3" t="str">
        <f>VLOOKUP($A21,ANNUAL!$1:$1048576,20,0)</f>
        <v>Great Potential- Stay Focused!</v>
      </c>
    </row>
    <row r="22" spans="1:65">
      <c r="A22" s="1" t="e">
        <f>DETAILS!#REF!</f>
        <v>#REF!</v>
      </c>
      <c r="B22" s="3" t="e">
        <f>DETAILS!#REF!</f>
        <v>#REF!</v>
      </c>
      <c r="C22" s="3" t="e">
        <f>VLOOKUP(A22,'UT-I'!$A$1:$EA$1758,3,0)</f>
        <v>#REF!</v>
      </c>
      <c r="D22" s="3" t="e">
        <f>VLOOKUP($A22,'HALF YEARLY'!$1:$1048576,3,0)</f>
        <v>#REF!</v>
      </c>
      <c r="E22" s="3" t="e">
        <f>VLOOKUP($A22,'UT-II'!$1:$1048576,3,0)</f>
        <v>#REF!</v>
      </c>
      <c r="F22" s="3" t="e">
        <f>VLOOKUP($A22,ANNUAL!$1:$1048576,3,0)</f>
        <v>#REF!</v>
      </c>
      <c r="G22" s="3" t="e">
        <f>VLOOKUP(A22,'UT-I'!$A$1:$EA$1758,4,0)</f>
        <v>#REF!</v>
      </c>
      <c r="H22" s="3" t="e">
        <f>VLOOKUP($A22,'HALF YEARLY'!$1:$1048576,4,0)</f>
        <v>#REF!</v>
      </c>
      <c r="I22" s="3" t="e">
        <f>VLOOKUP($A22,'UT-II'!$1:$1048576,4,0)</f>
        <v>#REF!</v>
      </c>
      <c r="J22" s="3" t="e">
        <f>VLOOKUP($A22,ANNUAL!$1:$1048576,4,0)</f>
        <v>#REF!</v>
      </c>
      <c r="K22" s="3" t="e">
        <f>VLOOKUP(A22,'UT-I'!$A$1:$EA$1758,5,0)</f>
        <v>#REF!</v>
      </c>
      <c r="L22" s="3" t="e">
        <f>VLOOKUP($A22,'HALF YEARLY'!$1:$1048576,5,0)</f>
        <v>#REF!</v>
      </c>
      <c r="M22" s="3" t="e">
        <f>VLOOKUP($A22,'UT-II'!$1:$1048576,5,0)</f>
        <v>#REF!</v>
      </c>
      <c r="N22" s="3" t="e">
        <f>VLOOKUP($A22,ANNUAL!$1:$1048576,5,0)</f>
        <v>#REF!</v>
      </c>
      <c r="O22" s="3" t="e">
        <f>VLOOKUP(A22,'UT-I'!$A$1:$EA$1758,6,0)</f>
        <v>#REF!</v>
      </c>
      <c r="P22" s="3" t="e">
        <f>VLOOKUP($A22,'HALF YEARLY'!$1:$1048576,6,0)</f>
        <v>#REF!</v>
      </c>
      <c r="Q22" s="3" t="e">
        <f>VLOOKUP($A22,'UT-II'!$1:$1048576,6,0)</f>
        <v>#REF!</v>
      </c>
      <c r="R22" s="3" t="e">
        <f>VLOOKUP($A22,ANNUAL!$1:$1048576,6,0)</f>
        <v>#REF!</v>
      </c>
      <c r="S22" s="3" t="e">
        <f>VLOOKUP(A22,'UT-I'!$A$1:$EA$1758,7,0)</f>
        <v>#REF!</v>
      </c>
      <c r="T22" s="3" t="e">
        <f>VLOOKUP($A22,'HALF YEARLY'!$1:$1048576,7,0)</f>
        <v>#REF!</v>
      </c>
      <c r="U22" s="3" t="e">
        <f>VLOOKUP($A22,'UT-II'!$1:$1048576,7,0)</f>
        <v>#REF!</v>
      </c>
      <c r="V22" s="3" t="e">
        <f>VLOOKUP($A22,ANNUAL!$1:$1048576,7,0)</f>
        <v>#REF!</v>
      </c>
      <c r="W22" s="3" t="e">
        <f>VLOOKUP(A22,'UT-I'!$A$1:$EA$1758,8,0)</f>
        <v>#REF!</v>
      </c>
      <c r="X22" s="3" t="e">
        <f>VLOOKUP($A22,'HALF YEARLY'!$1:$1048576,8,0)</f>
        <v>#REF!</v>
      </c>
      <c r="Y22" s="3" t="e">
        <f>VLOOKUP($A22,'UT-II'!$1:$1048576,8,0)</f>
        <v>#REF!</v>
      </c>
      <c r="Z22" s="3" t="e">
        <f>VLOOKUP($A22,ANNUAL!$1:$1048576,8,0)</f>
        <v>#REF!</v>
      </c>
      <c r="AA22" s="3" t="e">
        <f>VLOOKUP(A22,'UT-I'!$A$1:$EA$1758,9,0)</f>
        <v>#REF!</v>
      </c>
      <c r="AB22" s="3" t="e">
        <f>VLOOKUP($A22,'HALF YEARLY'!$1:$1048576,9,0)</f>
        <v>#REF!</v>
      </c>
      <c r="AC22" s="3" t="e">
        <f>VLOOKUP($A22,'UT-II'!$1:$1048576,9,0)</f>
        <v>#REF!</v>
      </c>
      <c r="AD22" s="3" t="e">
        <f>VLOOKUP($A22,ANNUAL!$1:$1048576,9,0)</f>
        <v>#REF!</v>
      </c>
      <c r="AE22" s="3" t="e">
        <f>VLOOKUP(A22,'UT-I'!$A$1:$EA$1758,10,0)</f>
        <v>#REF!</v>
      </c>
      <c r="AF22" s="3" t="e">
        <f>VLOOKUP($A22,'HALF YEARLY'!$1:$1048576,10,0)</f>
        <v>#REF!</v>
      </c>
      <c r="AG22" s="3" t="e">
        <f>VLOOKUP($A22,'UT-II'!$1:$1048576,10,0)</f>
        <v>#REF!</v>
      </c>
      <c r="AH22" s="3" t="e">
        <f>VLOOKUP($A22,ANNUAL!$1:$1048576,10,0)</f>
        <v>#REF!</v>
      </c>
      <c r="AI22" s="3" t="e">
        <f>VLOOKUP(A22,'UT-I'!$A$1:$EA$1758,11,0)</f>
        <v>#REF!</v>
      </c>
      <c r="AJ22" s="3" t="e">
        <f>VLOOKUP($A22,'HALF YEARLY'!$1:$1048576,11,0)</f>
        <v>#REF!</v>
      </c>
      <c r="AK22" s="3" t="e">
        <f>VLOOKUP($A22,'UT-II'!$1:$1048576,11,0)</f>
        <v>#REF!</v>
      </c>
      <c r="AL22" s="3" t="e">
        <f>VLOOKUP($A22,ANNUAL!$1:$1048576,11,0)</f>
        <v>#REF!</v>
      </c>
      <c r="AM22" s="3" t="e">
        <f>VLOOKUP(A22,'UT-I'!$A$1:$EA$1758,12,0)</f>
        <v>#REF!</v>
      </c>
      <c r="AN22" s="3" t="e">
        <f>VLOOKUP($A22,'HALF YEARLY'!$1:$1048576,12,0)</f>
        <v>#REF!</v>
      </c>
      <c r="AO22" s="3" t="e">
        <f>VLOOKUP($A22,'UT-II'!$1:$1048576,12,0)</f>
        <v>#REF!</v>
      </c>
      <c r="AP22" s="3" t="e">
        <f>VLOOKUP($A22,ANNUAL!$1:$1048576,12,0)</f>
        <v>#REF!</v>
      </c>
      <c r="AQ22" s="3" t="e">
        <f>VLOOKUP(A22,'UT-I'!$A$1:$EA$1758,13,0)</f>
        <v>#REF!</v>
      </c>
      <c r="AR22" s="3" t="e">
        <f>VLOOKUP($A22,'HALF YEARLY'!$1:$1048576,13,0)</f>
        <v>#REF!</v>
      </c>
      <c r="AS22" s="3" t="e">
        <f>VLOOKUP($A22,'UT-II'!$1:$1048576,13,0)</f>
        <v>#REF!</v>
      </c>
      <c r="AT22" s="3" t="e">
        <f>VLOOKUP($A22,ANNUAL!$1:$1048576,13,0)</f>
        <v>#REF!</v>
      </c>
      <c r="AU22" s="3" t="e">
        <f>VLOOKUP(A22,'UT-I'!$A$1:$EA$1758,14,0)</f>
        <v>#REF!</v>
      </c>
      <c r="AV22" s="3" t="e">
        <f>VLOOKUP($A22,'HALF YEARLY'!$1:$1048576,14,0)</f>
        <v>#REF!</v>
      </c>
      <c r="AW22" s="3" t="e">
        <f>VLOOKUP($A22,'UT-II'!$1:$1048576,14,0)</f>
        <v>#REF!</v>
      </c>
      <c r="AX22" s="3" t="e">
        <f>VLOOKUP($A22,ANNUAL!$1:$1048576,14,0)</f>
        <v>#REF!</v>
      </c>
      <c r="AY22" s="3" t="e">
        <f>VLOOKUP(A22,'UT-I'!$A$1:$EA$1758,15,0)</f>
        <v>#REF!</v>
      </c>
      <c r="AZ22" s="3" t="e">
        <f>VLOOKUP($A22,'HALF YEARLY'!$1:$1048576,15,0)</f>
        <v>#REF!</v>
      </c>
      <c r="BA22" s="3" t="e">
        <f>VLOOKUP($A22,'UT-II'!$1:$1048576,15,0)</f>
        <v>#REF!</v>
      </c>
      <c r="BB22" s="3" t="e">
        <f>VLOOKUP($A22,ANNUAL!$1:$1048576,15,0)</f>
        <v>#REF!</v>
      </c>
      <c r="BC22" s="3" t="e">
        <f>VLOOKUP(A22,'UT-I'!$A$1:$EA$1758,16,0)</f>
        <v>#REF!</v>
      </c>
      <c r="BD22" s="3" t="e">
        <f>VLOOKUP($A22,'HALF YEARLY'!$1:$1048576,16,0)</f>
        <v>#REF!</v>
      </c>
      <c r="BE22" s="3" t="e">
        <f>VLOOKUP($A22,'UT-II'!$1:$1048576,16,0)</f>
        <v>#REF!</v>
      </c>
      <c r="BF22" s="3" t="e">
        <f>VLOOKUP($A22,ANNUAL!$1:$1048576,16,0)</f>
        <v>#REF!</v>
      </c>
      <c r="BG22" s="3" t="e">
        <f>VLOOKUP(A22,'UT-I'!$A$1:$EA$1758,17,0)</f>
        <v>#REF!</v>
      </c>
      <c r="BH22" s="3" t="e">
        <f>VLOOKUP($A22,'HALF YEARLY'!$1:$1048576,17,0)</f>
        <v>#REF!</v>
      </c>
      <c r="BI22" s="3" t="e">
        <f>VLOOKUP($A22,'UT-II'!$1:$1048576,17,0)</f>
        <v>#REF!</v>
      </c>
      <c r="BJ22" s="3" t="e">
        <f>VLOOKUP($A22,ANNUAL!$1:$1048576,17,0)</f>
        <v>#REF!</v>
      </c>
      <c r="BK22" s="3" t="e">
        <f>VLOOKUP($A22,ANNUAL!$1:$1048576,18,0)</f>
        <v>#REF!</v>
      </c>
      <c r="BL22" s="3" t="e">
        <f>VLOOKUP($A22,ANNUAL!$1:$1048576,19,0)</f>
        <v>#REF!</v>
      </c>
      <c r="BM22" s="3" t="e">
        <f>VLOOKUP($A22,ANNUAL!$1:$1048576,20,0)</f>
        <v>#REF!</v>
      </c>
    </row>
    <row r="23" spans="1:65">
      <c r="A23" s="1">
        <f>DETAILS!A13</f>
        <v>1843</v>
      </c>
      <c r="B23" s="3" t="str">
        <f>DETAILS!B13</f>
        <v>DEV MISHRA</v>
      </c>
      <c r="C23" s="3">
        <f>VLOOKUP(A23,'UT-I'!$A$1:$EA$1758,3,0)</f>
        <v>42</v>
      </c>
      <c r="D23" s="3">
        <f>VLOOKUP($A23,'HALF YEARLY'!$1:$1048576,3,0)</f>
        <v>39</v>
      </c>
      <c r="E23" s="3">
        <f>VLOOKUP($A23,'UT-II'!$1:$1048576,3,0)</f>
        <v>0</v>
      </c>
      <c r="F23" s="3">
        <f>VLOOKUP($A23,ANNUAL!$1:$1048576,3,0)</f>
        <v>46</v>
      </c>
      <c r="G23" s="3">
        <f>VLOOKUP(A23,'UT-I'!$A$1:$EA$1758,4,0)</f>
        <v>40</v>
      </c>
      <c r="H23" s="3">
        <f>VLOOKUP($A23,'HALF YEARLY'!$1:$1048576,4,0)</f>
        <v>35</v>
      </c>
      <c r="I23" s="3">
        <f>VLOOKUP($A23,'UT-II'!$1:$1048576,4,0)</f>
        <v>0</v>
      </c>
      <c r="J23" s="3">
        <f>VLOOKUP($A23,ANNUAL!$1:$1048576,4,0)</f>
        <v>50</v>
      </c>
      <c r="K23" s="3">
        <f>VLOOKUP(A23,'UT-I'!$A$1:$EA$1758,5,0)</f>
        <v>30</v>
      </c>
      <c r="L23" s="3" t="str">
        <f>VLOOKUP($A23,'HALF YEARLY'!$1:$1048576,5,0)</f>
        <v>AB</v>
      </c>
      <c r="M23" s="3">
        <f>VLOOKUP($A23,'UT-II'!$1:$1048576,5,0)</f>
        <v>0</v>
      </c>
      <c r="N23" s="3">
        <f>VLOOKUP($A23,ANNUAL!$1:$1048576,5,0)</f>
        <v>50</v>
      </c>
      <c r="O23" s="3">
        <f>VLOOKUP(A23,'UT-I'!$A$1:$EA$1758,6,0)</f>
        <v>38</v>
      </c>
      <c r="P23" s="3">
        <f>VLOOKUP($A23,'HALF YEARLY'!$1:$1048576,6,0)</f>
        <v>35</v>
      </c>
      <c r="Q23" s="3">
        <f>VLOOKUP($A23,'UT-II'!$1:$1048576,6,0)</f>
        <v>0</v>
      </c>
      <c r="R23" s="3">
        <f>VLOOKUP($A23,ANNUAL!$1:$1048576,6,0)</f>
        <v>49</v>
      </c>
      <c r="S23" s="3">
        <f>VLOOKUP(A23,'UT-I'!$A$1:$EA$1758,7,0)</f>
        <v>30</v>
      </c>
      <c r="T23" s="3">
        <f>VLOOKUP($A23,'HALF YEARLY'!$1:$1048576,7,0)</f>
        <v>25</v>
      </c>
      <c r="U23" s="3">
        <f>VLOOKUP($A23,'UT-II'!$1:$1048576,7,0)</f>
        <v>0</v>
      </c>
      <c r="V23" s="3">
        <f>VLOOKUP($A23,ANNUAL!$1:$1048576,7,0)</f>
        <v>45</v>
      </c>
      <c r="W23" s="3">
        <f>VLOOKUP(A23,'UT-I'!$A$1:$EA$1758,8,0)</f>
        <v>30</v>
      </c>
      <c r="X23" s="3">
        <f>VLOOKUP($A23,'HALF YEARLY'!$1:$1048576,8,0)</f>
        <v>30</v>
      </c>
      <c r="Y23" s="3">
        <f>VLOOKUP($A23,'UT-II'!$1:$1048576,8,0)</f>
        <v>0</v>
      </c>
      <c r="Z23" s="3">
        <f>VLOOKUP($A23,ANNUAL!$1:$1048576,8,0)</f>
        <v>42</v>
      </c>
      <c r="AA23" s="3">
        <f>VLOOKUP(A23,'UT-I'!$A$1:$EA$1758,9,0)</f>
        <v>36</v>
      </c>
      <c r="AB23" s="3">
        <f>VLOOKUP($A23,'HALF YEARLY'!$1:$1048576,9,0)</f>
        <v>33</v>
      </c>
      <c r="AC23" s="3">
        <f>VLOOKUP($A23,'UT-II'!$1:$1048576,9,0)</f>
        <v>0</v>
      </c>
      <c r="AD23" s="3">
        <f>VLOOKUP($A23,ANNUAL!$1:$1048576,9,0)</f>
        <v>47</v>
      </c>
      <c r="AE23" s="3">
        <f>VLOOKUP(A23,'UT-I'!$A$1:$EA$1758,10,0)</f>
        <v>50</v>
      </c>
      <c r="AF23" s="3">
        <f>VLOOKUP($A23,'HALF YEARLY'!$1:$1048576,10,0)</f>
        <v>30</v>
      </c>
      <c r="AG23" s="3">
        <f>VLOOKUP($A23,'UT-II'!$1:$1048576,10,0)</f>
        <v>0</v>
      </c>
      <c r="AH23" s="3">
        <f>VLOOKUP($A23,ANNUAL!$1:$1048576,10,0)</f>
        <v>48</v>
      </c>
      <c r="AI23" s="3">
        <f>VLOOKUP(A23,'UT-I'!$A$1:$EA$1758,11,0)</f>
        <v>50</v>
      </c>
      <c r="AJ23" s="3">
        <f>VLOOKUP($A23,'HALF YEARLY'!$1:$1048576,11,0)</f>
        <v>30</v>
      </c>
      <c r="AK23" s="3">
        <f>VLOOKUP($A23,'UT-II'!$1:$1048576,11,0)</f>
        <v>0</v>
      </c>
      <c r="AL23" s="3">
        <f>VLOOKUP($A23,ANNUAL!$1:$1048576,11,0)</f>
        <v>50</v>
      </c>
      <c r="AM23" s="3">
        <f>VLOOKUP(A23,'UT-I'!$A$1:$EA$1758,12,0)</f>
        <v>40</v>
      </c>
      <c r="AN23" s="3">
        <f>VLOOKUP($A23,'HALF YEARLY'!$1:$1048576,12,0)</f>
        <v>27</v>
      </c>
      <c r="AO23" s="3">
        <f>VLOOKUP($A23,'UT-II'!$1:$1048576,12,0)</f>
        <v>0</v>
      </c>
      <c r="AP23" s="3">
        <f>VLOOKUP($A23,ANNUAL!$1:$1048576,12,0)</f>
        <v>50</v>
      </c>
      <c r="AQ23" s="3" t="str">
        <f>VLOOKUP(A23,'UT-I'!$A$1:$EA$1758,13,0)</f>
        <v>B</v>
      </c>
      <c r="AR23" s="3" t="str">
        <f>VLOOKUP($A23,'HALF YEARLY'!$1:$1048576,13,0)</f>
        <v>AB</v>
      </c>
      <c r="AS23" s="3">
        <f>VLOOKUP($A23,'UT-II'!$1:$1048576,13,0)</f>
        <v>0</v>
      </c>
      <c r="AT23" s="3" t="str">
        <f>VLOOKUP($A23,ANNUAL!$1:$1048576,13,0)</f>
        <v>A</v>
      </c>
      <c r="AU23" s="3" t="str">
        <f>VLOOKUP(A23,'UT-I'!$A$1:$EA$1758,14,0)</f>
        <v>B</v>
      </c>
      <c r="AV23" s="3" t="str">
        <f>VLOOKUP($A23,'HALF YEARLY'!$1:$1048576,14,0)</f>
        <v>B</v>
      </c>
      <c r="AW23" s="3">
        <f>VLOOKUP($A23,'UT-II'!$1:$1048576,14,0)</f>
        <v>0</v>
      </c>
      <c r="AX23" s="3" t="str">
        <f>VLOOKUP($A23,ANNUAL!$1:$1048576,14,0)</f>
        <v>A</v>
      </c>
      <c r="AY23" s="3" t="str">
        <f>VLOOKUP(A23,'UT-I'!$A$1:$EA$1758,15,0)</f>
        <v>A</v>
      </c>
      <c r="AZ23" s="3" t="str">
        <f>VLOOKUP($A23,'HALF YEARLY'!$1:$1048576,15,0)</f>
        <v>C</v>
      </c>
      <c r="BA23" s="3">
        <f>VLOOKUP($A23,'UT-II'!$1:$1048576,15,0)</f>
        <v>0</v>
      </c>
      <c r="BB23" s="3" t="str">
        <f>VLOOKUP($A23,ANNUAL!$1:$1048576,15,0)</f>
        <v>A</v>
      </c>
      <c r="BC23" s="3" t="str">
        <f>VLOOKUP(A23,'UT-I'!$A$1:$EA$1758,16,0)</f>
        <v>A</v>
      </c>
      <c r="BD23" s="3" t="str">
        <f>VLOOKUP($A23,'HALF YEARLY'!$1:$1048576,16,0)</f>
        <v>A</v>
      </c>
      <c r="BE23" s="3">
        <f>VLOOKUP($A23,'UT-II'!$1:$1048576,16,0)</f>
        <v>0</v>
      </c>
      <c r="BF23" s="3" t="str">
        <f>VLOOKUP($A23,ANNUAL!$1:$1048576,16,0)</f>
        <v>A</v>
      </c>
      <c r="BG23" s="3">
        <f>VLOOKUP(A23,'UT-I'!$A$1:$EA$1758,17,0)</f>
        <v>386</v>
      </c>
      <c r="BH23" s="3">
        <f>VLOOKUP($A23,'HALF YEARLY'!$1:$1048576,17,0)</f>
        <v>284</v>
      </c>
      <c r="BI23" s="3">
        <f>VLOOKUP($A23,'UT-II'!$1:$1048576,17,0)</f>
        <v>0</v>
      </c>
      <c r="BJ23" s="3" t="str">
        <f>VLOOKUP($A23,ANNUAL!$1:$1048576,17,0)</f>
        <v>A</v>
      </c>
      <c r="BK23" s="3">
        <f>VLOOKUP($A23,ANNUAL!$1:$1048576,18,0)</f>
        <v>170</v>
      </c>
      <c r="BL23" s="3">
        <f>VLOOKUP($A23,ANNUAL!$1:$1048576,19,0)</f>
        <v>214</v>
      </c>
      <c r="BM23" s="3" t="str">
        <f>VLOOKUP($A23,ANNUAL!$1:$1048576,20,0)</f>
        <v>Good. Can do better.</v>
      </c>
    </row>
    <row r="24" spans="1:65">
      <c r="A24" s="1" t="e">
        <f>DETAILS!#REF!</f>
        <v>#REF!</v>
      </c>
      <c r="B24" s="3" t="e">
        <f>DETAILS!#REF!</f>
        <v>#REF!</v>
      </c>
      <c r="C24" s="3" t="e">
        <f>VLOOKUP(A24,'UT-I'!$A$1:$EA$1758,3,0)</f>
        <v>#REF!</v>
      </c>
      <c r="D24" s="3" t="e">
        <f>VLOOKUP($A24,'HALF YEARLY'!$1:$1048576,3,0)</f>
        <v>#REF!</v>
      </c>
      <c r="E24" s="3" t="e">
        <f>VLOOKUP($A24,'UT-II'!$1:$1048576,3,0)</f>
        <v>#REF!</v>
      </c>
      <c r="F24" s="3" t="e">
        <f>VLOOKUP($A24,ANNUAL!$1:$1048576,3,0)</f>
        <v>#REF!</v>
      </c>
      <c r="G24" s="3" t="e">
        <f>VLOOKUP(A24,'UT-I'!$A$1:$EA$1758,4,0)</f>
        <v>#REF!</v>
      </c>
      <c r="H24" s="3" t="e">
        <f>VLOOKUP($A24,'HALF YEARLY'!$1:$1048576,4,0)</f>
        <v>#REF!</v>
      </c>
      <c r="I24" s="3" t="e">
        <f>VLOOKUP($A24,'UT-II'!$1:$1048576,4,0)</f>
        <v>#REF!</v>
      </c>
      <c r="J24" s="3" t="e">
        <f>VLOOKUP($A24,ANNUAL!$1:$1048576,4,0)</f>
        <v>#REF!</v>
      </c>
      <c r="K24" s="3" t="e">
        <f>VLOOKUP(A24,'UT-I'!$A$1:$EA$1758,5,0)</f>
        <v>#REF!</v>
      </c>
      <c r="L24" s="3" t="e">
        <f>VLOOKUP($A24,'HALF YEARLY'!$1:$1048576,5,0)</f>
        <v>#REF!</v>
      </c>
      <c r="M24" s="3" t="e">
        <f>VLOOKUP($A24,'UT-II'!$1:$1048576,5,0)</f>
        <v>#REF!</v>
      </c>
      <c r="N24" s="3" t="e">
        <f>VLOOKUP($A24,ANNUAL!$1:$1048576,5,0)</f>
        <v>#REF!</v>
      </c>
      <c r="O24" s="3" t="e">
        <f>VLOOKUP(A24,'UT-I'!$A$1:$EA$1758,6,0)</f>
        <v>#REF!</v>
      </c>
      <c r="P24" s="3" t="e">
        <f>VLOOKUP($A24,'HALF YEARLY'!$1:$1048576,6,0)</f>
        <v>#REF!</v>
      </c>
      <c r="Q24" s="3" t="e">
        <f>VLOOKUP($A24,'UT-II'!$1:$1048576,6,0)</f>
        <v>#REF!</v>
      </c>
      <c r="R24" s="3" t="e">
        <f>VLOOKUP($A24,ANNUAL!$1:$1048576,6,0)</f>
        <v>#REF!</v>
      </c>
      <c r="S24" s="3" t="e">
        <f>VLOOKUP(A24,'UT-I'!$A$1:$EA$1758,7,0)</f>
        <v>#REF!</v>
      </c>
      <c r="T24" s="3" t="e">
        <f>VLOOKUP($A24,'HALF YEARLY'!$1:$1048576,7,0)</f>
        <v>#REF!</v>
      </c>
      <c r="U24" s="3" t="e">
        <f>VLOOKUP($A24,'UT-II'!$1:$1048576,7,0)</f>
        <v>#REF!</v>
      </c>
      <c r="V24" s="3" t="e">
        <f>VLOOKUP($A24,ANNUAL!$1:$1048576,7,0)</f>
        <v>#REF!</v>
      </c>
      <c r="W24" s="3" t="e">
        <f>VLOOKUP(A24,'UT-I'!$A$1:$EA$1758,8,0)</f>
        <v>#REF!</v>
      </c>
      <c r="X24" s="3" t="e">
        <f>VLOOKUP($A24,'HALF YEARLY'!$1:$1048576,8,0)</f>
        <v>#REF!</v>
      </c>
      <c r="Y24" s="3" t="e">
        <f>VLOOKUP($A24,'UT-II'!$1:$1048576,8,0)</f>
        <v>#REF!</v>
      </c>
      <c r="Z24" s="3" t="e">
        <f>VLOOKUP($A24,ANNUAL!$1:$1048576,8,0)</f>
        <v>#REF!</v>
      </c>
      <c r="AA24" s="3" t="e">
        <f>VLOOKUP(A24,'UT-I'!$A$1:$EA$1758,9,0)</f>
        <v>#REF!</v>
      </c>
      <c r="AB24" s="3" t="e">
        <f>VLOOKUP($A24,'HALF YEARLY'!$1:$1048576,9,0)</f>
        <v>#REF!</v>
      </c>
      <c r="AC24" s="3" t="e">
        <f>VLOOKUP($A24,'UT-II'!$1:$1048576,9,0)</f>
        <v>#REF!</v>
      </c>
      <c r="AD24" s="3" t="e">
        <f>VLOOKUP($A24,ANNUAL!$1:$1048576,9,0)</f>
        <v>#REF!</v>
      </c>
      <c r="AE24" s="3" t="e">
        <f>VLOOKUP(A24,'UT-I'!$A$1:$EA$1758,10,0)</f>
        <v>#REF!</v>
      </c>
      <c r="AF24" s="3" t="e">
        <f>VLOOKUP($A24,'HALF YEARLY'!$1:$1048576,10,0)</f>
        <v>#REF!</v>
      </c>
      <c r="AG24" s="3" t="e">
        <f>VLOOKUP($A24,'UT-II'!$1:$1048576,10,0)</f>
        <v>#REF!</v>
      </c>
      <c r="AH24" s="3" t="e">
        <f>VLOOKUP($A24,ANNUAL!$1:$1048576,10,0)</f>
        <v>#REF!</v>
      </c>
      <c r="AI24" s="3" t="e">
        <f>VLOOKUP(A24,'UT-I'!$A$1:$EA$1758,11,0)</f>
        <v>#REF!</v>
      </c>
      <c r="AJ24" s="3" t="e">
        <f>VLOOKUP($A24,'HALF YEARLY'!$1:$1048576,11,0)</f>
        <v>#REF!</v>
      </c>
      <c r="AK24" s="3" t="e">
        <f>VLOOKUP($A24,'UT-II'!$1:$1048576,11,0)</f>
        <v>#REF!</v>
      </c>
      <c r="AL24" s="3" t="e">
        <f>VLOOKUP($A24,ANNUAL!$1:$1048576,11,0)</f>
        <v>#REF!</v>
      </c>
      <c r="AM24" s="3" t="e">
        <f>VLOOKUP(A24,'UT-I'!$A$1:$EA$1758,12,0)</f>
        <v>#REF!</v>
      </c>
      <c r="AN24" s="3" t="e">
        <f>VLOOKUP($A24,'HALF YEARLY'!$1:$1048576,12,0)</f>
        <v>#REF!</v>
      </c>
      <c r="AO24" s="3" t="e">
        <f>VLOOKUP($A24,'UT-II'!$1:$1048576,12,0)</f>
        <v>#REF!</v>
      </c>
      <c r="AP24" s="3" t="e">
        <f>VLOOKUP($A24,ANNUAL!$1:$1048576,12,0)</f>
        <v>#REF!</v>
      </c>
      <c r="AQ24" s="3" t="e">
        <f>VLOOKUP(A24,'UT-I'!$A$1:$EA$1758,13,0)</f>
        <v>#REF!</v>
      </c>
      <c r="AR24" s="3" t="e">
        <f>VLOOKUP($A24,'HALF YEARLY'!$1:$1048576,13,0)</f>
        <v>#REF!</v>
      </c>
      <c r="AS24" s="3" t="e">
        <f>VLOOKUP($A24,'UT-II'!$1:$1048576,13,0)</f>
        <v>#REF!</v>
      </c>
      <c r="AT24" s="3" t="e">
        <f>VLOOKUP($A24,ANNUAL!$1:$1048576,13,0)</f>
        <v>#REF!</v>
      </c>
      <c r="AU24" s="3" t="e">
        <f>VLOOKUP(A24,'UT-I'!$A$1:$EA$1758,14,0)</f>
        <v>#REF!</v>
      </c>
      <c r="AV24" s="3" t="e">
        <f>VLOOKUP($A24,'HALF YEARLY'!$1:$1048576,14,0)</f>
        <v>#REF!</v>
      </c>
      <c r="AW24" s="3" t="e">
        <f>VLOOKUP($A24,'UT-II'!$1:$1048576,14,0)</f>
        <v>#REF!</v>
      </c>
      <c r="AX24" s="3" t="e">
        <f>VLOOKUP($A24,ANNUAL!$1:$1048576,14,0)</f>
        <v>#REF!</v>
      </c>
      <c r="AY24" s="3" t="e">
        <f>VLOOKUP(A24,'UT-I'!$A$1:$EA$1758,15,0)</f>
        <v>#REF!</v>
      </c>
      <c r="AZ24" s="3" t="e">
        <f>VLOOKUP($A24,'HALF YEARLY'!$1:$1048576,15,0)</f>
        <v>#REF!</v>
      </c>
      <c r="BA24" s="3" t="e">
        <f>VLOOKUP($A24,'UT-II'!$1:$1048576,15,0)</f>
        <v>#REF!</v>
      </c>
      <c r="BB24" s="3" t="e">
        <f>VLOOKUP($A24,ANNUAL!$1:$1048576,15,0)</f>
        <v>#REF!</v>
      </c>
      <c r="BC24" s="3" t="e">
        <f>VLOOKUP(A24,'UT-I'!$A$1:$EA$1758,16,0)</f>
        <v>#REF!</v>
      </c>
      <c r="BD24" s="3" t="e">
        <f>VLOOKUP($A24,'HALF YEARLY'!$1:$1048576,16,0)</f>
        <v>#REF!</v>
      </c>
      <c r="BE24" s="3" t="e">
        <f>VLOOKUP($A24,'UT-II'!$1:$1048576,16,0)</f>
        <v>#REF!</v>
      </c>
      <c r="BF24" s="3" t="e">
        <f>VLOOKUP($A24,ANNUAL!$1:$1048576,16,0)</f>
        <v>#REF!</v>
      </c>
      <c r="BG24" s="3" t="e">
        <f>VLOOKUP(A24,'UT-I'!$A$1:$EA$1758,17,0)</f>
        <v>#REF!</v>
      </c>
      <c r="BH24" s="3" t="e">
        <f>VLOOKUP($A24,'HALF YEARLY'!$1:$1048576,17,0)</f>
        <v>#REF!</v>
      </c>
      <c r="BI24" s="3" t="e">
        <f>VLOOKUP($A24,'UT-II'!$1:$1048576,17,0)</f>
        <v>#REF!</v>
      </c>
      <c r="BJ24" s="3" t="e">
        <f>VLOOKUP($A24,ANNUAL!$1:$1048576,17,0)</f>
        <v>#REF!</v>
      </c>
      <c r="BK24" s="3" t="e">
        <f>VLOOKUP($A24,ANNUAL!$1:$1048576,18,0)</f>
        <v>#REF!</v>
      </c>
      <c r="BL24" s="3" t="e">
        <f>VLOOKUP($A24,ANNUAL!$1:$1048576,19,0)</f>
        <v>#REF!</v>
      </c>
      <c r="BM24" s="3" t="e">
        <f>VLOOKUP($A24,ANNUAL!$1:$1048576,20,0)</f>
        <v>#REF!</v>
      </c>
    </row>
    <row r="25" spans="1:65">
      <c r="A25" s="1" t="e">
        <f>DETAILS!#REF!</f>
        <v>#REF!</v>
      </c>
      <c r="B25" s="3" t="e">
        <f>DETAILS!#REF!</f>
        <v>#REF!</v>
      </c>
      <c r="C25" s="3" t="e">
        <f>VLOOKUP(A25,'UT-I'!$A$1:$EA$1758,3,0)</f>
        <v>#REF!</v>
      </c>
      <c r="D25" s="3" t="e">
        <f>VLOOKUP($A25,'HALF YEARLY'!$1:$1048576,3,0)</f>
        <v>#REF!</v>
      </c>
      <c r="E25" s="3" t="e">
        <f>VLOOKUP($A25,'UT-II'!$1:$1048576,3,0)</f>
        <v>#REF!</v>
      </c>
      <c r="F25" s="3" t="e">
        <f>VLOOKUP($A25,ANNUAL!$1:$1048576,3,0)</f>
        <v>#REF!</v>
      </c>
      <c r="G25" s="3" t="e">
        <f>VLOOKUP(A25,'UT-I'!$A$1:$EA$1758,4,0)</f>
        <v>#REF!</v>
      </c>
      <c r="H25" s="3" t="e">
        <f>VLOOKUP($A25,'HALF YEARLY'!$1:$1048576,4,0)</f>
        <v>#REF!</v>
      </c>
      <c r="I25" s="3" t="e">
        <f>VLOOKUP($A25,'UT-II'!$1:$1048576,4,0)</f>
        <v>#REF!</v>
      </c>
      <c r="J25" s="3" t="e">
        <f>VLOOKUP($A25,ANNUAL!$1:$1048576,4,0)</f>
        <v>#REF!</v>
      </c>
      <c r="K25" s="3" t="e">
        <f>VLOOKUP(A25,'UT-I'!$A$1:$EA$1758,5,0)</f>
        <v>#REF!</v>
      </c>
      <c r="L25" s="3" t="e">
        <f>VLOOKUP($A25,'HALF YEARLY'!$1:$1048576,5,0)</f>
        <v>#REF!</v>
      </c>
      <c r="M25" s="3" t="e">
        <f>VLOOKUP($A25,'UT-II'!$1:$1048576,5,0)</f>
        <v>#REF!</v>
      </c>
      <c r="N25" s="3" t="e">
        <f>VLOOKUP($A25,ANNUAL!$1:$1048576,5,0)</f>
        <v>#REF!</v>
      </c>
      <c r="O25" s="3" t="e">
        <f>VLOOKUP(A25,'UT-I'!$A$1:$EA$1758,6,0)</f>
        <v>#REF!</v>
      </c>
      <c r="P25" s="3" t="e">
        <f>VLOOKUP($A25,'HALF YEARLY'!$1:$1048576,6,0)</f>
        <v>#REF!</v>
      </c>
      <c r="Q25" s="3" t="e">
        <f>VLOOKUP($A25,'UT-II'!$1:$1048576,6,0)</f>
        <v>#REF!</v>
      </c>
      <c r="R25" s="3" t="e">
        <f>VLOOKUP($A25,ANNUAL!$1:$1048576,6,0)</f>
        <v>#REF!</v>
      </c>
      <c r="S25" s="3" t="e">
        <f>VLOOKUP(A25,'UT-I'!$A$1:$EA$1758,7,0)</f>
        <v>#REF!</v>
      </c>
      <c r="T25" s="3" t="e">
        <f>VLOOKUP($A25,'HALF YEARLY'!$1:$1048576,7,0)</f>
        <v>#REF!</v>
      </c>
      <c r="U25" s="3" t="e">
        <f>VLOOKUP($A25,'UT-II'!$1:$1048576,7,0)</f>
        <v>#REF!</v>
      </c>
      <c r="V25" s="3" t="e">
        <f>VLOOKUP($A25,ANNUAL!$1:$1048576,7,0)</f>
        <v>#REF!</v>
      </c>
      <c r="W25" s="3" t="e">
        <f>VLOOKUP(A25,'UT-I'!$A$1:$EA$1758,8,0)</f>
        <v>#REF!</v>
      </c>
      <c r="X25" s="3" t="e">
        <f>VLOOKUP($A25,'HALF YEARLY'!$1:$1048576,8,0)</f>
        <v>#REF!</v>
      </c>
      <c r="Y25" s="3" t="e">
        <f>VLOOKUP($A25,'UT-II'!$1:$1048576,8,0)</f>
        <v>#REF!</v>
      </c>
      <c r="Z25" s="3" t="e">
        <f>VLOOKUP($A25,ANNUAL!$1:$1048576,8,0)</f>
        <v>#REF!</v>
      </c>
      <c r="AA25" s="3" t="e">
        <f>VLOOKUP(A25,'UT-I'!$A$1:$EA$1758,9,0)</f>
        <v>#REF!</v>
      </c>
      <c r="AB25" s="3" t="e">
        <f>VLOOKUP($A25,'HALF YEARLY'!$1:$1048576,9,0)</f>
        <v>#REF!</v>
      </c>
      <c r="AC25" s="3" t="e">
        <f>VLOOKUP($A25,'UT-II'!$1:$1048576,9,0)</f>
        <v>#REF!</v>
      </c>
      <c r="AD25" s="3" t="e">
        <f>VLOOKUP($A25,ANNUAL!$1:$1048576,9,0)</f>
        <v>#REF!</v>
      </c>
      <c r="AE25" s="3" t="e">
        <f>VLOOKUP(A25,'UT-I'!$A$1:$EA$1758,10,0)</f>
        <v>#REF!</v>
      </c>
      <c r="AF25" s="3" t="e">
        <f>VLOOKUP($A25,'HALF YEARLY'!$1:$1048576,10,0)</f>
        <v>#REF!</v>
      </c>
      <c r="AG25" s="3" t="e">
        <f>VLOOKUP($A25,'UT-II'!$1:$1048576,10,0)</f>
        <v>#REF!</v>
      </c>
      <c r="AH25" s="3" t="e">
        <f>VLOOKUP($A25,ANNUAL!$1:$1048576,10,0)</f>
        <v>#REF!</v>
      </c>
      <c r="AI25" s="3" t="e">
        <f>VLOOKUP(A25,'UT-I'!$A$1:$EA$1758,11,0)</f>
        <v>#REF!</v>
      </c>
      <c r="AJ25" s="3" t="e">
        <f>VLOOKUP($A25,'HALF YEARLY'!$1:$1048576,11,0)</f>
        <v>#REF!</v>
      </c>
      <c r="AK25" s="3" t="e">
        <f>VLOOKUP($A25,'UT-II'!$1:$1048576,11,0)</f>
        <v>#REF!</v>
      </c>
      <c r="AL25" s="3" t="e">
        <f>VLOOKUP($A25,ANNUAL!$1:$1048576,11,0)</f>
        <v>#REF!</v>
      </c>
      <c r="AM25" s="3" t="e">
        <f>VLOOKUP(A25,'UT-I'!$A$1:$EA$1758,12,0)</f>
        <v>#REF!</v>
      </c>
      <c r="AN25" s="3" t="e">
        <f>VLOOKUP($A25,'HALF YEARLY'!$1:$1048576,12,0)</f>
        <v>#REF!</v>
      </c>
      <c r="AO25" s="3" t="e">
        <f>VLOOKUP($A25,'UT-II'!$1:$1048576,12,0)</f>
        <v>#REF!</v>
      </c>
      <c r="AP25" s="3" t="e">
        <f>VLOOKUP($A25,ANNUAL!$1:$1048576,12,0)</f>
        <v>#REF!</v>
      </c>
      <c r="AQ25" s="3" t="e">
        <f>VLOOKUP(A25,'UT-I'!$A$1:$EA$1758,13,0)</f>
        <v>#REF!</v>
      </c>
      <c r="AR25" s="3" t="e">
        <f>VLOOKUP($A25,'HALF YEARLY'!$1:$1048576,13,0)</f>
        <v>#REF!</v>
      </c>
      <c r="AS25" s="3" t="e">
        <f>VLOOKUP($A25,'UT-II'!$1:$1048576,13,0)</f>
        <v>#REF!</v>
      </c>
      <c r="AT25" s="3" t="e">
        <f>VLOOKUP($A25,ANNUAL!$1:$1048576,13,0)</f>
        <v>#REF!</v>
      </c>
      <c r="AU25" s="3" t="e">
        <f>VLOOKUP(A25,'UT-I'!$A$1:$EA$1758,14,0)</f>
        <v>#REF!</v>
      </c>
      <c r="AV25" s="3" t="e">
        <f>VLOOKUP($A25,'HALF YEARLY'!$1:$1048576,14,0)</f>
        <v>#REF!</v>
      </c>
      <c r="AW25" s="3" t="e">
        <f>VLOOKUP($A25,'UT-II'!$1:$1048576,14,0)</f>
        <v>#REF!</v>
      </c>
      <c r="AX25" s="3" t="e">
        <f>VLOOKUP($A25,ANNUAL!$1:$1048576,14,0)</f>
        <v>#REF!</v>
      </c>
      <c r="AY25" s="3" t="e">
        <f>VLOOKUP(A25,'UT-I'!$A$1:$EA$1758,15,0)</f>
        <v>#REF!</v>
      </c>
      <c r="AZ25" s="3" t="e">
        <f>VLOOKUP($A25,'HALF YEARLY'!$1:$1048576,15,0)</f>
        <v>#REF!</v>
      </c>
      <c r="BA25" s="3" t="e">
        <f>VLOOKUP($A25,'UT-II'!$1:$1048576,15,0)</f>
        <v>#REF!</v>
      </c>
      <c r="BB25" s="3" t="e">
        <f>VLOOKUP($A25,ANNUAL!$1:$1048576,15,0)</f>
        <v>#REF!</v>
      </c>
      <c r="BC25" s="3" t="e">
        <f>VLOOKUP(A25,'UT-I'!$A$1:$EA$1758,16,0)</f>
        <v>#REF!</v>
      </c>
      <c r="BD25" s="3" t="e">
        <f>VLOOKUP($A25,'HALF YEARLY'!$1:$1048576,16,0)</f>
        <v>#REF!</v>
      </c>
      <c r="BE25" s="3" t="e">
        <f>VLOOKUP($A25,'UT-II'!$1:$1048576,16,0)</f>
        <v>#REF!</v>
      </c>
      <c r="BF25" s="3" t="e">
        <f>VLOOKUP($A25,ANNUAL!$1:$1048576,16,0)</f>
        <v>#REF!</v>
      </c>
      <c r="BG25" s="3" t="e">
        <f>VLOOKUP(A25,'UT-I'!$A$1:$EA$1758,17,0)</f>
        <v>#REF!</v>
      </c>
      <c r="BH25" s="3" t="e">
        <f>VLOOKUP($A25,'HALF YEARLY'!$1:$1048576,17,0)</f>
        <v>#REF!</v>
      </c>
      <c r="BI25" s="3" t="e">
        <f>VLOOKUP($A25,'UT-II'!$1:$1048576,17,0)</f>
        <v>#REF!</v>
      </c>
      <c r="BJ25" s="3" t="e">
        <f>VLOOKUP($A25,ANNUAL!$1:$1048576,17,0)</f>
        <v>#REF!</v>
      </c>
      <c r="BK25" s="3" t="e">
        <f>VLOOKUP($A25,ANNUAL!$1:$1048576,18,0)</f>
        <v>#REF!</v>
      </c>
      <c r="BL25" s="3" t="e">
        <f>VLOOKUP($A25,ANNUAL!$1:$1048576,19,0)</f>
        <v>#REF!</v>
      </c>
      <c r="BM25" s="3" t="e">
        <f>VLOOKUP($A25,ANNUAL!$1:$1048576,20,0)</f>
        <v>#REF!</v>
      </c>
    </row>
    <row r="26" spans="1:65">
      <c r="A26" s="1" t="e">
        <f>DETAILS!#REF!</f>
        <v>#REF!</v>
      </c>
      <c r="B26" s="3" t="e">
        <f>DETAILS!#REF!</f>
        <v>#REF!</v>
      </c>
      <c r="C26" s="3" t="e">
        <f>VLOOKUP(A26,'UT-I'!$A$1:$EA$1758,3,0)</f>
        <v>#REF!</v>
      </c>
      <c r="D26" s="3" t="e">
        <f>VLOOKUP($A26,'HALF YEARLY'!$1:$1048576,3,0)</f>
        <v>#REF!</v>
      </c>
      <c r="E26" s="3" t="e">
        <f>VLOOKUP($A26,'UT-II'!$1:$1048576,3,0)</f>
        <v>#REF!</v>
      </c>
      <c r="F26" s="3" t="e">
        <f>VLOOKUP($A26,ANNUAL!$1:$1048576,3,0)</f>
        <v>#REF!</v>
      </c>
      <c r="G26" s="3" t="e">
        <f>VLOOKUP(A26,'UT-I'!$A$1:$EA$1758,4,0)</f>
        <v>#REF!</v>
      </c>
      <c r="H26" s="3" t="e">
        <f>VLOOKUP($A26,'HALF YEARLY'!$1:$1048576,4,0)</f>
        <v>#REF!</v>
      </c>
      <c r="I26" s="3" t="e">
        <f>VLOOKUP($A26,'UT-II'!$1:$1048576,4,0)</f>
        <v>#REF!</v>
      </c>
      <c r="J26" s="3" t="e">
        <f>VLOOKUP($A26,ANNUAL!$1:$1048576,4,0)</f>
        <v>#REF!</v>
      </c>
      <c r="K26" s="3" t="e">
        <f>VLOOKUP(A26,'UT-I'!$A$1:$EA$1758,5,0)</f>
        <v>#REF!</v>
      </c>
      <c r="L26" s="3" t="e">
        <f>VLOOKUP($A26,'HALF YEARLY'!$1:$1048576,5,0)</f>
        <v>#REF!</v>
      </c>
      <c r="M26" s="3" t="e">
        <f>VLOOKUP($A26,'UT-II'!$1:$1048576,5,0)</f>
        <v>#REF!</v>
      </c>
      <c r="N26" s="3" t="e">
        <f>VLOOKUP($A26,ANNUAL!$1:$1048576,5,0)</f>
        <v>#REF!</v>
      </c>
      <c r="O26" s="3" t="e">
        <f>VLOOKUP(A26,'UT-I'!$A$1:$EA$1758,6,0)</f>
        <v>#REF!</v>
      </c>
      <c r="P26" s="3" t="e">
        <f>VLOOKUP($A26,'HALF YEARLY'!$1:$1048576,6,0)</f>
        <v>#REF!</v>
      </c>
      <c r="Q26" s="3" t="e">
        <f>VLOOKUP($A26,'UT-II'!$1:$1048576,6,0)</f>
        <v>#REF!</v>
      </c>
      <c r="R26" s="3" t="e">
        <f>VLOOKUP($A26,ANNUAL!$1:$1048576,6,0)</f>
        <v>#REF!</v>
      </c>
      <c r="S26" s="3" t="e">
        <f>VLOOKUP(A26,'UT-I'!$A$1:$EA$1758,7,0)</f>
        <v>#REF!</v>
      </c>
      <c r="T26" s="3" t="e">
        <f>VLOOKUP($A26,'HALF YEARLY'!$1:$1048576,7,0)</f>
        <v>#REF!</v>
      </c>
      <c r="U26" s="3" t="e">
        <f>VLOOKUP($A26,'UT-II'!$1:$1048576,7,0)</f>
        <v>#REF!</v>
      </c>
      <c r="V26" s="3" t="e">
        <f>VLOOKUP($A26,ANNUAL!$1:$1048576,7,0)</f>
        <v>#REF!</v>
      </c>
      <c r="W26" s="3" t="e">
        <f>VLOOKUP(A26,'UT-I'!$A$1:$EA$1758,8,0)</f>
        <v>#REF!</v>
      </c>
      <c r="X26" s="3" t="e">
        <f>VLOOKUP($A26,'HALF YEARLY'!$1:$1048576,8,0)</f>
        <v>#REF!</v>
      </c>
      <c r="Y26" s="3" t="e">
        <f>VLOOKUP($A26,'UT-II'!$1:$1048576,8,0)</f>
        <v>#REF!</v>
      </c>
      <c r="Z26" s="3" t="e">
        <f>VLOOKUP($A26,ANNUAL!$1:$1048576,8,0)</f>
        <v>#REF!</v>
      </c>
      <c r="AA26" s="3" t="e">
        <f>VLOOKUP(A26,'UT-I'!$A$1:$EA$1758,9,0)</f>
        <v>#REF!</v>
      </c>
      <c r="AB26" s="3" t="e">
        <f>VLOOKUP($A26,'HALF YEARLY'!$1:$1048576,9,0)</f>
        <v>#REF!</v>
      </c>
      <c r="AC26" s="3" t="e">
        <f>VLOOKUP($A26,'UT-II'!$1:$1048576,9,0)</f>
        <v>#REF!</v>
      </c>
      <c r="AD26" s="3" t="e">
        <f>VLOOKUP($A26,ANNUAL!$1:$1048576,9,0)</f>
        <v>#REF!</v>
      </c>
      <c r="AE26" s="3" t="e">
        <f>VLOOKUP(A26,'UT-I'!$A$1:$EA$1758,10,0)</f>
        <v>#REF!</v>
      </c>
      <c r="AF26" s="3" t="e">
        <f>VLOOKUP($A26,'HALF YEARLY'!$1:$1048576,10,0)</f>
        <v>#REF!</v>
      </c>
      <c r="AG26" s="3" t="e">
        <f>VLOOKUP($A26,'UT-II'!$1:$1048576,10,0)</f>
        <v>#REF!</v>
      </c>
      <c r="AH26" s="3" t="e">
        <f>VLOOKUP($A26,ANNUAL!$1:$1048576,10,0)</f>
        <v>#REF!</v>
      </c>
      <c r="AI26" s="3" t="e">
        <f>VLOOKUP(A26,'UT-I'!$A$1:$EA$1758,11,0)</f>
        <v>#REF!</v>
      </c>
      <c r="AJ26" s="3" t="e">
        <f>VLOOKUP($A26,'HALF YEARLY'!$1:$1048576,11,0)</f>
        <v>#REF!</v>
      </c>
      <c r="AK26" s="3" t="e">
        <f>VLOOKUP($A26,'UT-II'!$1:$1048576,11,0)</f>
        <v>#REF!</v>
      </c>
      <c r="AL26" s="3" t="e">
        <f>VLOOKUP($A26,ANNUAL!$1:$1048576,11,0)</f>
        <v>#REF!</v>
      </c>
      <c r="AM26" s="3" t="e">
        <f>VLOOKUP(A26,'UT-I'!$A$1:$EA$1758,12,0)</f>
        <v>#REF!</v>
      </c>
      <c r="AN26" s="3" t="e">
        <f>VLOOKUP($A26,'HALF YEARLY'!$1:$1048576,12,0)</f>
        <v>#REF!</v>
      </c>
      <c r="AO26" s="3" t="e">
        <f>VLOOKUP($A26,'UT-II'!$1:$1048576,12,0)</f>
        <v>#REF!</v>
      </c>
      <c r="AP26" s="3" t="e">
        <f>VLOOKUP($A26,ANNUAL!$1:$1048576,12,0)</f>
        <v>#REF!</v>
      </c>
      <c r="AQ26" s="3" t="e">
        <f>VLOOKUP(A26,'UT-I'!$A$1:$EA$1758,13,0)</f>
        <v>#REF!</v>
      </c>
      <c r="AR26" s="3" t="e">
        <f>VLOOKUP($A26,'HALF YEARLY'!$1:$1048576,13,0)</f>
        <v>#REF!</v>
      </c>
      <c r="AS26" s="3" t="e">
        <f>VLOOKUP($A26,'UT-II'!$1:$1048576,13,0)</f>
        <v>#REF!</v>
      </c>
      <c r="AT26" s="3" t="e">
        <f>VLOOKUP($A26,ANNUAL!$1:$1048576,13,0)</f>
        <v>#REF!</v>
      </c>
      <c r="AU26" s="3" t="e">
        <f>VLOOKUP(A26,'UT-I'!$A$1:$EA$1758,14,0)</f>
        <v>#REF!</v>
      </c>
      <c r="AV26" s="3" t="e">
        <f>VLOOKUP($A26,'HALF YEARLY'!$1:$1048576,14,0)</f>
        <v>#REF!</v>
      </c>
      <c r="AW26" s="3" t="e">
        <f>VLOOKUP($A26,'UT-II'!$1:$1048576,14,0)</f>
        <v>#REF!</v>
      </c>
      <c r="AX26" s="3" t="e">
        <f>VLOOKUP($A26,ANNUAL!$1:$1048576,14,0)</f>
        <v>#REF!</v>
      </c>
      <c r="AY26" s="3" t="e">
        <f>VLOOKUP(A26,'UT-I'!$A$1:$EA$1758,15,0)</f>
        <v>#REF!</v>
      </c>
      <c r="AZ26" s="3" t="e">
        <f>VLOOKUP($A26,'HALF YEARLY'!$1:$1048576,15,0)</f>
        <v>#REF!</v>
      </c>
      <c r="BA26" s="3" t="e">
        <f>VLOOKUP($A26,'UT-II'!$1:$1048576,15,0)</f>
        <v>#REF!</v>
      </c>
      <c r="BB26" s="3" t="e">
        <f>VLOOKUP($A26,ANNUAL!$1:$1048576,15,0)</f>
        <v>#REF!</v>
      </c>
      <c r="BC26" s="3" t="e">
        <f>VLOOKUP(A26,'UT-I'!$A$1:$EA$1758,16,0)</f>
        <v>#REF!</v>
      </c>
      <c r="BD26" s="3" t="e">
        <f>VLOOKUP($A26,'HALF YEARLY'!$1:$1048576,16,0)</f>
        <v>#REF!</v>
      </c>
      <c r="BE26" s="3" t="e">
        <f>VLOOKUP($A26,'UT-II'!$1:$1048576,16,0)</f>
        <v>#REF!</v>
      </c>
      <c r="BF26" s="3" t="e">
        <f>VLOOKUP($A26,ANNUAL!$1:$1048576,16,0)</f>
        <v>#REF!</v>
      </c>
      <c r="BG26" s="3" t="e">
        <f>VLOOKUP(A26,'UT-I'!$A$1:$EA$1758,17,0)</f>
        <v>#REF!</v>
      </c>
      <c r="BH26" s="3" t="e">
        <f>VLOOKUP($A26,'HALF YEARLY'!$1:$1048576,17,0)</f>
        <v>#REF!</v>
      </c>
      <c r="BI26" s="3" t="e">
        <f>VLOOKUP($A26,'UT-II'!$1:$1048576,17,0)</f>
        <v>#REF!</v>
      </c>
      <c r="BJ26" s="3" t="e">
        <f>VLOOKUP($A26,ANNUAL!$1:$1048576,17,0)</f>
        <v>#REF!</v>
      </c>
      <c r="BK26" s="3" t="e">
        <f>VLOOKUP($A26,ANNUAL!$1:$1048576,18,0)</f>
        <v>#REF!</v>
      </c>
      <c r="BL26" s="3" t="e">
        <f>VLOOKUP($A26,ANNUAL!$1:$1048576,19,0)</f>
        <v>#REF!</v>
      </c>
      <c r="BM26" s="3" t="e">
        <f>VLOOKUP($A26,ANNUAL!$1:$1048576,20,0)</f>
        <v>#REF!</v>
      </c>
    </row>
    <row r="27" spans="1:65">
      <c r="A27" s="1">
        <f>DETAILS!A14</f>
        <v>1858</v>
      </c>
      <c r="B27" s="3" t="str">
        <f>DETAILS!B14</f>
        <v>DEVESH RAJPOOT</v>
      </c>
      <c r="C27" s="3">
        <f>VLOOKUP(A27,'UT-I'!$A$1:$EA$1758,3,0)</f>
        <v>46</v>
      </c>
      <c r="D27" s="3">
        <f>VLOOKUP($A27,'HALF YEARLY'!$1:$1048576,3,0)</f>
        <v>34</v>
      </c>
      <c r="E27" s="3">
        <f>VLOOKUP($A27,'UT-II'!$1:$1048576,3,0)</f>
        <v>0</v>
      </c>
      <c r="F27" s="3">
        <f>VLOOKUP($A27,ANNUAL!$1:$1048576,3,0)</f>
        <v>44</v>
      </c>
      <c r="G27" s="3">
        <f>VLOOKUP(A27,'UT-I'!$A$1:$EA$1758,4,0)</f>
        <v>45</v>
      </c>
      <c r="H27" s="3">
        <f>VLOOKUP($A27,'HALF YEARLY'!$1:$1048576,4,0)</f>
        <v>25</v>
      </c>
      <c r="I27" s="3">
        <f>VLOOKUP($A27,'UT-II'!$1:$1048576,4,0)</f>
        <v>0</v>
      </c>
      <c r="J27" s="3">
        <f>VLOOKUP($A27,ANNUAL!$1:$1048576,4,0)</f>
        <v>48</v>
      </c>
      <c r="K27" s="3">
        <f>VLOOKUP(A27,'UT-I'!$A$1:$EA$1758,5,0)</f>
        <v>40</v>
      </c>
      <c r="L27" s="3">
        <f>VLOOKUP($A27,'HALF YEARLY'!$1:$1048576,5,0)</f>
        <v>38</v>
      </c>
      <c r="M27" s="3">
        <f>VLOOKUP($A27,'UT-II'!$1:$1048576,5,0)</f>
        <v>0</v>
      </c>
      <c r="N27" s="3">
        <f>VLOOKUP($A27,ANNUAL!$1:$1048576,5,0)</f>
        <v>42</v>
      </c>
      <c r="O27" s="3">
        <f>VLOOKUP(A27,'UT-I'!$A$1:$EA$1758,6,0)</f>
        <v>44</v>
      </c>
      <c r="P27" s="3">
        <f>VLOOKUP($A27,'HALF YEARLY'!$1:$1048576,6,0)</f>
        <v>37</v>
      </c>
      <c r="Q27" s="3">
        <f>VLOOKUP($A27,'UT-II'!$1:$1048576,6,0)</f>
        <v>0</v>
      </c>
      <c r="R27" s="3">
        <f>VLOOKUP($A27,ANNUAL!$1:$1048576,6,0)</f>
        <v>50</v>
      </c>
      <c r="S27" s="3">
        <f>VLOOKUP(A27,'UT-I'!$A$1:$EA$1758,7,0)</f>
        <v>50</v>
      </c>
      <c r="T27" s="3">
        <f>VLOOKUP($A27,'HALF YEARLY'!$1:$1048576,7,0)</f>
        <v>20</v>
      </c>
      <c r="U27" s="3">
        <f>VLOOKUP($A27,'UT-II'!$1:$1048576,7,0)</f>
        <v>0</v>
      </c>
      <c r="V27" s="3">
        <f>VLOOKUP($A27,ANNUAL!$1:$1048576,7,0)</f>
        <v>48</v>
      </c>
      <c r="W27" s="3">
        <f>VLOOKUP(A27,'UT-I'!$A$1:$EA$1758,8,0)</f>
        <v>40</v>
      </c>
      <c r="X27" s="3">
        <f>VLOOKUP($A27,'HALF YEARLY'!$1:$1048576,8,0)</f>
        <v>41</v>
      </c>
      <c r="Y27" s="3">
        <f>VLOOKUP($A27,'UT-II'!$1:$1048576,8,0)</f>
        <v>0</v>
      </c>
      <c r="Z27" s="3">
        <f>VLOOKUP($A27,ANNUAL!$1:$1048576,8,0)</f>
        <v>45</v>
      </c>
      <c r="AA27" s="3">
        <f>VLOOKUP(A27,'UT-I'!$A$1:$EA$1758,9,0)</f>
        <v>40</v>
      </c>
      <c r="AB27" s="3">
        <f>VLOOKUP($A27,'HALF YEARLY'!$1:$1048576,9,0)</f>
        <v>27</v>
      </c>
      <c r="AC27" s="3">
        <f>VLOOKUP($A27,'UT-II'!$1:$1048576,9,0)</f>
        <v>0</v>
      </c>
      <c r="AD27" s="3">
        <f>VLOOKUP($A27,ANNUAL!$1:$1048576,9,0)</f>
        <v>50</v>
      </c>
      <c r="AE27" s="3">
        <f>VLOOKUP(A27,'UT-I'!$A$1:$EA$1758,10,0)</f>
        <v>40</v>
      </c>
      <c r="AF27" s="3">
        <f>VLOOKUP($A27,'HALF YEARLY'!$1:$1048576,10,0)</f>
        <v>20</v>
      </c>
      <c r="AG27" s="3">
        <f>VLOOKUP($A27,'UT-II'!$1:$1048576,10,0)</f>
        <v>0</v>
      </c>
      <c r="AH27" s="3">
        <f>VLOOKUP($A27,ANNUAL!$1:$1048576,10,0)</f>
        <v>45</v>
      </c>
      <c r="AI27" s="3">
        <f>VLOOKUP(A27,'UT-I'!$A$1:$EA$1758,11,0)</f>
        <v>40</v>
      </c>
      <c r="AJ27" s="3">
        <f>VLOOKUP($A27,'HALF YEARLY'!$1:$1048576,11,0)</f>
        <v>30</v>
      </c>
      <c r="AK27" s="3">
        <f>VLOOKUP($A27,'UT-II'!$1:$1048576,11,0)</f>
        <v>0</v>
      </c>
      <c r="AL27" s="3">
        <f>VLOOKUP($A27,ANNUAL!$1:$1048576,11,0)</f>
        <v>48</v>
      </c>
      <c r="AM27" s="3">
        <f>VLOOKUP(A27,'UT-I'!$A$1:$EA$1758,12,0)</f>
        <v>40</v>
      </c>
      <c r="AN27" s="3">
        <f>VLOOKUP($A27,'HALF YEARLY'!$1:$1048576,12,0)</f>
        <v>27</v>
      </c>
      <c r="AO27" s="3">
        <f>VLOOKUP($A27,'UT-II'!$1:$1048576,12,0)</f>
        <v>0</v>
      </c>
      <c r="AP27" s="3">
        <f>VLOOKUP($A27,ANNUAL!$1:$1048576,12,0)</f>
        <v>50</v>
      </c>
      <c r="AQ27" s="3" t="str">
        <f>VLOOKUP(A27,'UT-I'!$A$1:$EA$1758,13,0)</f>
        <v>A</v>
      </c>
      <c r="AR27" s="3" t="str">
        <f>VLOOKUP($A27,'HALF YEARLY'!$1:$1048576,13,0)</f>
        <v>D</v>
      </c>
      <c r="AS27" s="3">
        <f>VLOOKUP($A27,'UT-II'!$1:$1048576,13,0)</f>
        <v>0</v>
      </c>
      <c r="AT27" s="3" t="str">
        <f>VLOOKUP($A27,ANNUAL!$1:$1048576,13,0)</f>
        <v>A</v>
      </c>
      <c r="AU27" s="3" t="str">
        <f>VLOOKUP(A27,'UT-I'!$A$1:$EA$1758,14,0)</f>
        <v>A</v>
      </c>
      <c r="AV27" s="3" t="str">
        <f>VLOOKUP($A27,'HALF YEARLY'!$1:$1048576,14,0)</f>
        <v>A</v>
      </c>
      <c r="AW27" s="3">
        <f>VLOOKUP($A27,'UT-II'!$1:$1048576,14,0)</f>
        <v>0</v>
      </c>
      <c r="AX27" s="3" t="str">
        <f>VLOOKUP($A27,ANNUAL!$1:$1048576,14,0)</f>
        <v>B</v>
      </c>
      <c r="AY27" s="3" t="str">
        <f>VLOOKUP(A27,'UT-I'!$A$1:$EA$1758,15,0)</f>
        <v>A</v>
      </c>
      <c r="AZ27" s="3" t="str">
        <f>VLOOKUP($A27,'HALF YEARLY'!$1:$1048576,15,0)</f>
        <v>B</v>
      </c>
      <c r="BA27" s="3">
        <f>VLOOKUP($A27,'UT-II'!$1:$1048576,15,0)</f>
        <v>0</v>
      </c>
      <c r="BB27" s="3" t="str">
        <f>VLOOKUP($A27,ANNUAL!$1:$1048576,15,0)</f>
        <v>A</v>
      </c>
      <c r="BC27" s="3" t="str">
        <f>VLOOKUP(A27,'UT-I'!$A$1:$EA$1758,16,0)</f>
        <v>A</v>
      </c>
      <c r="BD27" s="3" t="str">
        <f>VLOOKUP($A27,'HALF YEARLY'!$1:$1048576,16,0)</f>
        <v>A</v>
      </c>
      <c r="BE27" s="3">
        <f>VLOOKUP($A27,'UT-II'!$1:$1048576,16,0)</f>
        <v>0</v>
      </c>
      <c r="BF27" s="3" t="str">
        <f>VLOOKUP($A27,ANNUAL!$1:$1048576,16,0)</f>
        <v>A</v>
      </c>
      <c r="BG27" s="3">
        <f>VLOOKUP(A27,'UT-I'!$A$1:$EA$1758,17,0)</f>
        <v>425</v>
      </c>
      <c r="BH27" s="3">
        <f>VLOOKUP($A27,'HALF YEARLY'!$1:$1048576,17,0)</f>
        <v>299</v>
      </c>
      <c r="BI27" s="3">
        <f>VLOOKUP($A27,'UT-II'!$1:$1048576,17,0)</f>
        <v>0</v>
      </c>
      <c r="BJ27" s="3" t="str">
        <f>VLOOKUP($A27,ANNUAL!$1:$1048576,17,0)</f>
        <v>A</v>
      </c>
      <c r="BK27" s="3">
        <f>VLOOKUP($A27,ANNUAL!$1:$1048576,18,0)</f>
        <v>153</v>
      </c>
      <c r="BL27" s="3">
        <f>VLOOKUP($A27,ANNUAL!$1:$1048576,19,0)</f>
        <v>169</v>
      </c>
      <c r="BM27" s="3" t="str">
        <f>VLOOKUP($A27,ANNUAL!$1:$1048576,20,0)</f>
        <v>Great Potential- Stay Focused!</v>
      </c>
    </row>
    <row r="28" spans="1:65">
      <c r="A28" s="1">
        <f>DETAILS!A15</f>
        <v>1877</v>
      </c>
      <c r="B28" s="3" t="str">
        <f>DETAILS!B15</f>
        <v>INDRABH YADAV</v>
      </c>
      <c r="C28" s="3">
        <f>VLOOKUP(A28,'UT-I'!$A$1:$EA$1758,3,0)</f>
        <v>43</v>
      </c>
      <c r="D28" s="3">
        <f>VLOOKUP($A28,'HALF YEARLY'!$1:$1048576,3,0)</f>
        <v>25</v>
      </c>
      <c r="E28" s="3">
        <f>VLOOKUP($A28,'UT-II'!$1:$1048576,3,0)</f>
        <v>0</v>
      </c>
      <c r="F28" s="3">
        <f>VLOOKUP($A28,ANNUAL!$1:$1048576,3,0)</f>
        <v>17</v>
      </c>
      <c r="G28" s="3">
        <f>VLOOKUP(A28,'UT-I'!$A$1:$EA$1758,4,0)</f>
        <v>50</v>
      </c>
      <c r="H28" s="3">
        <f>VLOOKUP($A28,'HALF YEARLY'!$1:$1048576,4,0)</f>
        <v>25</v>
      </c>
      <c r="I28" s="3">
        <f>VLOOKUP($A28,'UT-II'!$1:$1048576,4,0)</f>
        <v>0</v>
      </c>
      <c r="J28" s="3">
        <f>VLOOKUP($A28,ANNUAL!$1:$1048576,4,0)</f>
        <v>17</v>
      </c>
      <c r="K28" s="3">
        <f>VLOOKUP(A28,'UT-I'!$A$1:$EA$1758,5,0)</f>
        <v>40</v>
      </c>
      <c r="L28" s="3">
        <f>VLOOKUP($A28,'HALF YEARLY'!$1:$1048576,5,0)</f>
        <v>41</v>
      </c>
      <c r="M28" s="3">
        <f>VLOOKUP($A28,'UT-II'!$1:$1048576,5,0)</f>
        <v>0</v>
      </c>
      <c r="N28" s="3">
        <f>VLOOKUP($A28,ANNUAL!$1:$1048576,5,0)</f>
        <v>17</v>
      </c>
      <c r="O28" s="3">
        <f>VLOOKUP(A28,'UT-I'!$A$1:$EA$1758,6,0)</f>
        <v>41</v>
      </c>
      <c r="P28" s="3">
        <f>VLOOKUP($A28,'HALF YEARLY'!$1:$1048576,6,0)</f>
        <v>40</v>
      </c>
      <c r="Q28" s="3">
        <f>VLOOKUP($A28,'UT-II'!$1:$1048576,6,0)</f>
        <v>0</v>
      </c>
      <c r="R28" s="3">
        <f>VLOOKUP($A28,ANNUAL!$1:$1048576,6,0)</f>
        <v>35</v>
      </c>
      <c r="S28" s="3">
        <f>VLOOKUP(A28,'UT-I'!$A$1:$EA$1758,7,0)</f>
        <v>45</v>
      </c>
      <c r="T28" s="3">
        <f>VLOOKUP($A28,'HALF YEARLY'!$1:$1048576,7,0)</f>
        <v>35</v>
      </c>
      <c r="U28" s="3">
        <f>VLOOKUP($A28,'UT-II'!$1:$1048576,7,0)</f>
        <v>0</v>
      </c>
      <c r="V28" s="3">
        <f>VLOOKUP($A28,ANNUAL!$1:$1048576,7,0)</f>
        <v>40</v>
      </c>
      <c r="W28" s="3">
        <f>VLOOKUP(A28,'UT-I'!$A$1:$EA$1758,8,0)</f>
        <v>40</v>
      </c>
      <c r="X28" s="3">
        <f>VLOOKUP($A28,'HALF YEARLY'!$1:$1048576,8,0)</f>
        <v>25</v>
      </c>
      <c r="Y28" s="3">
        <f>VLOOKUP($A28,'UT-II'!$1:$1048576,8,0)</f>
        <v>0</v>
      </c>
      <c r="Z28" s="3">
        <f>VLOOKUP($A28,ANNUAL!$1:$1048576,8,0)</f>
        <v>17</v>
      </c>
      <c r="AA28" s="3">
        <f>VLOOKUP(A28,'UT-I'!$A$1:$EA$1758,9,0)</f>
        <v>45</v>
      </c>
      <c r="AB28" s="3">
        <f>VLOOKUP($A28,'HALF YEARLY'!$1:$1048576,9,0)</f>
        <v>39</v>
      </c>
      <c r="AC28" s="3">
        <f>VLOOKUP($A28,'UT-II'!$1:$1048576,9,0)</f>
        <v>0</v>
      </c>
      <c r="AD28" s="3">
        <f>VLOOKUP($A28,ANNUAL!$1:$1048576,9,0)</f>
        <v>42</v>
      </c>
      <c r="AE28" s="3">
        <f>VLOOKUP(A28,'UT-I'!$A$1:$EA$1758,10,0)</f>
        <v>45</v>
      </c>
      <c r="AF28" s="3">
        <f>VLOOKUP($A28,'HALF YEARLY'!$1:$1048576,10,0)</f>
        <v>45</v>
      </c>
      <c r="AG28" s="3">
        <f>VLOOKUP($A28,'UT-II'!$1:$1048576,10,0)</f>
        <v>0</v>
      </c>
      <c r="AH28" s="3">
        <f>VLOOKUP($A28,ANNUAL!$1:$1048576,10,0)</f>
        <v>40</v>
      </c>
      <c r="AI28" s="3">
        <f>VLOOKUP(A28,'UT-I'!$A$1:$EA$1758,11,0)</f>
        <v>50</v>
      </c>
      <c r="AJ28" s="3">
        <f>VLOOKUP($A28,'HALF YEARLY'!$1:$1048576,11,0)</f>
        <v>45</v>
      </c>
      <c r="AK28" s="3">
        <f>VLOOKUP($A28,'UT-II'!$1:$1048576,11,0)</f>
        <v>0</v>
      </c>
      <c r="AL28" s="3">
        <f>VLOOKUP($A28,ANNUAL!$1:$1048576,11,0)</f>
        <v>17</v>
      </c>
      <c r="AM28" s="3">
        <f>VLOOKUP(A28,'UT-I'!$A$1:$EA$1758,12,0)</f>
        <v>50</v>
      </c>
      <c r="AN28" s="3">
        <f>VLOOKUP($A28,'HALF YEARLY'!$1:$1048576,12,0)</f>
        <v>25</v>
      </c>
      <c r="AO28" s="3">
        <f>VLOOKUP($A28,'UT-II'!$1:$1048576,12,0)</f>
        <v>0</v>
      </c>
      <c r="AP28" s="3">
        <f>VLOOKUP($A28,ANNUAL!$1:$1048576,12,0)</f>
        <v>17</v>
      </c>
      <c r="AQ28" s="3" t="str">
        <f>VLOOKUP(A28,'UT-I'!$A$1:$EA$1758,13,0)</f>
        <v>A</v>
      </c>
      <c r="AR28" s="3" t="str">
        <f>VLOOKUP($A28,'HALF YEARLY'!$1:$1048576,13,0)</f>
        <v>A</v>
      </c>
      <c r="AS28" s="3">
        <f>VLOOKUP($A28,'UT-II'!$1:$1048576,13,0)</f>
        <v>0</v>
      </c>
      <c r="AT28" s="3" t="str">
        <f>VLOOKUP($A28,ANNUAL!$1:$1048576,13,0)</f>
        <v>B</v>
      </c>
      <c r="AU28" s="3" t="str">
        <f>VLOOKUP(A28,'UT-I'!$A$1:$EA$1758,14,0)</f>
        <v>A</v>
      </c>
      <c r="AV28" s="3" t="str">
        <f>VLOOKUP($A28,'HALF YEARLY'!$1:$1048576,14,0)</f>
        <v>C</v>
      </c>
      <c r="AW28" s="3">
        <f>VLOOKUP($A28,'UT-II'!$1:$1048576,14,0)</f>
        <v>0</v>
      </c>
      <c r="AX28" s="3" t="str">
        <f>VLOOKUP($A28,ANNUAL!$1:$1048576,14,0)</f>
        <v>B</v>
      </c>
      <c r="AY28" s="3" t="str">
        <f>VLOOKUP(A28,'UT-I'!$A$1:$EA$1758,15,0)</f>
        <v>A</v>
      </c>
      <c r="AZ28" s="3" t="str">
        <f>VLOOKUP($A28,'HALF YEARLY'!$1:$1048576,15,0)</f>
        <v>A</v>
      </c>
      <c r="BA28" s="3">
        <f>VLOOKUP($A28,'UT-II'!$1:$1048576,15,0)</f>
        <v>0</v>
      </c>
      <c r="BB28" s="3" t="str">
        <f>VLOOKUP($A28,ANNUAL!$1:$1048576,15,0)</f>
        <v>B</v>
      </c>
      <c r="BC28" s="3" t="str">
        <f>VLOOKUP(A28,'UT-I'!$A$1:$EA$1758,16,0)</f>
        <v>A</v>
      </c>
      <c r="BD28" s="3" t="str">
        <f>VLOOKUP($A28,'HALF YEARLY'!$1:$1048576,16,0)</f>
        <v>A</v>
      </c>
      <c r="BE28" s="3">
        <f>VLOOKUP($A28,'UT-II'!$1:$1048576,16,0)</f>
        <v>0</v>
      </c>
      <c r="BF28" s="3" t="str">
        <f>VLOOKUP($A28,ANNUAL!$1:$1048576,16,0)</f>
        <v>A</v>
      </c>
      <c r="BG28" s="3">
        <f>VLOOKUP(A28,'UT-I'!$A$1:$EA$1758,17,0)</f>
        <v>449</v>
      </c>
      <c r="BH28" s="3">
        <f>VLOOKUP($A28,'HALF YEARLY'!$1:$1048576,17,0)</f>
        <v>345</v>
      </c>
      <c r="BI28" s="3">
        <f>VLOOKUP($A28,'UT-II'!$1:$1048576,17,0)</f>
        <v>0</v>
      </c>
      <c r="BJ28" s="3" t="str">
        <f>VLOOKUP($A28,ANNUAL!$1:$1048576,17,0)</f>
        <v>A</v>
      </c>
      <c r="BK28" s="3">
        <f>VLOOKUP($A28,ANNUAL!$1:$1048576,18,0)</f>
        <v>136</v>
      </c>
      <c r="BL28" s="3">
        <f>VLOOKUP($A28,ANNUAL!$1:$1048576,19,0)</f>
        <v>174</v>
      </c>
      <c r="BM28" s="3" t="str">
        <f>VLOOKUP($A28,ANNUAL!$1:$1048576,20,0)</f>
        <v>Good. Can do better.</v>
      </c>
    </row>
    <row r="29" spans="1:65">
      <c r="A29" s="1">
        <f>DETAILS!A16</f>
        <v>1851</v>
      </c>
      <c r="B29" s="3" t="str">
        <f>DETAILS!B16</f>
        <v>KARTIKEY SINGH</v>
      </c>
      <c r="C29" s="3">
        <f>VLOOKUP(A29,'UT-I'!$A$1:$EA$1758,3,0)</f>
        <v>47</v>
      </c>
      <c r="D29" s="3">
        <f>VLOOKUP($A29,'HALF YEARLY'!$1:$1048576,3,0)</f>
        <v>46</v>
      </c>
      <c r="E29" s="3">
        <f>VLOOKUP($A29,'UT-II'!$1:$1048576,3,0)</f>
        <v>0</v>
      </c>
      <c r="F29" s="3">
        <f>VLOOKUP($A29,ANNUAL!$1:$1048576,3,0)</f>
        <v>44</v>
      </c>
      <c r="G29" s="3">
        <f>VLOOKUP(A29,'UT-I'!$A$1:$EA$1758,4,0)</f>
        <v>45</v>
      </c>
      <c r="H29" s="3">
        <f>VLOOKUP($A29,'HALF YEARLY'!$1:$1048576,4,0)</f>
        <v>30</v>
      </c>
      <c r="I29" s="3">
        <f>VLOOKUP($A29,'UT-II'!$1:$1048576,4,0)</f>
        <v>0</v>
      </c>
      <c r="J29" s="3">
        <f>VLOOKUP($A29,ANNUAL!$1:$1048576,4,0)</f>
        <v>50</v>
      </c>
      <c r="K29" s="3">
        <f>VLOOKUP(A29,'UT-I'!$A$1:$EA$1758,5,0)</f>
        <v>47</v>
      </c>
      <c r="L29" s="3">
        <f>VLOOKUP($A29,'HALF YEARLY'!$1:$1048576,5,0)</f>
        <v>44</v>
      </c>
      <c r="M29" s="3">
        <f>VLOOKUP($A29,'UT-II'!$1:$1048576,5,0)</f>
        <v>0</v>
      </c>
      <c r="N29" s="3">
        <f>VLOOKUP($A29,ANNUAL!$1:$1048576,5,0)</f>
        <v>36</v>
      </c>
      <c r="O29" s="3">
        <f>VLOOKUP(A29,'UT-I'!$A$1:$EA$1758,6,0)</f>
        <v>40</v>
      </c>
      <c r="P29" s="3">
        <f>VLOOKUP($A29,'HALF YEARLY'!$1:$1048576,6,0)</f>
        <v>45</v>
      </c>
      <c r="Q29" s="3">
        <f>VLOOKUP($A29,'UT-II'!$1:$1048576,6,0)</f>
        <v>0</v>
      </c>
      <c r="R29" s="3">
        <f>VLOOKUP($A29,ANNUAL!$1:$1048576,6,0)</f>
        <v>45</v>
      </c>
      <c r="S29" s="3">
        <f>VLOOKUP(A29,'UT-I'!$A$1:$EA$1758,7,0)</f>
        <v>50</v>
      </c>
      <c r="T29" s="3">
        <f>VLOOKUP($A29,'HALF YEARLY'!$1:$1048576,7,0)</f>
        <v>48</v>
      </c>
      <c r="U29" s="3">
        <f>VLOOKUP($A29,'UT-II'!$1:$1048576,7,0)</f>
        <v>0</v>
      </c>
      <c r="V29" s="3">
        <f>VLOOKUP($A29,ANNUAL!$1:$1048576,7,0)</f>
        <v>45</v>
      </c>
      <c r="W29" s="3">
        <f>VLOOKUP(A29,'UT-I'!$A$1:$EA$1758,8,0)</f>
        <v>47</v>
      </c>
      <c r="X29" s="3">
        <f>VLOOKUP($A29,'HALF YEARLY'!$1:$1048576,8,0)</f>
        <v>46</v>
      </c>
      <c r="Y29" s="3">
        <f>VLOOKUP($A29,'UT-II'!$1:$1048576,8,0)</f>
        <v>0</v>
      </c>
      <c r="Z29" s="3">
        <f>VLOOKUP($A29,ANNUAL!$1:$1048576,8,0)</f>
        <v>45</v>
      </c>
      <c r="AA29" s="3">
        <f>VLOOKUP(A29,'UT-I'!$A$1:$EA$1758,9,0)</f>
        <v>47</v>
      </c>
      <c r="AB29" s="3">
        <f>VLOOKUP($A29,'HALF YEARLY'!$1:$1048576,9,0)</f>
        <v>32</v>
      </c>
      <c r="AC29" s="3">
        <f>VLOOKUP($A29,'UT-II'!$1:$1048576,9,0)</f>
        <v>0</v>
      </c>
      <c r="AD29" s="3">
        <f>VLOOKUP($A29,ANNUAL!$1:$1048576,9,0)</f>
        <v>50</v>
      </c>
      <c r="AE29" s="3">
        <f>VLOOKUP(A29,'UT-I'!$A$1:$EA$1758,10,0)</f>
        <v>50</v>
      </c>
      <c r="AF29" s="3">
        <f>VLOOKUP($A29,'HALF YEARLY'!$1:$1048576,10,0)</f>
        <v>45</v>
      </c>
      <c r="AG29" s="3">
        <f>VLOOKUP($A29,'UT-II'!$1:$1048576,10,0)</f>
        <v>0</v>
      </c>
      <c r="AH29" s="3">
        <f>VLOOKUP($A29,ANNUAL!$1:$1048576,10,0)</f>
        <v>45</v>
      </c>
      <c r="AI29" s="3">
        <f>VLOOKUP(A29,'UT-I'!$A$1:$EA$1758,11,0)</f>
        <v>50</v>
      </c>
      <c r="AJ29" s="3">
        <f>VLOOKUP($A29,'HALF YEARLY'!$1:$1048576,11,0)</f>
        <v>40</v>
      </c>
      <c r="AK29" s="3">
        <f>VLOOKUP($A29,'UT-II'!$1:$1048576,11,0)</f>
        <v>0</v>
      </c>
      <c r="AL29" s="3">
        <f>VLOOKUP($A29,ANNUAL!$1:$1048576,11,0)</f>
        <v>50</v>
      </c>
      <c r="AM29" s="3">
        <f>VLOOKUP(A29,'UT-I'!$A$1:$EA$1758,12,0)</f>
        <v>50</v>
      </c>
      <c r="AN29" s="3">
        <f>VLOOKUP($A29,'HALF YEARLY'!$1:$1048576,12,0)</f>
        <v>45</v>
      </c>
      <c r="AO29" s="3">
        <f>VLOOKUP($A29,'UT-II'!$1:$1048576,12,0)</f>
        <v>0</v>
      </c>
      <c r="AP29" s="3">
        <f>VLOOKUP($A29,ANNUAL!$1:$1048576,12,0)</f>
        <v>50</v>
      </c>
      <c r="AQ29" s="3" t="str">
        <f>VLOOKUP(A29,'UT-I'!$A$1:$EA$1758,13,0)</f>
        <v>A</v>
      </c>
      <c r="AR29" s="3" t="str">
        <f>VLOOKUP($A29,'HALF YEARLY'!$1:$1048576,13,0)</f>
        <v>B</v>
      </c>
      <c r="AS29" s="3">
        <f>VLOOKUP($A29,'UT-II'!$1:$1048576,13,0)</f>
        <v>0</v>
      </c>
      <c r="AT29" s="3" t="str">
        <f>VLOOKUP($A29,ANNUAL!$1:$1048576,13,0)</f>
        <v>A</v>
      </c>
      <c r="AU29" s="3" t="str">
        <f>VLOOKUP(A29,'UT-I'!$A$1:$EA$1758,14,0)</f>
        <v>A</v>
      </c>
      <c r="AV29" s="3" t="str">
        <f>VLOOKUP($A29,'HALF YEARLY'!$1:$1048576,14,0)</f>
        <v>A</v>
      </c>
      <c r="AW29" s="3">
        <f>VLOOKUP($A29,'UT-II'!$1:$1048576,14,0)</f>
        <v>0</v>
      </c>
      <c r="AX29" s="3" t="str">
        <f>VLOOKUP($A29,ANNUAL!$1:$1048576,14,0)</f>
        <v>A</v>
      </c>
      <c r="AY29" s="3" t="str">
        <f>VLOOKUP(A29,'UT-I'!$A$1:$EA$1758,15,0)</f>
        <v>A</v>
      </c>
      <c r="AZ29" s="3" t="str">
        <f>VLOOKUP($A29,'HALF YEARLY'!$1:$1048576,15,0)</f>
        <v>A</v>
      </c>
      <c r="BA29" s="3">
        <f>VLOOKUP($A29,'UT-II'!$1:$1048576,15,0)</f>
        <v>0</v>
      </c>
      <c r="BB29" s="3" t="str">
        <f>VLOOKUP($A29,ANNUAL!$1:$1048576,15,0)</f>
        <v>A</v>
      </c>
      <c r="BC29" s="3" t="str">
        <f>VLOOKUP(A29,'UT-I'!$A$1:$EA$1758,16,0)</f>
        <v>A</v>
      </c>
      <c r="BD29" s="3" t="str">
        <f>VLOOKUP($A29,'HALF YEARLY'!$1:$1048576,16,0)</f>
        <v>A</v>
      </c>
      <c r="BE29" s="3">
        <f>VLOOKUP($A29,'UT-II'!$1:$1048576,16,0)</f>
        <v>0</v>
      </c>
      <c r="BF29" s="3" t="str">
        <f>VLOOKUP($A29,ANNUAL!$1:$1048576,16,0)</f>
        <v>A</v>
      </c>
      <c r="BG29" s="3">
        <f>VLOOKUP(A29,'UT-I'!$A$1:$EA$1758,17,0)</f>
        <v>473</v>
      </c>
      <c r="BH29" s="3">
        <f>VLOOKUP($A29,'HALF YEARLY'!$1:$1048576,17,0)</f>
        <v>421</v>
      </c>
      <c r="BI29" s="3">
        <f>VLOOKUP($A29,'UT-II'!$1:$1048576,17,0)</f>
        <v>0</v>
      </c>
      <c r="BJ29" s="3" t="str">
        <f>VLOOKUP($A29,ANNUAL!$1:$1048576,17,0)</f>
        <v>A</v>
      </c>
      <c r="BK29" s="3">
        <f>VLOOKUP($A29,ANNUAL!$1:$1048576,18,0)</f>
        <v>140</v>
      </c>
      <c r="BL29" s="3">
        <f>VLOOKUP($A29,ANNUAL!$1:$1048576,19,0)</f>
        <v>155</v>
      </c>
      <c r="BM29" s="3" t="str">
        <f>VLOOKUP($A29,ANNUAL!$1:$1048576,20,0)</f>
        <v>Great Potential- Stay Focused!</v>
      </c>
    </row>
    <row r="30" spans="1:65">
      <c r="A30" s="1" t="e">
        <f>DETAILS!#REF!</f>
        <v>#REF!</v>
      </c>
      <c r="B30" s="3" t="e">
        <f>DETAILS!#REF!</f>
        <v>#REF!</v>
      </c>
      <c r="C30" s="3" t="e">
        <f>VLOOKUP(A30,'UT-I'!$A$1:$EA$1758,3,0)</f>
        <v>#REF!</v>
      </c>
      <c r="D30" s="3" t="e">
        <f>VLOOKUP($A30,'HALF YEARLY'!$1:$1048576,3,0)</f>
        <v>#REF!</v>
      </c>
      <c r="E30" s="3" t="e">
        <f>VLOOKUP($A30,'UT-II'!$1:$1048576,3,0)</f>
        <v>#REF!</v>
      </c>
      <c r="F30" s="3" t="e">
        <f>VLOOKUP($A30,ANNUAL!$1:$1048576,3,0)</f>
        <v>#REF!</v>
      </c>
      <c r="G30" s="3" t="e">
        <f>VLOOKUP(A30,'UT-I'!$A$1:$EA$1758,4,0)</f>
        <v>#REF!</v>
      </c>
      <c r="H30" s="3" t="e">
        <f>VLOOKUP($A30,'HALF YEARLY'!$1:$1048576,4,0)</f>
        <v>#REF!</v>
      </c>
      <c r="I30" s="3" t="e">
        <f>VLOOKUP($A30,'UT-II'!$1:$1048576,4,0)</f>
        <v>#REF!</v>
      </c>
      <c r="J30" s="3" t="e">
        <f>VLOOKUP($A30,ANNUAL!$1:$1048576,4,0)</f>
        <v>#REF!</v>
      </c>
      <c r="K30" s="3" t="e">
        <f>VLOOKUP(A30,'UT-I'!$A$1:$EA$1758,5,0)</f>
        <v>#REF!</v>
      </c>
      <c r="L30" s="3" t="e">
        <f>VLOOKUP($A30,'HALF YEARLY'!$1:$1048576,5,0)</f>
        <v>#REF!</v>
      </c>
      <c r="M30" s="3" t="e">
        <f>VLOOKUP($A30,'UT-II'!$1:$1048576,5,0)</f>
        <v>#REF!</v>
      </c>
      <c r="N30" s="3" t="e">
        <f>VLOOKUP($A30,ANNUAL!$1:$1048576,5,0)</f>
        <v>#REF!</v>
      </c>
      <c r="O30" s="3" t="e">
        <f>VLOOKUP(A30,'UT-I'!$A$1:$EA$1758,6,0)</f>
        <v>#REF!</v>
      </c>
      <c r="P30" s="3" t="e">
        <f>VLOOKUP($A30,'HALF YEARLY'!$1:$1048576,6,0)</f>
        <v>#REF!</v>
      </c>
      <c r="Q30" s="3" t="e">
        <f>VLOOKUP($A30,'UT-II'!$1:$1048576,6,0)</f>
        <v>#REF!</v>
      </c>
      <c r="R30" s="3" t="e">
        <f>VLOOKUP($A30,ANNUAL!$1:$1048576,6,0)</f>
        <v>#REF!</v>
      </c>
      <c r="S30" s="3" t="e">
        <f>VLOOKUP(A30,'UT-I'!$A$1:$EA$1758,7,0)</f>
        <v>#REF!</v>
      </c>
      <c r="T30" s="3" t="e">
        <f>VLOOKUP($A30,'HALF YEARLY'!$1:$1048576,7,0)</f>
        <v>#REF!</v>
      </c>
      <c r="U30" s="3" t="e">
        <f>VLOOKUP($A30,'UT-II'!$1:$1048576,7,0)</f>
        <v>#REF!</v>
      </c>
      <c r="V30" s="3" t="e">
        <f>VLOOKUP($A30,ANNUAL!$1:$1048576,7,0)</f>
        <v>#REF!</v>
      </c>
      <c r="W30" s="3" t="e">
        <f>VLOOKUP(A30,'UT-I'!$A$1:$EA$1758,8,0)</f>
        <v>#REF!</v>
      </c>
      <c r="X30" s="3" t="e">
        <f>VLOOKUP($A30,'HALF YEARLY'!$1:$1048576,8,0)</f>
        <v>#REF!</v>
      </c>
      <c r="Y30" s="3" t="e">
        <f>VLOOKUP($A30,'UT-II'!$1:$1048576,8,0)</f>
        <v>#REF!</v>
      </c>
      <c r="Z30" s="3" t="e">
        <f>VLOOKUP($A30,ANNUAL!$1:$1048576,8,0)</f>
        <v>#REF!</v>
      </c>
      <c r="AA30" s="3" t="e">
        <f>VLOOKUP(A30,'UT-I'!$A$1:$EA$1758,9,0)</f>
        <v>#REF!</v>
      </c>
      <c r="AB30" s="3" t="e">
        <f>VLOOKUP($A30,'HALF YEARLY'!$1:$1048576,9,0)</f>
        <v>#REF!</v>
      </c>
      <c r="AC30" s="3" t="e">
        <f>VLOOKUP($A30,'UT-II'!$1:$1048576,9,0)</f>
        <v>#REF!</v>
      </c>
      <c r="AD30" s="3" t="e">
        <f>VLOOKUP($A30,ANNUAL!$1:$1048576,9,0)</f>
        <v>#REF!</v>
      </c>
      <c r="AE30" s="3" t="e">
        <f>VLOOKUP(A30,'UT-I'!$A$1:$EA$1758,10,0)</f>
        <v>#REF!</v>
      </c>
      <c r="AF30" s="3" t="e">
        <f>VLOOKUP($A30,'HALF YEARLY'!$1:$1048576,10,0)</f>
        <v>#REF!</v>
      </c>
      <c r="AG30" s="3" t="e">
        <f>VLOOKUP($A30,'UT-II'!$1:$1048576,10,0)</f>
        <v>#REF!</v>
      </c>
      <c r="AH30" s="3" t="e">
        <f>VLOOKUP($A30,ANNUAL!$1:$1048576,10,0)</f>
        <v>#REF!</v>
      </c>
      <c r="AI30" s="3" t="e">
        <f>VLOOKUP(A30,'UT-I'!$A$1:$EA$1758,11,0)</f>
        <v>#REF!</v>
      </c>
      <c r="AJ30" s="3" t="e">
        <f>VLOOKUP($A30,'HALF YEARLY'!$1:$1048576,11,0)</f>
        <v>#REF!</v>
      </c>
      <c r="AK30" s="3" t="e">
        <f>VLOOKUP($A30,'UT-II'!$1:$1048576,11,0)</f>
        <v>#REF!</v>
      </c>
      <c r="AL30" s="3" t="e">
        <f>VLOOKUP($A30,ANNUAL!$1:$1048576,11,0)</f>
        <v>#REF!</v>
      </c>
      <c r="AM30" s="3" t="e">
        <f>VLOOKUP(A30,'UT-I'!$A$1:$EA$1758,12,0)</f>
        <v>#REF!</v>
      </c>
      <c r="AN30" s="3" t="e">
        <f>VLOOKUP($A30,'HALF YEARLY'!$1:$1048576,12,0)</f>
        <v>#REF!</v>
      </c>
      <c r="AO30" s="3" t="e">
        <f>VLOOKUP($A30,'UT-II'!$1:$1048576,12,0)</f>
        <v>#REF!</v>
      </c>
      <c r="AP30" s="3" t="e">
        <f>VLOOKUP($A30,ANNUAL!$1:$1048576,12,0)</f>
        <v>#REF!</v>
      </c>
      <c r="AQ30" s="3" t="e">
        <f>VLOOKUP(A30,'UT-I'!$A$1:$EA$1758,13,0)</f>
        <v>#REF!</v>
      </c>
      <c r="AR30" s="3" t="e">
        <f>VLOOKUP($A30,'HALF YEARLY'!$1:$1048576,13,0)</f>
        <v>#REF!</v>
      </c>
      <c r="AS30" s="3" t="e">
        <f>VLOOKUP($A30,'UT-II'!$1:$1048576,13,0)</f>
        <v>#REF!</v>
      </c>
      <c r="AT30" s="3" t="e">
        <f>VLOOKUP($A30,ANNUAL!$1:$1048576,13,0)</f>
        <v>#REF!</v>
      </c>
      <c r="AU30" s="3" t="e">
        <f>VLOOKUP(A30,'UT-I'!$A$1:$EA$1758,14,0)</f>
        <v>#REF!</v>
      </c>
      <c r="AV30" s="3" t="e">
        <f>VLOOKUP($A30,'HALF YEARLY'!$1:$1048576,14,0)</f>
        <v>#REF!</v>
      </c>
      <c r="AW30" s="3" t="e">
        <f>VLOOKUP($A30,'UT-II'!$1:$1048576,14,0)</f>
        <v>#REF!</v>
      </c>
      <c r="AX30" s="3" t="e">
        <f>VLOOKUP($A30,ANNUAL!$1:$1048576,14,0)</f>
        <v>#REF!</v>
      </c>
      <c r="AY30" s="3" t="e">
        <f>VLOOKUP(A30,'UT-I'!$A$1:$EA$1758,15,0)</f>
        <v>#REF!</v>
      </c>
      <c r="AZ30" s="3" t="e">
        <f>VLOOKUP($A30,'HALF YEARLY'!$1:$1048576,15,0)</f>
        <v>#REF!</v>
      </c>
      <c r="BA30" s="3" t="e">
        <f>VLOOKUP($A30,'UT-II'!$1:$1048576,15,0)</f>
        <v>#REF!</v>
      </c>
      <c r="BB30" s="3" t="e">
        <f>VLOOKUP($A30,ANNUAL!$1:$1048576,15,0)</f>
        <v>#REF!</v>
      </c>
      <c r="BC30" s="3" t="e">
        <f>VLOOKUP(A30,'UT-I'!$A$1:$EA$1758,16,0)</f>
        <v>#REF!</v>
      </c>
      <c r="BD30" s="3" t="e">
        <f>VLOOKUP($A30,'HALF YEARLY'!$1:$1048576,16,0)</f>
        <v>#REF!</v>
      </c>
      <c r="BE30" s="3" t="e">
        <f>VLOOKUP($A30,'UT-II'!$1:$1048576,16,0)</f>
        <v>#REF!</v>
      </c>
      <c r="BF30" s="3" t="e">
        <f>VLOOKUP($A30,ANNUAL!$1:$1048576,16,0)</f>
        <v>#REF!</v>
      </c>
      <c r="BG30" s="3" t="e">
        <f>VLOOKUP(A30,'UT-I'!$A$1:$EA$1758,17,0)</f>
        <v>#REF!</v>
      </c>
      <c r="BH30" s="3" t="e">
        <f>VLOOKUP($A30,'HALF YEARLY'!$1:$1048576,17,0)</f>
        <v>#REF!</v>
      </c>
      <c r="BI30" s="3" t="e">
        <f>VLOOKUP($A30,'UT-II'!$1:$1048576,17,0)</f>
        <v>#REF!</v>
      </c>
      <c r="BJ30" s="3" t="e">
        <f>VLOOKUP($A30,ANNUAL!$1:$1048576,17,0)</f>
        <v>#REF!</v>
      </c>
      <c r="BK30" s="3" t="e">
        <f>VLOOKUP($A30,ANNUAL!$1:$1048576,18,0)</f>
        <v>#REF!</v>
      </c>
      <c r="BL30" s="3" t="e">
        <f>VLOOKUP($A30,ANNUAL!$1:$1048576,19,0)</f>
        <v>#REF!</v>
      </c>
      <c r="BM30" s="3" t="e">
        <f>VLOOKUP($A30,ANNUAL!$1:$1048576,20,0)</f>
        <v>#REF!</v>
      </c>
    </row>
    <row r="31" spans="1:65">
      <c r="A31" s="1">
        <f>DETAILS!A17</f>
        <v>1889</v>
      </c>
      <c r="B31" s="3" t="str">
        <f>DETAILS!B17</f>
        <v>MOHD. ARIZ</v>
      </c>
      <c r="C31" s="3">
        <f>VLOOKUP(A31,'UT-I'!$A$1:$EA$1758,3,0)</f>
        <v>44</v>
      </c>
      <c r="D31" s="3">
        <f>VLOOKUP($A31,'HALF YEARLY'!$1:$1048576,3,0)</f>
        <v>48</v>
      </c>
      <c r="E31" s="3">
        <f>VLOOKUP($A31,'UT-II'!$1:$1048576,3,0)</f>
        <v>0</v>
      </c>
      <c r="F31" s="3">
        <f>VLOOKUP($A31,ANNUAL!$1:$1048576,3,0)</f>
        <v>48</v>
      </c>
      <c r="G31" s="3">
        <f>VLOOKUP(A31,'UT-I'!$A$1:$EA$1758,4,0)</f>
        <v>45</v>
      </c>
      <c r="H31" s="3">
        <f>VLOOKUP($A31,'HALF YEARLY'!$1:$1048576,4,0)</f>
        <v>35</v>
      </c>
      <c r="I31" s="3">
        <f>VLOOKUP($A31,'UT-II'!$1:$1048576,4,0)</f>
        <v>0</v>
      </c>
      <c r="J31" s="3">
        <f>VLOOKUP($A31,ANNUAL!$1:$1048576,4,0)</f>
        <v>50</v>
      </c>
      <c r="K31" s="3">
        <f>VLOOKUP(A31,'UT-I'!$A$1:$EA$1758,5,0)</f>
        <v>30</v>
      </c>
      <c r="L31" s="3">
        <f>VLOOKUP($A31,'HALF YEARLY'!$1:$1048576,5,0)</f>
        <v>31</v>
      </c>
      <c r="M31" s="3">
        <f>VLOOKUP($A31,'UT-II'!$1:$1048576,5,0)</f>
        <v>0</v>
      </c>
      <c r="N31" s="3">
        <f>VLOOKUP($A31,ANNUAL!$1:$1048576,5,0)</f>
        <v>50</v>
      </c>
      <c r="O31" s="3">
        <f>VLOOKUP(A31,'UT-I'!$A$1:$EA$1758,6,0)</f>
        <v>46</v>
      </c>
      <c r="P31" s="3">
        <f>VLOOKUP($A31,'HALF YEARLY'!$1:$1048576,6,0)</f>
        <v>40</v>
      </c>
      <c r="Q31" s="3">
        <f>VLOOKUP($A31,'UT-II'!$1:$1048576,6,0)</f>
        <v>0</v>
      </c>
      <c r="R31" s="3">
        <f>VLOOKUP($A31,ANNUAL!$1:$1048576,6,0)</f>
        <v>48</v>
      </c>
      <c r="S31" s="3">
        <f>VLOOKUP(A31,'UT-I'!$A$1:$EA$1758,7,0)</f>
        <v>50</v>
      </c>
      <c r="T31" s="3">
        <f>VLOOKUP($A31,'HALF YEARLY'!$1:$1048576,7,0)</f>
        <v>35</v>
      </c>
      <c r="U31" s="3">
        <f>VLOOKUP($A31,'UT-II'!$1:$1048576,7,0)</f>
        <v>0</v>
      </c>
      <c r="V31" s="3">
        <f>VLOOKUP($A31,ANNUAL!$1:$1048576,7,0)</f>
        <v>49</v>
      </c>
      <c r="W31" s="3">
        <f>VLOOKUP(A31,'UT-I'!$A$1:$EA$1758,8,0)</f>
        <v>30</v>
      </c>
      <c r="X31" s="3">
        <f>VLOOKUP($A31,'HALF YEARLY'!$1:$1048576,8,0)</f>
        <v>36</v>
      </c>
      <c r="Y31" s="3">
        <f>VLOOKUP($A31,'UT-II'!$1:$1048576,8,0)</f>
        <v>0</v>
      </c>
      <c r="Z31" s="3">
        <f>VLOOKUP($A31,ANNUAL!$1:$1048576,8,0)</f>
        <v>50</v>
      </c>
      <c r="AA31" s="3">
        <f>VLOOKUP(A31,'UT-I'!$A$1:$EA$1758,9,0)</f>
        <v>46</v>
      </c>
      <c r="AB31" s="3">
        <f>VLOOKUP($A31,'HALF YEARLY'!$1:$1048576,9,0)</f>
        <v>32</v>
      </c>
      <c r="AC31" s="3">
        <f>VLOOKUP($A31,'UT-II'!$1:$1048576,9,0)</f>
        <v>0</v>
      </c>
      <c r="AD31" s="3">
        <f>VLOOKUP($A31,ANNUAL!$1:$1048576,9,0)</f>
        <v>50</v>
      </c>
      <c r="AE31" s="3">
        <f>VLOOKUP(A31,'UT-I'!$A$1:$EA$1758,10,0)</f>
        <v>50</v>
      </c>
      <c r="AF31" s="3">
        <f>VLOOKUP($A31,'HALF YEARLY'!$1:$1048576,10,0)</f>
        <v>20</v>
      </c>
      <c r="AG31" s="3">
        <f>VLOOKUP($A31,'UT-II'!$1:$1048576,10,0)</f>
        <v>0</v>
      </c>
      <c r="AH31" s="3">
        <f>VLOOKUP($A31,ANNUAL!$1:$1048576,10,0)</f>
        <v>50</v>
      </c>
      <c r="AI31" s="3">
        <f>VLOOKUP(A31,'UT-I'!$A$1:$EA$1758,11,0)</f>
        <v>45</v>
      </c>
      <c r="AJ31" s="3">
        <f>VLOOKUP($A31,'HALF YEARLY'!$1:$1048576,11,0)</f>
        <v>30</v>
      </c>
      <c r="AK31" s="3">
        <f>VLOOKUP($A31,'UT-II'!$1:$1048576,11,0)</f>
        <v>0</v>
      </c>
      <c r="AL31" s="3">
        <f>VLOOKUP($A31,ANNUAL!$1:$1048576,11,0)</f>
        <v>50</v>
      </c>
      <c r="AM31" s="3">
        <f>VLOOKUP(A31,'UT-I'!$A$1:$EA$1758,12,0)</f>
        <v>50</v>
      </c>
      <c r="AN31" s="3">
        <f>VLOOKUP($A31,'HALF YEARLY'!$1:$1048576,12,0)</f>
        <v>17</v>
      </c>
      <c r="AO31" s="3">
        <f>VLOOKUP($A31,'UT-II'!$1:$1048576,12,0)</f>
        <v>0</v>
      </c>
      <c r="AP31" s="3">
        <f>VLOOKUP($A31,ANNUAL!$1:$1048576,12,0)</f>
        <v>50</v>
      </c>
      <c r="AQ31" s="3" t="str">
        <f>VLOOKUP(A31,'UT-I'!$A$1:$EA$1758,13,0)</f>
        <v>A</v>
      </c>
      <c r="AR31" s="3" t="str">
        <f>VLOOKUP($A31,'HALF YEARLY'!$1:$1048576,13,0)</f>
        <v>C</v>
      </c>
      <c r="AS31" s="3">
        <f>VLOOKUP($A31,'UT-II'!$1:$1048576,13,0)</f>
        <v>0</v>
      </c>
      <c r="AT31" s="3" t="str">
        <f>VLOOKUP($A31,ANNUAL!$1:$1048576,13,0)</f>
        <v>A</v>
      </c>
      <c r="AU31" s="3" t="str">
        <f>VLOOKUP(A31,'UT-I'!$A$1:$EA$1758,14,0)</f>
        <v>A</v>
      </c>
      <c r="AV31" s="3" t="str">
        <f>VLOOKUP($A31,'HALF YEARLY'!$1:$1048576,14,0)</f>
        <v>B</v>
      </c>
      <c r="AW31" s="3">
        <f>VLOOKUP($A31,'UT-II'!$1:$1048576,14,0)</f>
        <v>0</v>
      </c>
      <c r="AX31" s="3" t="str">
        <f>VLOOKUP($A31,ANNUAL!$1:$1048576,14,0)</f>
        <v>A</v>
      </c>
      <c r="AY31" s="3" t="str">
        <f>VLOOKUP(A31,'UT-I'!$A$1:$EA$1758,15,0)</f>
        <v>A</v>
      </c>
      <c r="AZ31" s="3" t="str">
        <f>VLOOKUP($A31,'HALF YEARLY'!$1:$1048576,15,0)</f>
        <v>C</v>
      </c>
      <c r="BA31" s="3">
        <f>VLOOKUP($A31,'UT-II'!$1:$1048576,15,0)</f>
        <v>0</v>
      </c>
      <c r="BB31" s="3" t="str">
        <f>VLOOKUP($A31,ANNUAL!$1:$1048576,15,0)</f>
        <v>A</v>
      </c>
      <c r="BC31" s="3" t="str">
        <f>VLOOKUP(A31,'UT-I'!$A$1:$EA$1758,16,0)</f>
        <v>A</v>
      </c>
      <c r="BD31" s="3" t="str">
        <f>VLOOKUP($A31,'HALF YEARLY'!$1:$1048576,16,0)</f>
        <v>A</v>
      </c>
      <c r="BE31" s="3">
        <f>VLOOKUP($A31,'UT-II'!$1:$1048576,16,0)</f>
        <v>0</v>
      </c>
      <c r="BF31" s="3" t="str">
        <f>VLOOKUP($A31,ANNUAL!$1:$1048576,16,0)</f>
        <v>A</v>
      </c>
      <c r="BG31" s="3">
        <f>VLOOKUP(A31,'UT-I'!$A$1:$EA$1758,17,0)</f>
        <v>436</v>
      </c>
      <c r="BH31" s="3">
        <f>VLOOKUP($A31,'HALF YEARLY'!$1:$1048576,17,0)</f>
        <v>324</v>
      </c>
      <c r="BI31" s="3">
        <f>VLOOKUP($A31,'UT-II'!$1:$1048576,17,0)</f>
        <v>0</v>
      </c>
      <c r="BJ31" s="3" t="str">
        <f>VLOOKUP($A31,ANNUAL!$1:$1048576,17,0)</f>
        <v>A</v>
      </c>
      <c r="BK31" s="3">
        <f>VLOOKUP($A31,ANNUAL!$1:$1048576,18,0)</f>
        <v>174</v>
      </c>
      <c r="BL31" s="3">
        <f>VLOOKUP($A31,ANNUAL!$1:$1048576,19,0)</f>
        <v>201</v>
      </c>
      <c r="BM31" s="3" t="str">
        <f>VLOOKUP($A31,ANNUAL!$1:$1048576,20,0)</f>
        <v>Outstanding effort all year.</v>
      </c>
    </row>
    <row r="32" spans="1:65">
      <c r="A32" s="1" t="e">
        <f>DETAILS!#REF!</f>
        <v>#REF!</v>
      </c>
      <c r="B32" s="3" t="e">
        <f>DETAILS!#REF!</f>
        <v>#REF!</v>
      </c>
      <c r="C32" s="3" t="e">
        <f>VLOOKUP(A32,'UT-I'!$A$1:$EA$1758,3,0)</f>
        <v>#REF!</v>
      </c>
      <c r="D32" s="3" t="e">
        <f>VLOOKUP($A32,'HALF YEARLY'!$1:$1048576,3,0)</f>
        <v>#REF!</v>
      </c>
      <c r="E32" s="3" t="e">
        <f>VLOOKUP($A32,'UT-II'!$1:$1048576,3,0)</f>
        <v>#REF!</v>
      </c>
      <c r="F32" s="3" t="e">
        <f>VLOOKUP($A32,ANNUAL!$1:$1048576,3,0)</f>
        <v>#REF!</v>
      </c>
      <c r="G32" s="3" t="e">
        <f>VLOOKUP(A32,'UT-I'!$A$1:$EA$1758,4,0)</f>
        <v>#REF!</v>
      </c>
      <c r="H32" s="3" t="e">
        <f>VLOOKUP($A32,'HALF YEARLY'!$1:$1048576,4,0)</f>
        <v>#REF!</v>
      </c>
      <c r="I32" s="3" t="e">
        <f>VLOOKUP($A32,'UT-II'!$1:$1048576,4,0)</f>
        <v>#REF!</v>
      </c>
      <c r="J32" s="3" t="e">
        <f>VLOOKUP($A32,ANNUAL!$1:$1048576,4,0)</f>
        <v>#REF!</v>
      </c>
      <c r="K32" s="3" t="e">
        <f>VLOOKUP(A32,'UT-I'!$A$1:$EA$1758,5,0)</f>
        <v>#REF!</v>
      </c>
      <c r="L32" s="3" t="e">
        <f>VLOOKUP($A32,'HALF YEARLY'!$1:$1048576,5,0)</f>
        <v>#REF!</v>
      </c>
      <c r="M32" s="3" t="e">
        <f>VLOOKUP($A32,'UT-II'!$1:$1048576,5,0)</f>
        <v>#REF!</v>
      </c>
      <c r="N32" s="3" t="e">
        <f>VLOOKUP($A32,ANNUAL!$1:$1048576,5,0)</f>
        <v>#REF!</v>
      </c>
      <c r="O32" s="3" t="e">
        <f>VLOOKUP(A32,'UT-I'!$A$1:$EA$1758,6,0)</f>
        <v>#REF!</v>
      </c>
      <c r="P32" s="3" t="e">
        <f>VLOOKUP($A32,'HALF YEARLY'!$1:$1048576,6,0)</f>
        <v>#REF!</v>
      </c>
      <c r="Q32" s="3" t="e">
        <f>VLOOKUP($A32,'UT-II'!$1:$1048576,6,0)</f>
        <v>#REF!</v>
      </c>
      <c r="R32" s="3" t="e">
        <f>VLOOKUP($A32,ANNUAL!$1:$1048576,6,0)</f>
        <v>#REF!</v>
      </c>
      <c r="S32" s="3" t="e">
        <f>VLOOKUP(A32,'UT-I'!$A$1:$EA$1758,7,0)</f>
        <v>#REF!</v>
      </c>
      <c r="T32" s="3" t="e">
        <f>VLOOKUP($A32,'HALF YEARLY'!$1:$1048576,7,0)</f>
        <v>#REF!</v>
      </c>
      <c r="U32" s="3" t="e">
        <f>VLOOKUP($A32,'UT-II'!$1:$1048576,7,0)</f>
        <v>#REF!</v>
      </c>
      <c r="V32" s="3" t="e">
        <f>VLOOKUP($A32,ANNUAL!$1:$1048576,7,0)</f>
        <v>#REF!</v>
      </c>
      <c r="W32" s="3" t="e">
        <f>VLOOKUP(A32,'UT-I'!$A$1:$EA$1758,8,0)</f>
        <v>#REF!</v>
      </c>
      <c r="X32" s="3" t="e">
        <f>VLOOKUP($A32,'HALF YEARLY'!$1:$1048576,8,0)</f>
        <v>#REF!</v>
      </c>
      <c r="Y32" s="3" t="e">
        <f>VLOOKUP($A32,'UT-II'!$1:$1048576,8,0)</f>
        <v>#REF!</v>
      </c>
      <c r="Z32" s="3" t="e">
        <f>VLOOKUP($A32,ANNUAL!$1:$1048576,8,0)</f>
        <v>#REF!</v>
      </c>
      <c r="AA32" s="3" t="e">
        <f>VLOOKUP(A32,'UT-I'!$A$1:$EA$1758,9,0)</f>
        <v>#REF!</v>
      </c>
      <c r="AB32" s="3" t="e">
        <f>VLOOKUP($A32,'HALF YEARLY'!$1:$1048576,9,0)</f>
        <v>#REF!</v>
      </c>
      <c r="AC32" s="3" t="e">
        <f>VLOOKUP($A32,'UT-II'!$1:$1048576,9,0)</f>
        <v>#REF!</v>
      </c>
      <c r="AD32" s="3" t="e">
        <f>VLOOKUP($A32,ANNUAL!$1:$1048576,9,0)</f>
        <v>#REF!</v>
      </c>
      <c r="AE32" s="3" t="e">
        <f>VLOOKUP(A32,'UT-I'!$A$1:$EA$1758,10,0)</f>
        <v>#REF!</v>
      </c>
      <c r="AF32" s="3" t="e">
        <f>VLOOKUP($A32,'HALF YEARLY'!$1:$1048576,10,0)</f>
        <v>#REF!</v>
      </c>
      <c r="AG32" s="3" t="e">
        <f>VLOOKUP($A32,'UT-II'!$1:$1048576,10,0)</f>
        <v>#REF!</v>
      </c>
      <c r="AH32" s="3" t="e">
        <f>VLOOKUP($A32,ANNUAL!$1:$1048576,10,0)</f>
        <v>#REF!</v>
      </c>
      <c r="AI32" s="3" t="e">
        <f>VLOOKUP(A32,'UT-I'!$A$1:$EA$1758,11,0)</f>
        <v>#REF!</v>
      </c>
      <c r="AJ32" s="3" t="e">
        <f>VLOOKUP($A32,'HALF YEARLY'!$1:$1048576,11,0)</f>
        <v>#REF!</v>
      </c>
      <c r="AK32" s="3" t="e">
        <f>VLOOKUP($A32,'UT-II'!$1:$1048576,11,0)</f>
        <v>#REF!</v>
      </c>
      <c r="AL32" s="3" t="e">
        <f>VLOOKUP($A32,ANNUAL!$1:$1048576,11,0)</f>
        <v>#REF!</v>
      </c>
      <c r="AM32" s="3" t="e">
        <f>VLOOKUP(A32,'UT-I'!$A$1:$EA$1758,12,0)</f>
        <v>#REF!</v>
      </c>
      <c r="AN32" s="3" t="e">
        <f>VLOOKUP($A32,'HALF YEARLY'!$1:$1048576,12,0)</f>
        <v>#REF!</v>
      </c>
      <c r="AO32" s="3" t="e">
        <f>VLOOKUP($A32,'UT-II'!$1:$1048576,12,0)</f>
        <v>#REF!</v>
      </c>
      <c r="AP32" s="3" t="e">
        <f>VLOOKUP($A32,ANNUAL!$1:$1048576,12,0)</f>
        <v>#REF!</v>
      </c>
      <c r="AQ32" s="3" t="e">
        <f>VLOOKUP(A32,'UT-I'!$A$1:$EA$1758,13,0)</f>
        <v>#REF!</v>
      </c>
      <c r="AR32" s="3" t="e">
        <f>VLOOKUP($A32,'HALF YEARLY'!$1:$1048576,13,0)</f>
        <v>#REF!</v>
      </c>
      <c r="AS32" s="3" t="e">
        <f>VLOOKUP($A32,'UT-II'!$1:$1048576,13,0)</f>
        <v>#REF!</v>
      </c>
      <c r="AT32" s="3" t="e">
        <f>VLOOKUP($A32,ANNUAL!$1:$1048576,13,0)</f>
        <v>#REF!</v>
      </c>
      <c r="AU32" s="3" t="e">
        <f>VLOOKUP(A32,'UT-I'!$A$1:$EA$1758,14,0)</f>
        <v>#REF!</v>
      </c>
      <c r="AV32" s="3" t="e">
        <f>VLOOKUP($A32,'HALF YEARLY'!$1:$1048576,14,0)</f>
        <v>#REF!</v>
      </c>
      <c r="AW32" s="3" t="e">
        <f>VLOOKUP($A32,'UT-II'!$1:$1048576,14,0)</f>
        <v>#REF!</v>
      </c>
      <c r="AX32" s="3" t="e">
        <f>VLOOKUP($A32,ANNUAL!$1:$1048576,14,0)</f>
        <v>#REF!</v>
      </c>
      <c r="AY32" s="3" t="e">
        <f>VLOOKUP(A32,'UT-I'!$A$1:$EA$1758,15,0)</f>
        <v>#REF!</v>
      </c>
      <c r="AZ32" s="3" t="e">
        <f>VLOOKUP($A32,'HALF YEARLY'!$1:$1048576,15,0)</f>
        <v>#REF!</v>
      </c>
      <c r="BA32" s="3" t="e">
        <f>VLOOKUP($A32,'UT-II'!$1:$1048576,15,0)</f>
        <v>#REF!</v>
      </c>
      <c r="BB32" s="3" t="e">
        <f>VLOOKUP($A32,ANNUAL!$1:$1048576,15,0)</f>
        <v>#REF!</v>
      </c>
      <c r="BC32" s="3" t="e">
        <f>VLOOKUP(A32,'UT-I'!$A$1:$EA$1758,16,0)</f>
        <v>#REF!</v>
      </c>
      <c r="BD32" s="3" t="e">
        <f>VLOOKUP($A32,'HALF YEARLY'!$1:$1048576,16,0)</f>
        <v>#REF!</v>
      </c>
      <c r="BE32" s="3" t="e">
        <f>VLOOKUP($A32,'UT-II'!$1:$1048576,16,0)</f>
        <v>#REF!</v>
      </c>
      <c r="BF32" s="3" t="e">
        <f>VLOOKUP($A32,ANNUAL!$1:$1048576,16,0)</f>
        <v>#REF!</v>
      </c>
      <c r="BG32" s="3" t="e">
        <f>VLOOKUP(A32,'UT-I'!$A$1:$EA$1758,17,0)</f>
        <v>#REF!</v>
      </c>
      <c r="BH32" s="3" t="e">
        <f>VLOOKUP($A32,'HALF YEARLY'!$1:$1048576,17,0)</f>
        <v>#REF!</v>
      </c>
      <c r="BI32" s="3" t="e">
        <f>VLOOKUP($A32,'UT-II'!$1:$1048576,17,0)</f>
        <v>#REF!</v>
      </c>
      <c r="BJ32" s="3" t="e">
        <f>VLOOKUP($A32,ANNUAL!$1:$1048576,17,0)</f>
        <v>#REF!</v>
      </c>
      <c r="BK32" s="3" t="e">
        <f>VLOOKUP($A32,ANNUAL!$1:$1048576,18,0)</f>
        <v>#REF!</v>
      </c>
      <c r="BL32" s="3" t="e">
        <f>VLOOKUP($A32,ANNUAL!$1:$1048576,19,0)</f>
        <v>#REF!</v>
      </c>
      <c r="BM32" s="3" t="e">
        <f>VLOOKUP($A32,ANNUAL!$1:$1048576,20,0)</f>
        <v>#REF!</v>
      </c>
    </row>
    <row r="33" spans="1:65">
      <c r="A33" s="1" t="e">
        <f>DETAILS!#REF!</f>
        <v>#REF!</v>
      </c>
      <c r="B33" s="3" t="e">
        <f>DETAILS!#REF!</f>
        <v>#REF!</v>
      </c>
      <c r="C33" s="3" t="e">
        <f>VLOOKUP(A33,'UT-I'!$A$1:$EA$1758,3,0)</f>
        <v>#REF!</v>
      </c>
      <c r="D33" s="3" t="e">
        <f>VLOOKUP($A33,'HALF YEARLY'!$1:$1048576,3,0)</f>
        <v>#REF!</v>
      </c>
      <c r="E33" s="3" t="e">
        <f>VLOOKUP($A33,'UT-II'!$1:$1048576,3,0)</f>
        <v>#REF!</v>
      </c>
      <c r="F33" s="3" t="e">
        <f>VLOOKUP($A33,ANNUAL!$1:$1048576,3,0)</f>
        <v>#REF!</v>
      </c>
      <c r="G33" s="3" t="e">
        <f>VLOOKUP(A33,'UT-I'!$A$1:$EA$1758,4,0)</f>
        <v>#REF!</v>
      </c>
      <c r="H33" s="3" t="e">
        <f>VLOOKUP($A33,'HALF YEARLY'!$1:$1048576,4,0)</f>
        <v>#REF!</v>
      </c>
      <c r="I33" s="3" t="e">
        <f>VLOOKUP($A33,'UT-II'!$1:$1048576,4,0)</f>
        <v>#REF!</v>
      </c>
      <c r="J33" s="3" t="e">
        <f>VLOOKUP($A33,ANNUAL!$1:$1048576,4,0)</f>
        <v>#REF!</v>
      </c>
      <c r="K33" s="3" t="e">
        <f>VLOOKUP(A33,'UT-I'!$A$1:$EA$1758,5,0)</f>
        <v>#REF!</v>
      </c>
      <c r="L33" s="3" t="e">
        <f>VLOOKUP($A33,'HALF YEARLY'!$1:$1048576,5,0)</f>
        <v>#REF!</v>
      </c>
      <c r="M33" s="3" t="e">
        <f>VLOOKUP($A33,'UT-II'!$1:$1048576,5,0)</f>
        <v>#REF!</v>
      </c>
      <c r="N33" s="3" t="e">
        <f>VLOOKUP($A33,ANNUAL!$1:$1048576,5,0)</f>
        <v>#REF!</v>
      </c>
      <c r="O33" s="3" t="e">
        <f>VLOOKUP(A33,'UT-I'!$A$1:$EA$1758,6,0)</f>
        <v>#REF!</v>
      </c>
      <c r="P33" s="3" t="e">
        <f>VLOOKUP($A33,'HALF YEARLY'!$1:$1048576,6,0)</f>
        <v>#REF!</v>
      </c>
      <c r="Q33" s="3" t="e">
        <f>VLOOKUP($A33,'UT-II'!$1:$1048576,6,0)</f>
        <v>#REF!</v>
      </c>
      <c r="R33" s="3" t="e">
        <f>VLOOKUP($A33,ANNUAL!$1:$1048576,6,0)</f>
        <v>#REF!</v>
      </c>
      <c r="S33" s="3" t="e">
        <f>VLOOKUP(A33,'UT-I'!$A$1:$EA$1758,7,0)</f>
        <v>#REF!</v>
      </c>
      <c r="T33" s="3" t="e">
        <f>VLOOKUP($A33,'HALF YEARLY'!$1:$1048576,7,0)</f>
        <v>#REF!</v>
      </c>
      <c r="U33" s="3" t="e">
        <f>VLOOKUP($A33,'UT-II'!$1:$1048576,7,0)</f>
        <v>#REF!</v>
      </c>
      <c r="V33" s="3" t="e">
        <f>VLOOKUP($A33,ANNUAL!$1:$1048576,7,0)</f>
        <v>#REF!</v>
      </c>
      <c r="W33" s="3" t="e">
        <f>VLOOKUP(A33,'UT-I'!$A$1:$EA$1758,8,0)</f>
        <v>#REF!</v>
      </c>
      <c r="X33" s="3" t="e">
        <f>VLOOKUP($A33,'HALF YEARLY'!$1:$1048576,8,0)</f>
        <v>#REF!</v>
      </c>
      <c r="Y33" s="3" t="e">
        <f>VLOOKUP($A33,'UT-II'!$1:$1048576,8,0)</f>
        <v>#REF!</v>
      </c>
      <c r="Z33" s="3" t="e">
        <f>VLOOKUP($A33,ANNUAL!$1:$1048576,8,0)</f>
        <v>#REF!</v>
      </c>
      <c r="AA33" s="3" t="e">
        <f>VLOOKUP(A33,'UT-I'!$A$1:$EA$1758,9,0)</f>
        <v>#REF!</v>
      </c>
      <c r="AB33" s="3" t="e">
        <f>VLOOKUP($A33,'HALF YEARLY'!$1:$1048576,9,0)</f>
        <v>#REF!</v>
      </c>
      <c r="AC33" s="3" t="e">
        <f>VLOOKUP($A33,'UT-II'!$1:$1048576,9,0)</f>
        <v>#REF!</v>
      </c>
      <c r="AD33" s="3" t="e">
        <f>VLOOKUP($A33,ANNUAL!$1:$1048576,9,0)</f>
        <v>#REF!</v>
      </c>
      <c r="AE33" s="3" t="e">
        <f>VLOOKUP(A33,'UT-I'!$A$1:$EA$1758,10,0)</f>
        <v>#REF!</v>
      </c>
      <c r="AF33" s="3" t="e">
        <f>VLOOKUP($A33,'HALF YEARLY'!$1:$1048576,10,0)</f>
        <v>#REF!</v>
      </c>
      <c r="AG33" s="3" t="e">
        <f>VLOOKUP($A33,'UT-II'!$1:$1048576,10,0)</f>
        <v>#REF!</v>
      </c>
      <c r="AH33" s="3" t="e">
        <f>VLOOKUP($A33,ANNUAL!$1:$1048576,10,0)</f>
        <v>#REF!</v>
      </c>
      <c r="AI33" s="3" t="e">
        <f>VLOOKUP(A33,'UT-I'!$A$1:$EA$1758,11,0)</f>
        <v>#REF!</v>
      </c>
      <c r="AJ33" s="3" t="e">
        <f>VLOOKUP($A33,'HALF YEARLY'!$1:$1048576,11,0)</f>
        <v>#REF!</v>
      </c>
      <c r="AK33" s="3" t="e">
        <f>VLOOKUP($A33,'UT-II'!$1:$1048576,11,0)</f>
        <v>#REF!</v>
      </c>
      <c r="AL33" s="3" t="e">
        <f>VLOOKUP($A33,ANNUAL!$1:$1048576,11,0)</f>
        <v>#REF!</v>
      </c>
      <c r="AM33" s="3" t="e">
        <f>VLOOKUP(A33,'UT-I'!$A$1:$EA$1758,12,0)</f>
        <v>#REF!</v>
      </c>
      <c r="AN33" s="3" t="e">
        <f>VLOOKUP($A33,'HALF YEARLY'!$1:$1048576,12,0)</f>
        <v>#REF!</v>
      </c>
      <c r="AO33" s="3" t="e">
        <f>VLOOKUP($A33,'UT-II'!$1:$1048576,12,0)</f>
        <v>#REF!</v>
      </c>
      <c r="AP33" s="3" t="e">
        <f>VLOOKUP($A33,ANNUAL!$1:$1048576,12,0)</f>
        <v>#REF!</v>
      </c>
      <c r="AQ33" s="3" t="e">
        <f>VLOOKUP(A33,'UT-I'!$A$1:$EA$1758,13,0)</f>
        <v>#REF!</v>
      </c>
      <c r="AR33" s="3" t="e">
        <f>VLOOKUP($A33,'HALF YEARLY'!$1:$1048576,13,0)</f>
        <v>#REF!</v>
      </c>
      <c r="AS33" s="3" t="e">
        <f>VLOOKUP($A33,'UT-II'!$1:$1048576,13,0)</f>
        <v>#REF!</v>
      </c>
      <c r="AT33" s="3" t="e">
        <f>VLOOKUP($A33,ANNUAL!$1:$1048576,13,0)</f>
        <v>#REF!</v>
      </c>
      <c r="AU33" s="3" t="e">
        <f>VLOOKUP(A33,'UT-I'!$A$1:$EA$1758,14,0)</f>
        <v>#REF!</v>
      </c>
      <c r="AV33" s="3" t="e">
        <f>VLOOKUP($A33,'HALF YEARLY'!$1:$1048576,14,0)</f>
        <v>#REF!</v>
      </c>
      <c r="AW33" s="3" t="e">
        <f>VLOOKUP($A33,'UT-II'!$1:$1048576,14,0)</f>
        <v>#REF!</v>
      </c>
      <c r="AX33" s="3" t="e">
        <f>VLOOKUP($A33,ANNUAL!$1:$1048576,14,0)</f>
        <v>#REF!</v>
      </c>
      <c r="AY33" s="3" t="e">
        <f>VLOOKUP(A33,'UT-I'!$A$1:$EA$1758,15,0)</f>
        <v>#REF!</v>
      </c>
      <c r="AZ33" s="3" t="e">
        <f>VLOOKUP($A33,'HALF YEARLY'!$1:$1048576,15,0)</f>
        <v>#REF!</v>
      </c>
      <c r="BA33" s="3" t="e">
        <f>VLOOKUP($A33,'UT-II'!$1:$1048576,15,0)</f>
        <v>#REF!</v>
      </c>
      <c r="BB33" s="3" t="e">
        <f>VLOOKUP($A33,ANNUAL!$1:$1048576,15,0)</f>
        <v>#REF!</v>
      </c>
      <c r="BC33" s="3" t="e">
        <f>VLOOKUP(A33,'UT-I'!$A$1:$EA$1758,16,0)</f>
        <v>#REF!</v>
      </c>
      <c r="BD33" s="3" t="e">
        <f>VLOOKUP($A33,'HALF YEARLY'!$1:$1048576,16,0)</f>
        <v>#REF!</v>
      </c>
      <c r="BE33" s="3" t="e">
        <f>VLOOKUP($A33,'UT-II'!$1:$1048576,16,0)</f>
        <v>#REF!</v>
      </c>
      <c r="BF33" s="3" t="e">
        <f>VLOOKUP($A33,ANNUAL!$1:$1048576,16,0)</f>
        <v>#REF!</v>
      </c>
      <c r="BG33" s="3" t="e">
        <f>VLOOKUP(A33,'UT-I'!$A$1:$EA$1758,17,0)</f>
        <v>#REF!</v>
      </c>
      <c r="BH33" s="3" t="e">
        <f>VLOOKUP($A33,'HALF YEARLY'!$1:$1048576,17,0)</f>
        <v>#REF!</v>
      </c>
      <c r="BI33" s="3" t="e">
        <f>VLOOKUP($A33,'UT-II'!$1:$1048576,17,0)</f>
        <v>#REF!</v>
      </c>
      <c r="BJ33" s="3" t="e">
        <f>VLOOKUP($A33,ANNUAL!$1:$1048576,17,0)</f>
        <v>#REF!</v>
      </c>
      <c r="BK33" s="3" t="e">
        <f>VLOOKUP($A33,ANNUAL!$1:$1048576,18,0)</f>
        <v>#REF!</v>
      </c>
      <c r="BL33" s="3" t="e">
        <f>VLOOKUP($A33,ANNUAL!$1:$1048576,19,0)</f>
        <v>#REF!</v>
      </c>
      <c r="BM33" s="3" t="e">
        <f>VLOOKUP($A33,ANNUAL!$1:$1048576,20,0)</f>
        <v>#REF!</v>
      </c>
    </row>
    <row r="34" spans="1:65">
      <c r="A34" s="1" t="e">
        <f>DETAILS!#REF!</f>
        <v>#REF!</v>
      </c>
      <c r="B34" s="3" t="e">
        <f>DETAILS!#REF!</f>
        <v>#REF!</v>
      </c>
      <c r="C34" s="3" t="e">
        <f>VLOOKUP(A34,'UT-I'!$A$1:$EA$1758,3,0)</f>
        <v>#REF!</v>
      </c>
      <c r="D34" s="3" t="e">
        <f>VLOOKUP($A34,'HALF YEARLY'!$1:$1048576,3,0)</f>
        <v>#REF!</v>
      </c>
      <c r="E34" s="3" t="e">
        <f>VLOOKUP($A34,'UT-II'!$1:$1048576,3,0)</f>
        <v>#REF!</v>
      </c>
      <c r="F34" s="3" t="e">
        <f>VLOOKUP($A34,ANNUAL!$1:$1048576,3,0)</f>
        <v>#REF!</v>
      </c>
      <c r="G34" s="3" t="e">
        <f>VLOOKUP(A34,'UT-I'!$A$1:$EA$1758,4,0)</f>
        <v>#REF!</v>
      </c>
      <c r="H34" s="3" t="e">
        <f>VLOOKUP($A34,'HALF YEARLY'!$1:$1048576,4,0)</f>
        <v>#REF!</v>
      </c>
      <c r="I34" s="3" t="e">
        <f>VLOOKUP($A34,'UT-II'!$1:$1048576,4,0)</f>
        <v>#REF!</v>
      </c>
      <c r="J34" s="3" t="e">
        <f>VLOOKUP($A34,ANNUAL!$1:$1048576,4,0)</f>
        <v>#REF!</v>
      </c>
      <c r="K34" s="3" t="e">
        <f>VLOOKUP(A34,'UT-I'!$A$1:$EA$1758,5,0)</f>
        <v>#REF!</v>
      </c>
      <c r="L34" s="3" t="e">
        <f>VLOOKUP($A34,'HALF YEARLY'!$1:$1048576,5,0)</f>
        <v>#REF!</v>
      </c>
      <c r="M34" s="3" t="e">
        <f>VLOOKUP($A34,'UT-II'!$1:$1048576,5,0)</f>
        <v>#REF!</v>
      </c>
      <c r="N34" s="3" t="e">
        <f>VLOOKUP($A34,ANNUAL!$1:$1048576,5,0)</f>
        <v>#REF!</v>
      </c>
      <c r="O34" s="3" t="e">
        <f>VLOOKUP(A34,'UT-I'!$A$1:$EA$1758,6,0)</f>
        <v>#REF!</v>
      </c>
      <c r="P34" s="3" t="e">
        <f>VLOOKUP($A34,'HALF YEARLY'!$1:$1048576,6,0)</f>
        <v>#REF!</v>
      </c>
      <c r="Q34" s="3" t="e">
        <f>VLOOKUP($A34,'UT-II'!$1:$1048576,6,0)</f>
        <v>#REF!</v>
      </c>
      <c r="R34" s="3" t="e">
        <f>VLOOKUP($A34,ANNUAL!$1:$1048576,6,0)</f>
        <v>#REF!</v>
      </c>
      <c r="S34" s="3" t="e">
        <f>VLOOKUP(A34,'UT-I'!$A$1:$EA$1758,7,0)</f>
        <v>#REF!</v>
      </c>
      <c r="T34" s="3" t="e">
        <f>VLOOKUP($A34,'HALF YEARLY'!$1:$1048576,7,0)</f>
        <v>#REF!</v>
      </c>
      <c r="U34" s="3" t="e">
        <f>VLOOKUP($A34,'UT-II'!$1:$1048576,7,0)</f>
        <v>#REF!</v>
      </c>
      <c r="V34" s="3" t="e">
        <f>VLOOKUP($A34,ANNUAL!$1:$1048576,7,0)</f>
        <v>#REF!</v>
      </c>
      <c r="W34" s="3" t="e">
        <f>VLOOKUP(A34,'UT-I'!$A$1:$EA$1758,8,0)</f>
        <v>#REF!</v>
      </c>
      <c r="X34" s="3" t="e">
        <f>VLOOKUP($A34,'HALF YEARLY'!$1:$1048576,8,0)</f>
        <v>#REF!</v>
      </c>
      <c r="Y34" s="3" t="e">
        <f>VLOOKUP($A34,'UT-II'!$1:$1048576,8,0)</f>
        <v>#REF!</v>
      </c>
      <c r="Z34" s="3" t="e">
        <f>VLOOKUP($A34,ANNUAL!$1:$1048576,8,0)</f>
        <v>#REF!</v>
      </c>
      <c r="AA34" s="3" t="e">
        <f>VLOOKUP(A34,'UT-I'!$A$1:$EA$1758,9,0)</f>
        <v>#REF!</v>
      </c>
      <c r="AB34" s="3" t="e">
        <f>VLOOKUP($A34,'HALF YEARLY'!$1:$1048576,9,0)</f>
        <v>#REF!</v>
      </c>
      <c r="AC34" s="3" t="e">
        <f>VLOOKUP($A34,'UT-II'!$1:$1048576,9,0)</f>
        <v>#REF!</v>
      </c>
      <c r="AD34" s="3" t="e">
        <f>VLOOKUP($A34,ANNUAL!$1:$1048576,9,0)</f>
        <v>#REF!</v>
      </c>
      <c r="AE34" s="3" t="e">
        <f>VLOOKUP(A34,'UT-I'!$A$1:$EA$1758,10,0)</f>
        <v>#REF!</v>
      </c>
      <c r="AF34" s="3" t="e">
        <f>VLOOKUP($A34,'HALF YEARLY'!$1:$1048576,10,0)</f>
        <v>#REF!</v>
      </c>
      <c r="AG34" s="3" t="e">
        <f>VLOOKUP($A34,'UT-II'!$1:$1048576,10,0)</f>
        <v>#REF!</v>
      </c>
      <c r="AH34" s="3" t="e">
        <f>VLOOKUP($A34,ANNUAL!$1:$1048576,10,0)</f>
        <v>#REF!</v>
      </c>
      <c r="AI34" s="3" t="e">
        <f>VLOOKUP(A34,'UT-I'!$A$1:$EA$1758,11,0)</f>
        <v>#REF!</v>
      </c>
      <c r="AJ34" s="3" t="e">
        <f>VLOOKUP($A34,'HALF YEARLY'!$1:$1048576,11,0)</f>
        <v>#REF!</v>
      </c>
      <c r="AK34" s="3" t="e">
        <f>VLOOKUP($A34,'UT-II'!$1:$1048576,11,0)</f>
        <v>#REF!</v>
      </c>
      <c r="AL34" s="3" t="e">
        <f>VLOOKUP($A34,ANNUAL!$1:$1048576,11,0)</f>
        <v>#REF!</v>
      </c>
      <c r="AM34" s="3" t="e">
        <f>VLOOKUP(A34,'UT-I'!$A$1:$EA$1758,12,0)</f>
        <v>#REF!</v>
      </c>
      <c r="AN34" s="3" t="e">
        <f>VLOOKUP($A34,'HALF YEARLY'!$1:$1048576,12,0)</f>
        <v>#REF!</v>
      </c>
      <c r="AO34" s="3" t="e">
        <f>VLOOKUP($A34,'UT-II'!$1:$1048576,12,0)</f>
        <v>#REF!</v>
      </c>
      <c r="AP34" s="3" t="e">
        <f>VLOOKUP($A34,ANNUAL!$1:$1048576,12,0)</f>
        <v>#REF!</v>
      </c>
      <c r="AQ34" s="3" t="e">
        <f>VLOOKUP(A34,'UT-I'!$A$1:$EA$1758,13,0)</f>
        <v>#REF!</v>
      </c>
      <c r="AR34" s="3" t="e">
        <f>VLOOKUP($A34,'HALF YEARLY'!$1:$1048576,13,0)</f>
        <v>#REF!</v>
      </c>
      <c r="AS34" s="3" t="e">
        <f>VLOOKUP($A34,'UT-II'!$1:$1048576,13,0)</f>
        <v>#REF!</v>
      </c>
      <c r="AT34" s="3" t="e">
        <f>VLOOKUP($A34,ANNUAL!$1:$1048576,13,0)</f>
        <v>#REF!</v>
      </c>
      <c r="AU34" s="3" t="e">
        <f>VLOOKUP(A34,'UT-I'!$A$1:$EA$1758,14,0)</f>
        <v>#REF!</v>
      </c>
      <c r="AV34" s="3" t="e">
        <f>VLOOKUP($A34,'HALF YEARLY'!$1:$1048576,14,0)</f>
        <v>#REF!</v>
      </c>
      <c r="AW34" s="3" t="e">
        <f>VLOOKUP($A34,'UT-II'!$1:$1048576,14,0)</f>
        <v>#REF!</v>
      </c>
      <c r="AX34" s="3" t="e">
        <f>VLOOKUP($A34,ANNUAL!$1:$1048576,14,0)</f>
        <v>#REF!</v>
      </c>
      <c r="AY34" s="3" t="e">
        <f>VLOOKUP(A34,'UT-I'!$A$1:$EA$1758,15,0)</f>
        <v>#REF!</v>
      </c>
      <c r="AZ34" s="3" t="e">
        <f>VLOOKUP($A34,'HALF YEARLY'!$1:$1048576,15,0)</f>
        <v>#REF!</v>
      </c>
      <c r="BA34" s="3" t="e">
        <f>VLOOKUP($A34,'UT-II'!$1:$1048576,15,0)</f>
        <v>#REF!</v>
      </c>
      <c r="BB34" s="3" t="e">
        <f>VLOOKUP($A34,ANNUAL!$1:$1048576,15,0)</f>
        <v>#REF!</v>
      </c>
      <c r="BC34" s="3" t="e">
        <f>VLOOKUP(A34,'UT-I'!$A$1:$EA$1758,16,0)</f>
        <v>#REF!</v>
      </c>
      <c r="BD34" s="3" t="e">
        <f>VLOOKUP($A34,'HALF YEARLY'!$1:$1048576,16,0)</f>
        <v>#REF!</v>
      </c>
      <c r="BE34" s="3" t="e">
        <f>VLOOKUP($A34,'UT-II'!$1:$1048576,16,0)</f>
        <v>#REF!</v>
      </c>
      <c r="BF34" s="3" t="e">
        <f>VLOOKUP($A34,ANNUAL!$1:$1048576,16,0)</f>
        <v>#REF!</v>
      </c>
      <c r="BG34" s="3" t="e">
        <f>VLOOKUP(A34,'UT-I'!$A$1:$EA$1758,17,0)</f>
        <v>#REF!</v>
      </c>
      <c r="BH34" s="3" t="e">
        <f>VLOOKUP($A34,'HALF YEARLY'!$1:$1048576,17,0)</f>
        <v>#REF!</v>
      </c>
      <c r="BI34" s="3" t="e">
        <f>VLOOKUP($A34,'UT-II'!$1:$1048576,17,0)</f>
        <v>#REF!</v>
      </c>
      <c r="BJ34" s="3" t="e">
        <f>VLOOKUP($A34,ANNUAL!$1:$1048576,17,0)</f>
        <v>#REF!</v>
      </c>
      <c r="BK34" s="3" t="e">
        <f>VLOOKUP($A34,ANNUAL!$1:$1048576,18,0)</f>
        <v>#REF!</v>
      </c>
      <c r="BL34" s="3" t="e">
        <f>VLOOKUP($A34,ANNUAL!$1:$1048576,19,0)</f>
        <v>#REF!</v>
      </c>
      <c r="BM34" s="3" t="e">
        <f>VLOOKUP($A34,ANNUAL!$1:$1048576,20,0)</f>
        <v>#REF!</v>
      </c>
    </row>
    <row r="35" spans="1:65">
      <c r="A35" s="1" t="e">
        <f>DETAILS!#REF!</f>
        <v>#REF!</v>
      </c>
      <c r="B35" s="3" t="e">
        <f>DETAILS!#REF!</f>
        <v>#REF!</v>
      </c>
      <c r="C35" s="3" t="e">
        <f>VLOOKUP(A35,'UT-I'!$A$1:$EA$1758,3,0)</f>
        <v>#REF!</v>
      </c>
      <c r="D35" s="3" t="e">
        <f>VLOOKUP($A35,'HALF YEARLY'!$1:$1048576,3,0)</f>
        <v>#REF!</v>
      </c>
      <c r="E35" s="3" t="e">
        <f>VLOOKUP($A35,'UT-II'!$1:$1048576,3,0)</f>
        <v>#REF!</v>
      </c>
      <c r="F35" s="3" t="e">
        <f>VLOOKUP($A35,ANNUAL!$1:$1048576,3,0)</f>
        <v>#REF!</v>
      </c>
      <c r="G35" s="3" t="e">
        <f>VLOOKUP(A35,'UT-I'!$A$1:$EA$1758,4,0)</f>
        <v>#REF!</v>
      </c>
      <c r="H35" s="3" t="e">
        <f>VLOOKUP($A35,'HALF YEARLY'!$1:$1048576,4,0)</f>
        <v>#REF!</v>
      </c>
      <c r="I35" s="3" t="e">
        <f>VLOOKUP($A35,'UT-II'!$1:$1048576,4,0)</f>
        <v>#REF!</v>
      </c>
      <c r="J35" s="3" t="e">
        <f>VLOOKUP($A35,ANNUAL!$1:$1048576,4,0)</f>
        <v>#REF!</v>
      </c>
      <c r="K35" s="3" t="e">
        <f>VLOOKUP(A35,'UT-I'!$A$1:$EA$1758,5,0)</f>
        <v>#REF!</v>
      </c>
      <c r="L35" s="3" t="e">
        <f>VLOOKUP($A35,'HALF YEARLY'!$1:$1048576,5,0)</f>
        <v>#REF!</v>
      </c>
      <c r="M35" s="3" t="e">
        <f>VLOOKUP($A35,'UT-II'!$1:$1048576,5,0)</f>
        <v>#REF!</v>
      </c>
      <c r="N35" s="3" t="e">
        <f>VLOOKUP($A35,ANNUAL!$1:$1048576,5,0)</f>
        <v>#REF!</v>
      </c>
      <c r="O35" s="3" t="e">
        <f>VLOOKUP(A35,'UT-I'!$A$1:$EA$1758,6,0)</f>
        <v>#REF!</v>
      </c>
      <c r="P35" s="3" t="e">
        <f>VLOOKUP($A35,'HALF YEARLY'!$1:$1048576,6,0)</f>
        <v>#REF!</v>
      </c>
      <c r="Q35" s="3" t="e">
        <f>VLOOKUP($A35,'UT-II'!$1:$1048576,6,0)</f>
        <v>#REF!</v>
      </c>
      <c r="R35" s="3" t="e">
        <f>VLOOKUP($A35,ANNUAL!$1:$1048576,6,0)</f>
        <v>#REF!</v>
      </c>
      <c r="S35" s="3" t="e">
        <f>VLOOKUP(A35,'UT-I'!$A$1:$EA$1758,7,0)</f>
        <v>#REF!</v>
      </c>
      <c r="T35" s="3" t="e">
        <f>VLOOKUP($A35,'HALF YEARLY'!$1:$1048576,7,0)</f>
        <v>#REF!</v>
      </c>
      <c r="U35" s="3" t="e">
        <f>VLOOKUP($A35,'UT-II'!$1:$1048576,7,0)</f>
        <v>#REF!</v>
      </c>
      <c r="V35" s="3" t="e">
        <f>VLOOKUP($A35,ANNUAL!$1:$1048576,7,0)</f>
        <v>#REF!</v>
      </c>
      <c r="W35" s="3" t="e">
        <f>VLOOKUP(A35,'UT-I'!$A$1:$EA$1758,8,0)</f>
        <v>#REF!</v>
      </c>
      <c r="X35" s="3" t="e">
        <f>VLOOKUP($A35,'HALF YEARLY'!$1:$1048576,8,0)</f>
        <v>#REF!</v>
      </c>
      <c r="Y35" s="3" t="e">
        <f>VLOOKUP($A35,'UT-II'!$1:$1048576,8,0)</f>
        <v>#REF!</v>
      </c>
      <c r="Z35" s="3" t="e">
        <f>VLOOKUP($A35,ANNUAL!$1:$1048576,8,0)</f>
        <v>#REF!</v>
      </c>
      <c r="AA35" s="3" t="e">
        <f>VLOOKUP(A35,'UT-I'!$A$1:$EA$1758,9,0)</f>
        <v>#REF!</v>
      </c>
      <c r="AB35" s="3" t="e">
        <f>VLOOKUP($A35,'HALF YEARLY'!$1:$1048576,9,0)</f>
        <v>#REF!</v>
      </c>
      <c r="AC35" s="3" t="e">
        <f>VLOOKUP($A35,'UT-II'!$1:$1048576,9,0)</f>
        <v>#REF!</v>
      </c>
      <c r="AD35" s="3" t="e">
        <f>VLOOKUP($A35,ANNUAL!$1:$1048576,9,0)</f>
        <v>#REF!</v>
      </c>
      <c r="AE35" s="3" t="e">
        <f>VLOOKUP(A35,'UT-I'!$A$1:$EA$1758,10,0)</f>
        <v>#REF!</v>
      </c>
      <c r="AF35" s="3" t="e">
        <f>VLOOKUP($A35,'HALF YEARLY'!$1:$1048576,10,0)</f>
        <v>#REF!</v>
      </c>
      <c r="AG35" s="3" t="e">
        <f>VLOOKUP($A35,'UT-II'!$1:$1048576,10,0)</f>
        <v>#REF!</v>
      </c>
      <c r="AH35" s="3" t="e">
        <f>VLOOKUP($A35,ANNUAL!$1:$1048576,10,0)</f>
        <v>#REF!</v>
      </c>
      <c r="AI35" s="3" t="e">
        <f>VLOOKUP(A35,'UT-I'!$A$1:$EA$1758,11,0)</f>
        <v>#REF!</v>
      </c>
      <c r="AJ35" s="3" t="e">
        <f>VLOOKUP($A35,'HALF YEARLY'!$1:$1048576,11,0)</f>
        <v>#REF!</v>
      </c>
      <c r="AK35" s="3" t="e">
        <f>VLOOKUP($A35,'UT-II'!$1:$1048576,11,0)</f>
        <v>#REF!</v>
      </c>
      <c r="AL35" s="3" t="e">
        <f>VLOOKUP($A35,ANNUAL!$1:$1048576,11,0)</f>
        <v>#REF!</v>
      </c>
      <c r="AM35" s="3" t="e">
        <f>VLOOKUP(A35,'UT-I'!$A$1:$EA$1758,12,0)</f>
        <v>#REF!</v>
      </c>
      <c r="AN35" s="3" t="e">
        <f>VLOOKUP($A35,'HALF YEARLY'!$1:$1048576,12,0)</f>
        <v>#REF!</v>
      </c>
      <c r="AO35" s="3" t="e">
        <f>VLOOKUP($A35,'UT-II'!$1:$1048576,12,0)</f>
        <v>#REF!</v>
      </c>
      <c r="AP35" s="3" t="e">
        <f>VLOOKUP($A35,ANNUAL!$1:$1048576,12,0)</f>
        <v>#REF!</v>
      </c>
      <c r="AQ35" s="3" t="e">
        <f>VLOOKUP(A35,'UT-I'!$A$1:$EA$1758,13,0)</f>
        <v>#REF!</v>
      </c>
      <c r="AR35" s="3" t="e">
        <f>VLOOKUP($A35,'HALF YEARLY'!$1:$1048576,13,0)</f>
        <v>#REF!</v>
      </c>
      <c r="AS35" s="3" t="e">
        <f>VLOOKUP($A35,'UT-II'!$1:$1048576,13,0)</f>
        <v>#REF!</v>
      </c>
      <c r="AT35" s="3" t="e">
        <f>VLOOKUP($A35,ANNUAL!$1:$1048576,13,0)</f>
        <v>#REF!</v>
      </c>
      <c r="AU35" s="3" t="e">
        <f>VLOOKUP(A35,'UT-I'!$A$1:$EA$1758,14,0)</f>
        <v>#REF!</v>
      </c>
      <c r="AV35" s="3" t="e">
        <f>VLOOKUP($A35,'HALF YEARLY'!$1:$1048576,14,0)</f>
        <v>#REF!</v>
      </c>
      <c r="AW35" s="3" t="e">
        <f>VLOOKUP($A35,'UT-II'!$1:$1048576,14,0)</f>
        <v>#REF!</v>
      </c>
      <c r="AX35" s="3" t="e">
        <f>VLOOKUP($A35,ANNUAL!$1:$1048576,14,0)</f>
        <v>#REF!</v>
      </c>
      <c r="AY35" s="3" t="e">
        <f>VLOOKUP(A35,'UT-I'!$A$1:$EA$1758,15,0)</f>
        <v>#REF!</v>
      </c>
      <c r="AZ35" s="3" t="e">
        <f>VLOOKUP($A35,'HALF YEARLY'!$1:$1048576,15,0)</f>
        <v>#REF!</v>
      </c>
      <c r="BA35" s="3" t="e">
        <f>VLOOKUP($A35,'UT-II'!$1:$1048576,15,0)</f>
        <v>#REF!</v>
      </c>
      <c r="BB35" s="3" t="e">
        <f>VLOOKUP($A35,ANNUAL!$1:$1048576,15,0)</f>
        <v>#REF!</v>
      </c>
      <c r="BC35" s="3" t="e">
        <f>VLOOKUP(A35,'UT-I'!$A$1:$EA$1758,16,0)</f>
        <v>#REF!</v>
      </c>
      <c r="BD35" s="3" t="e">
        <f>VLOOKUP($A35,'HALF YEARLY'!$1:$1048576,16,0)</f>
        <v>#REF!</v>
      </c>
      <c r="BE35" s="3" t="e">
        <f>VLOOKUP($A35,'UT-II'!$1:$1048576,16,0)</f>
        <v>#REF!</v>
      </c>
      <c r="BF35" s="3" t="e">
        <f>VLOOKUP($A35,ANNUAL!$1:$1048576,16,0)</f>
        <v>#REF!</v>
      </c>
      <c r="BG35" s="3" t="e">
        <f>VLOOKUP(A35,'UT-I'!$A$1:$EA$1758,17,0)</f>
        <v>#REF!</v>
      </c>
      <c r="BH35" s="3" t="e">
        <f>VLOOKUP($A35,'HALF YEARLY'!$1:$1048576,17,0)</f>
        <v>#REF!</v>
      </c>
      <c r="BI35" s="3" t="e">
        <f>VLOOKUP($A35,'UT-II'!$1:$1048576,17,0)</f>
        <v>#REF!</v>
      </c>
      <c r="BJ35" s="3" t="e">
        <f>VLOOKUP($A35,ANNUAL!$1:$1048576,17,0)</f>
        <v>#REF!</v>
      </c>
      <c r="BK35" s="3" t="e">
        <f>VLOOKUP($A35,ANNUAL!$1:$1048576,18,0)</f>
        <v>#REF!</v>
      </c>
      <c r="BL35" s="3" t="e">
        <f>VLOOKUP($A35,ANNUAL!$1:$1048576,19,0)</f>
        <v>#REF!</v>
      </c>
      <c r="BM35" s="3" t="e">
        <f>VLOOKUP($A35,ANNUAL!$1:$1048576,20,0)</f>
        <v>#REF!</v>
      </c>
    </row>
    <row r="36" spans="1:65">
      <c r="A36" s="1">
        <f>DETAILS!A18</f>
        <v>1905</v>
      </c>
      <c r="B36" s="3" t="str">
        <f>DETAILS!B18</f>
        <v>RAVNOOR KAUR</v>
      </c>
      <c r="C36" s="3" t="str">
        <f>VLOOKUP(A36,'UT-I'!$A$1:$EA$1758,3,0)</f>
        <v>AB</v>
      </c>
      <c r="D36" s="3">
        <f>VLOOKUP($A36,'HALF YEARLY'!$1:$1048576,3,0)</f>
        <v>44</v>
      </c>
      <c r="E36" s="3">
        <f>VLOOKUP($A36,'UT-II'!$1:$1048576,3,0)</f>
        <v>0</v>
      </c>
      <c r="F36" s="3">
        <f>VLOOKUP($A36,ANNUAL!$1:$1048576,3,0)</f>
        <v>0</v>
      </c>
      <c r="G36" s="3" t="str">
        <f>VLOOKUP(A36,'UT-I'!$A$1:$EA$1758,4,0)</f>
        <v>AB</v>
      </c>
      <c r="H36" s="3">
        <f>VLOOKUP($A36,'HALF YEARLY'!$1:$1048576,4,0)</f>
        <v>40</v>
      </c>
      <c r="I36" s="3">
        <f>VLOOKUP($A36,'UT-II'!$1:$1048576,4,0)</f>
        <v>0</v>
      </c>
      <c r="J36" s="3">
        <f>VLOOKUP($A36,ANNUAL!$1:$1048576,4,0)</f>
        <v>0</v>
      </c>
      <c r="K36" s="3">
        <f>VLOOKUP(A36,'UT-I'!$A$1:$EA$1758,5,0)</f>
        <v>48</v>
      </c>
      <c r="L36" s="3">
        <f>VLOOKUP($A36,'HALF YEARLY'!$1:$1048576,5,0)</f>
        <v>40</v>
      </c>
      <c r="M36" s="3">
        <f>VLOOKUP($A36,'UT-II'!$1:$1048576,5,0)</f>
        <v>0</v>
      </c>
      <c r="N36" s="3">
        <f>VLOOKUP($A36,ANNUAL!$1:$1048576,5,0)</f>
        <v>0</v>
      </c>
      <c r="O36" s="3">
        <f>VLOOKUP(A36,'UT-I'!$A$1:$EA$1758,6,0)</f>
        <v>40</v>
      </c>
      <c r="P36" s="3">
        <f>VLOOKUP($A36,'HALF YEARLY'!$1:$1048576,6,0)</f>
        <v>42</v>
      </c>
      <c r="Q36" s="3">
        <f>VLOOKUP($A36,'UT-II'!$1:$1048576,6,0)</f>
        <v>0</v>
      </c>
      <c r="R36" s="3">
        <f>VLOOKUP($A36,ANNUAL!$1:$1048576,6,0)</f>
        <v>0</v>
      </c>
      <c r="S36" s="3">
        <f>VLOOKUP(A36,'UT-I'!$A$1:$EA$1758,7,0)</f>
        <v>50</v>
      </c>
      <c r="T36" s="3">
        <f>VLOOKUP($A36,'HALF YEARLY'!$1:$1048576,7,0)</f>
        <v>20</v>
      </c>
      <c r="U36" s="3">
        <f>VLOOKUP($A36,'UT-II'!$1:$1048576,7,0)</f>
        <v>0</v>
      </c>
      <c r="V36" s="3">
        <f>VLOOKUP($A36,ANNUAL!$1:$1048576,7,0)</f>
        <v>0</v>
      </c>
      <c r="W36" s="3">
        <f>VLOOKUP(A36,'UT-I'!$A$1:$EA$1758,8,0)</f>
        <v>48</v>
      </c>
      <c r="X36" s="3">
        <f>VLOOKUP($A36,'HALF YEARLY'!$1:$1048576,8,0)</f>
        <v>37</v>
      </c>
      <c r="Y36" s="3">
        <f>VLOOKUP($A36,'UT-II'!$1:$1048576,8,0)</f>
        <v>0</v>
      </c>
      <c r="Z36" s="3">
        <f>VLOOKUP($A36,ANNUAL!$1:$1048576,8,0)</f>
        <v>0</v>
      </c>
      <c r="AA36" s="3">
        <f>VLOOKUP(A36,'UT-I'!$A$1:$EA$1758,9,0)</f>
        <v>49</v>
      </c>
      <c r="AB36" s="3">
        <f>VLOOKUP($A36,'HALF YEARLY'!$1:$1048576,9,0)</f>
        <v>39</v>
      </c>
      <c r="AC36" s="3">
        <f>VLOOKUP($A36,'UT-II'!$1:$1048576,9,0)</f>
        <v>0</v>
      </c>
      <c r="AD36" s="3">
        <f>VLOOKUP($A36,ANNUAL!$1:$1048576,9,0)</f>
        <v>0</v>
      </c>
      <c r="AE36" s="3">
        <f>VLOOKUP(A36,'UT-I'!$A$1:$EA$1758,10,0)</f>
        <v>50</v>
      </c>
      <c r="AF36" s="3">
        <f>VLOOKUP($A36,'HALF YEARLY'!$1:$1048576,10,0)</f>
        <v>30</v>
      </c>
      <c r="AG36" s="3">
        <f>VLOOKUP($A36,'UT-II'!$1:$1048576,10,0)</f>
        <v>0</v>
      </c>
      <c r="AH36" s="3">
        <f>VLOOKUP($A36,ANNUAL!$1:$1048576,10,0)</f>
        <v>0</v>
      </c>
      <c r="AI36" s="3" t="str">
        <f>VLOOKUP(A36,'UT-I'!$A$1:$EA$1758,11,0)</f>
        <v>AB</v>
      </c>
      <c r="AJ36" s="3">
        <f>VLOOKUP($A36,'HALF YEARLY'!$1:$1048576,11,0)</f>
        <v>30</v>
      </c>
      <c r="AK36" s="3">
        <f>VLOOKUP($A36,'UT-II'!$1:$1048576,11,0)</f>
        <v>0</v>
      </c>
      <c r="AL36" s="3">
        <f>VLOOKUP($A36,ANNUAL!$1:$1048576,11,0)</f>
        <v>0</v>
      </c>
      <c r="AM36" s="3">
        <f>VLOOKUP(A36,'UT-I'!$A$1:$EA$1758,12,0)</f>
        <v>40</v>
      </c>
      <c r="AN36" s="3">
        <f>VLOOKUP($A36,'HALF YEARLY'!$1:$1048576,12,0)</f>
        <v>35</v>
      </c>
      <c r="AO36" s="3">
        <f>VLOOKUP($A36,'UT-II'!$1:$1048576,12,0)</f>
        <v>0</v>
      </c>
      <c r="AP36" s="3">
        <f>VLOOKUP($A36,ANNUAL!$1:$1048576,12,0)</f>
        <v>0</v>
      </c>
      <c r="AQ36" s="3" t="str">
        <f>VLOOKUP(A36,'UT-I'!$A$1:$EA$1758,13,0)</f>
        <v>A</v>
      </c>
      <c r="AR36" s="3" t="str">
        <f>VLOOKUP($A36,'HALF YEARLY'!$1:$1048576,13,0)</f>
        <v>D</v>
      </c>
      <c r="AS36" s="3">
        <f>VLOOKUP($A36,'UT-II'!$1:$1048576,13,0)</f>
        <v>0</v>
      </c>
      <c r="AT36" s="3">
        <f>VLOOKUP($A36,ANNUAL!$1:$1048576,13,0)</f>
        <v>0</v>
      </c>
      <c r="AU36" s="3" t="str">
        <f>VLOOKUP(A36,'UT-I'!$A$1:$EA$1758,14,0)</f>
        <v>AB</v>
      </c>
      <c r="AV36" s="3" t="str">
        <f>VLOOKUP($A36,'HALF YEARLY'!$1:$1048576,14,0)</f>
        <v>A</v>
      </c>
      <c r="AW36" s="3">
        <f>VLOOKUP($A36,'UT-II'!$1:$1048576,14,0)</f>
        <v>0</v>
      </c>
      <c r="AX36" s="3">
        <f>VLOOKUP($A36,ANNUAL!$1:$1048576,14,0)</f>
        <v>0</v>
      </c>
      <c r="AY36" s="3" t="str">
        <f>VLOOKUP(A36,'UT-I'!$A$1:$EA$1758,15,0)</f>
        <v>A</v>
      </c>
      <c r="AZ36" s="3" t="str">
        <f>VLOOKUP($A36,'HALF YEARLY'!$1:$1048576,15,0)</f>
        <v>A</v>
      </c>
      <c r="BA36" s="3">
        <f>VLOOKUP($A36,'UT-II'!$1:$1048576,15,0)</f>
        <v>0</v>
      </c>
      <c r="BB36" s="3">
        <f>VLOOKUP($A36,ANNUAL!$1:$1048576,15,0)</f>
        <v>0</v>
      </c>
      <c r="BC36" s="3" t="str">
        <f>VLOOKUP(A36,'UT-I'!$A$1:$EA$1758,16,0)</f>
        <v>A</v>
      </c>
      <c r="BD36" s="3" t="str">
        <f>VLOOKUP($A36,'HALF YEARLY'!$1:$1048576,16,0)</f>
        <v>A</v>
      </c>
      <c r="BE36" s="3">
        <f>VLOOKUP($A36,'UT-II'!$1:$1048576,16,0)</f>
        <v>0</v>
      </c>
      <c r="BF36" s="3">
        <f>VLOOKUP($A36,ANNUAL!$1:$1048576,16,0)</f>
        <v>0</v>
      </c>
      <c r="BG36" s="3">
        <f>VLOOKUP(A36,'UT-I'!$A$1:$EA$1758,17,0)</f>
        <v>325</v>
      </c>
      <c r="BH36" s="3">
        <f>VLOOKUP($A36,'HALF YEARLY'!$1:$1048576,17,0)</f>
        <v>357</v>
      </c>
      <c r="BI36" s="3">
        <f>VLOOKUP($A36,'UT-II'!$1:$1048576,17,0)</f>
        <v>0</v>
      </c>
      <c r="BJ36" s="3">
        <f>VLOOKUP($A36,ANNUAL!$1:$1048576,17,0)</f>
        <v>0</v>
      </c>
      <c r="BK36" s="3">
        <f>VLOOKUP($A36,ANNUAL!$1:$1048576,18,0)</f>
        <v>0</v>
      </c>
      <c r="BL36" s="3">
        <f>VLOOKUP($A36,ANNUAL!$1:$1048576,19,0)</f>
        <v>0</v>
      </c>
      <c r="BM36" s="3">
        <f>VLOOKUP($A36,ANNUAL!$1:$1048576,20,0)</f>
        <v>0</v>
      </c>
    </row>
    <row r="37" spans="1:65">
      <c r="A37" s="1" t="e">
        <f>DETAILS!#REF!</f>
        <v>#REF!</v>
      </c>
      <c r="B37" s="3" t="e">
        <f>DETAILS!#REF!</f>
        <v>#REF!</v>
      </c>
      <c r="C37" s="3" t="e">
        <f>VLOOKUP(A37,'UT-I'!$A$1:$EA$1758,3,0)</f>
        <v>#REF!</v>
      </c>
      <c r="D37" s="3" t="e">
        <f>VLOOKUP($A37,'HALF YEARLY'!$1:$1048576,3,0)</f>
        <v>#REF!</v>
      </c>
      <c r="E37" s="3" t="e">
        <f>VLOOKUP($A37,'UT-II'!$1:$1048576,3,0)</f>
        <v>#REF!</v>
      </c>
      <c r="F37" s="3" t="e">
        <f>VLOOKUP($A37,ANNUAL!$1:$1048576,3,0)</f>
        <v>#REF!</v>
      </c>
      <c r="G37" s="3" t="e">
        <f>VLOOKUP(A37,'UT-I'!$A$1:$EA$1758,4,0)</f>
        <v>#REF!</v>
      </c>
      <c r="H37" s="3" t="e">
        <f>VLOOKUP($A37,'HALF YEARLY'!$1:$1048576,4,0)</f>
        <v>#REF!</v>
      </c>
      <c r="I37" s="3" t="e">
        <f>VLOOKUP($A37,'UT-II'!$1:$1048576,4,0)</f>
        <v>#REF!</v>
      </c>
      <c r="J37" s="3" t="e">
        <f>VLOOKUP($A37,ANNUAL!$1:$1048576,4,0)</f>
        <v>#REF!</v>
      </c>
      <c r="K37" s="3" t="e">
        <f>VLOOKUP(A37,'UT-I'!$A$1:$EA$1758,5,0)</f>
        <v>#REF!</v>
      </c>
      <c r="L37" s="3" t="e">
        <f>VLOOKUP($A37,'HALF YEARLY'!$1:$1048576,5,0)</f>
        <v>#REF!</v>
      </c>
      <c r="M37" s="3" t="e">
        <f>VLOOKUP($A37,'UT-II'!$1:$1048576,5,0)</f>
        <v>#REF!</v>
      </c>
      <c r="N37" s="3" t="e">
        <f>VLOOKUP($A37,ANNUAL!$1:$1048576,5,0)</f>
        <v>#REF!</v>
      </c>
      <c r="O37" s="3" t="e">
        <f>VLOOKUP(A37,'UT-I'!$A$1:$EA$1758,6,0)</f>
        <v>#REF!</v>
      </c>
      <c r="P37" s="3" t="e">
        <f>VLOOKUP($A37,'HALF YEARLY'!$1:$1048576,6,0)</f>
        <v>#REF!</v>
      </c>
      <c r="Q37" s="3" t="e">
        <f>VLOOKUP($A37,'UT-II'!$1:$1048576,6,0)</f>
        <v>#REF!</v>
      </c>
      <c r="R37" s="3" t="e">
        <f>VLOOKUP($A37,ANNUAL!$1:$1048576,6,0)</f>
        <v>#REF!</v>
      </c>
      <c r="S37" s="3" t="e">
        <f>VLOOKUP(A37,'UT-I'!$A$1:$EA$1758,7,0)</f>
        <v>#REF!</v>
      </c>
      <c r="T37" s="3" t="e">
        <f>VLOOKUP($A37,'HALF YEARLY'!$1:$1048576,7,0)</f>
        <v>#REF!</v>
      </c>
      <c r="U37" s="3" t="e">
        <f>VLOOKUP($A37,'UT-II'!$1:$1048576,7,0)</f>
        <v>#REF!</v>
      </c>
      <c r="V37" s="3" t="e">
        <f>VLOOKUP($A37,ANNUAL!$1:$1048576,7,0)</f>
        <v>#REF!</v>
      </c>
      <c r="W37" s="3" t="e">
        <f>VLOOKUP(A37,'UT-I'!$A$1:$EA$1758,8,0)</f>
        <v>#REF!</v>
      </c>
      <c r="X37" s="3" t="e">
        <f>VLOOKUP($A37,'HALF YEARLY'!$1:$1048576,8,0)</f>
        <v>#REF!</v>
      </c>
      <c r="Y37" s="3" t="e">
        <f>VLOOKUP($A37,'UT-II'!$1:$1048576,8,0)</f>
        <v>#REF!</v>
      </c>
      <c r="Z37" s="3" t="e">
        <f>VLOOKUP($A37,ANNUAL!$1:$1048576,8,0)</f>
        <v>#REF!</v>
      </c>
      <c r="AA37" s="3" t="e">
        <f>VLOOKUP(A37,'UT-I'!$A$1:$EA$1758,9,0)</f>
        <v>#REF!</v>
      </c>
      <c r="AB37" s="3" t="e">
        <f>VLOOKUP($A37,'HALF YEARLY'!$1:$1048576,9,0)</f>
        <v>#REF!</v>
      </c>
      <c r="AC37" s="3" t="e">
        <f>VLOOKUP($A37,'UT-II'!$1:$1048576,9,0)</f>
        <v>#REF!</v>
      </c>
      <c r="AD37" s="3" t="e">
        <f>VLOOKUP($A37,ANNUAL!$1:$1048576,9,0)</f>
        <v>#REF!</v>
      </c>
      <c r="AE37" s="3" t="e">
        <f>VLOOKUP(A37,'UT-I'!$A$1:$EA$1758,10,0)</f>
        <v>#REF!</v>
      </c>
      <c r="AF37" s="3" t="e">
        <f>VLOOKUP($A37,'HALF YEARLY'!$1:$1048576,10,0)</f>
        <v>#REF!</v>
      </c>
      <c r="AG37" s="3" t="e">
        <f>VLOOKUP($A37,'UT-II'!$1:$1048576,10,0)</f>
        <v>#REF!</v>
      </c>
      <c r="AH37" s="3" t="e">
        <f>VLOOKUP($A37,ANNUAL!$1:$1048576,10,0)</f>
        <v>#REF!</v>
      </c>
      <c r="AI37" s="3" t="e">
        <f>VLOOKUP(A37,'UT-I'!$A$1:$EA$1758,11,0)</f>
        <v>#REF!</v>
      </c>
      <c r="AJ37" s="3" t="e">
        <f>VLOOKUP($A37,'HALF YEARLY'!$1:$1048576,11,0)</f>
        <v>#REF!</v>
      </c>
      <c r="AK37" s="3" t="e">
        <f>VLOOKUP($A37,'UT-II'!$1:$1048576,11,0)</f>
        <v>#REF!</v>
      </c>
      <c r="AL37" s="3" t="e">
        <f>VLOOKUP($A37,ANNUAL!$1:$1048576,11,0)</f>
        <v>#REF!</v>
      </c>
      <c r="AM37" s="3" t="e">
        <f>VLOOKUP(A37,'UT-I'!$A$1:$EA$1758,12,0)</f>
        <v>#REF!</v>
      </c>
      <c r="AN37" s="3" t="e">
        <f>VLOOKUP($A37,'HALF YEARLY'!$1:$1048576,12,0)</f>
        <v>#REF!</v>
      </c>
      <c r="AO37" s="3" t="e">
        <f>VLOOKUP($A37,'UT-II'!$1:$1048576,12,0)</f>
        <v>#REF!</v>
      </c>
      <c r="AP37" s="3" t="e">
        <f>VLOOKUP($A37,ANNUAL!$1:$1048576,12,0)</f>
        <v>#REF!</v>
      </c>
      <c r="AQ37" s="3" t="e">
        <f>VLOOKUP(A37,'UT-I'!$A$1:$EA$1758,13,0)</f>
        <v>#REF!</v>
      </c>
      <c r="AR37" s="3" t="e">
        <f>VLOOKUP($A37,'HALF YEARLY'!$1:$1048576,13,0)</f>
        <v>#REF!</v>
      </c>
      <c r="AS37" s="3" t="e">
        <f>VLOOKUP($A37,'UT-II'!$1:$1048576,13,0)</f>
        <v>#REF!</v>
      </c>
      <c r="AT37" s="3" t="e">
        <f>VLOOKUP($A37,ANNUAL!$1:$1048576,13,0)</f>
        <v>#REF!</v>
      </c>
      <c r="AU37" s="3" t="e">
        <f>VLOOKUP(A37,'UT-I'!$A$1:$EA$1758,14,0)</f>
        <v>#REF!</v>
      </c>
      <c r="AV37" s="3" t="e">
        <f>VLOOKUP($A37,'HALF YEARLY'!$1:$1048576,14,0)</f>
        <v>#REF!</v>
      </c>
      <c r="AW37" s="3" t="e">
        <f>VLOOKUP($A37,'UT-II'!$1:$1048576,14,0)</f>
        <v>#REF!</v>
      </c>
      <c r="AX37" s="3" t="e">
        <f>VLOOKUP($A37,ANNUAL!$1:$1048576,14,0)</f>
        <v>#REF!</v>
      </c>
      <c r="AY37" s="3" t="e">
        <f>VLOOKUP(A37,'UT-I'!$A$1:$EA$1758,15,0)</f>
        <v>#REF!</v>
      </c>
      <c r="AZ37" s="3" t="e">
        <f>VLOOKUP($A37,'HALF YEARLY'!$1:$1048576,15,0)</f>
        <v>#REF!</v>
      </c>
      <c r="BA37" s="3" t="e">
        <f>VLOOKUP($A37,'UT-II'!$1:$1048576,15,0)</f>
        <v>#REF!</v>
      </c>
      <c r="BB37" s="3" t="e">
        <f>VLOOKUP($A37,ANNUAL!$1:$1048576,15,0)</f>
        <v>#REF!</v>
      </c>
      <c r="BC37" s="3" t="e">
        <f>VLOOKUP(A37,'UT-I'!$A$1:$EA$1758,16,0)</f>
        <v>#REF!</v>
      </c>
      <c r="BD37" s="3" t="e">
        <f>VLOOKUP($A37,'HALF YEARLY'!$1:$1048576,16,0)</f>
        <v>#REF!</v>
      </c>
      <c r="BE37" s="3" t="e">
        <f>VLOOKUP($A37,'UT-II'!$1:$1048576,16,0)</f>
        <v>#REF!</v>
      </c>
      <c r="BF37" s="3" t="e">
        <f>VLOOKUP($A37,ANNUAL!$1:$1048576,16,0)</f>
        <v>#REF!</v>
      </c>
      <c r="BG37" s="3" t="e">
        <f>VLOOKUP(A37,'UT-I'!$A$1:$EA$1758,17,0)</f>
        <v>#REF!</v>
      </c>
      <c r="BH37" s="3" t="e">
        <f>VLOOKUP($A37,'HALF YEARLY'!$1:$1048576,17,0)</f>
        <v>#REF!</v>
      </c>
      <c r="BI37" s="3" t="e">
        <f>VLOOKUP($A37,'UT-II'!$1:$1048576,17,0)</f>
        <v>#REF!</v>
      </c>
      <c r="BJ37" s="3" t="e">
        <f>VLOOKUP($A37,ANNUAL!$1:$1048576,17,0)</f>
        <v>#REF!</v>
      </c>
      <c r="BK37" s="3" t="e">
        <f>VLOOKUP($A37,ANNUAL!$1:$1048576,18,0)</f>
        <v>#REF!</v>
      </c>
      <c r="BL37" s="3" t="e">
        <f>VLOOKUP($A37,ANNUAL!$1:$1048576,19,0)</f>
        <v>#REF!</v>
      </c>
      <c r="BM37" s="3" t="e">
        <f>VLOOKUP($A37,ANNUAL!$1:$1048576,20,0)</f>
        <v>#REF!</v>
      </c>
    </row>
    <row r="38" spans="1:65">
      <c r="A38" s="1" t="e">
        <f>DETAILS!#REF!</f>
        <v>#REF!</v>
      </c>
      <c r="B38" s="3" t="e">
        <f>DETAILS!#REF!</f>
        <v>#REF!</v>
      </c>
      <c r="C38" s="3" t="e">
        <f>VLOOKUP(A38,'UT-I'!$A$1:$EA$1758,3,0)</f>
        <v>#REF!</v>
      </c>
      <c r="D38" s="3" t="e">
        <f>VLOOKUP($A38,'HALF YEARLY'!$1:$1048576,3,0)</f>
        <v>#REF!</v>
      </c>
      <c r="E38" s="3" t="e">
        <f>VLOOKUP($A38,'UT-II'!$1:$1048576,3,0)</f>
        <v>#REF!</v>
      </c>
      <c r="F38" s="3" t="e">
        <f>VLOOKUP($A38,ANNUAL!$1:$1048576,3,0)</f>
        <v>#REF!</v>
      </c>
      <c r="G38" s="3" t="e">
        <f>VLOOKUP(A38,'UT-I'!$A$1:$EA$1758,4,0)</f>
        <v>#REF!</v>
      </c>
      <c r="H38" s="3" t="e">
        <f>VLOOKUP($A38,'HALF YEARLY'!$1:$1048576,4,0)</f>
        <v>#REF!</v>
      </c>
      <c r="I38" s="3" t="e">
        <f>VLOOKUP($A38,'UT-II'!$1:$1048576,4,0)</f>
        <v>#REF!</v>
      </c>
      <c r="J38" s="3" t="e">
        <f>VLOOKUP($A38,ANNUAL!$1:$1048576,4,0)</f>
        <v>#REF!</v>
      </c>
      <c r="K38" s="3" t="e">
        <f>VLOOKUP(A38,'UT-I'!$A$1:$EA$1758,5,0)</f>
        <v>#REF!</v>
      </c>
      <c r="L38" s="3" t="e">
        <f>VLOOKUP($A38,'HALF YEARLY'!$1:$1048576,5,0)</f>
        <v>#REF!</v>
      </c>
      <c r="M38" s="3" t="e">
        <f>VLOOKUP($A38,'UT-II'!$1:$1048576,5,0)</f>
        <v>#REF!</v>
      </c>
      <c r="N38" s="3" t="e">
        <f>VLOOKUP($A38,ANNUAL!$1:$1048576,5,0)</f>
        <v>#REF!</v>
      </c>
      <c r="O38" s="3" t="e">
        <f>VLOOKUP(A38,'UT-I'!$A$1:$EA$1758,6,0)</f>
        <v>#REF!</v>
      </c>
      <c r="P38" s="3" t="e">
        <f>VLOOKUP($A38,'HALF YEARLY'!$1:$1048576,6,0)</f>
        <v>#REF!</v>
      </c>
      <c r="Q38" s="3" t="e">
        <f>VLOOKUP($A38,'UT-II'!$1:$1048576,6,0)</f>
        <v>#REF!</v>
      </c>
      <c r="R38" s="3" t="e">
        <f>VLOOKUP($A38,ANNUAL!$1:$1048576,6,0)</f>
        <v>#REF!</v>
      </c>
      <c r="S38" s="3" t="e">
        <f>VLOOKUP(A38,'UT-I'!$A$1:$EA$1758,7,0)</f>
        <v>#REF!</v>
      </c>
      <c r="T38" s="3" t="e">
        <f>VLOOKUP($A38,'HALF YEARLY'!$1:$1048576,7,0)</f>
        <v>#REF!</v>
      </c>
      <c r="U38" s="3" t="e">
        <f>VLOOKUP($A38,'UT-II'!$1:$1048576,7,0)</f>
        <v>#REF!</v>
      </c>
      <c r="V38" s="3" t="e">
        <f>VLOOKUP($A38,ANNUAL!$1:$1048576,7,0)</f>
        <v>#REF!</v>
      </c>
      <c r="W38" s="3" t="e">
        <f>VLOOKUP(A38,'UT-I'!$A$1:$EA$1758,8,0)</f>
        <v>#REF!</v>
      </c>
      <c r="X38" s="3" t="e">
        <f>VLOOKUP($A38,'HALF YEARLY'!$1:$1048576,8,0)</f>
        <v>#REF!</v>
      </c>
      <c r="Y38" s="3" t="e">
        <f>VLOOKUP($A38,'UT-II'!$1:$1048576,8,0)</f>
        <v>#REF!</v>
      </c>
      <c r="Z38" s="3" t="e">
        <f>VLOOKUP($A38,ANNUAL!$1:$1048576,8,0)</f>
        <v>#REF!</v>
      </c>
      <c r="AA38" s="3" t="e">
        <f>VLOOKUP(A38,'UT-I'!$A$1:$EA$1758,9,0)</f>
        <v>#REF!</v>
      </c>
      <c r="AB38" s="3" t="e">
        <f>VLOOKUP($A38,'HALF YEARLY'!$1:$1048576,9,0)</f>
        <v>#REF!</v>
      </c>
      <c r="AC38" s="3" t="e">
        <f>VLOOKUP($A38,'UT-II'!$1:$1048576,9,0)</f>
        <v>#REF!</v>
      </c>
      <c r="AD38" s="3" t="e">
        <f>VLOOKUP($A38,ANNUAL!$1:$1048576,9,0)</f>
        <v>#REF!</v>
      </c>
      <c r="AE38" s="3" t="e">
        <f>VLOOKUP(A38,'UT-I'!$A$1:$EA$1758,10,0)</f>
        <v>#REF!</v>
      </c>
      <c r="AF38" s="3" t="e">
        <f>VLOOKUP($A38,'HALF YEARLY'!$1:$1048576,10,0)</f>
        <v>#REF!</v>
      </c>
      <c r="AG38" s="3" t="e">
        <f>VLOOKUP($A38,'UT-II'!$1:$1048576,10,0)</f>
        <v>#REF!</v>
      </c>
      <c r="AH38" s="3" t="e">
        <f>VLOOKUP($A38,ANNUAL!$1:$1048576,10,0)</f>
        <v>#REF!</v>
      </c>
      <c r="AI38" s="3" t="e">
        <f>VLOOKUP(A38,'UT-I'!$A$1:$EA$1758,11,0)</f>
        <v>#REF!</v>
      </c>
      <c r="AJ38" s="3" t="e">
        <f>VLOOKUP($A38,'HALF YEARLY'!$1:$1048576,11,0)</f>
        <v>#REF!</v>
      </c>
      <c r="AK38" s="3" t="e">
        <f>VLOOKUP($A38,'UT-II'!$1:$1048576,11,0)</f>
        <v>#REF!</v>
      </c>
      <c r="AL38" s="3" t="e">
        <f>VLOOKUP($A38,ANNUAL!$1:$1048576,11,0)</f>
        <v>#REF!</v>
      </c>
      <c r="AM38" s="3" t="e">
        <f>VLOOKUP(A38,'UT-I'!$A$1:$EA$1758,12,0)</f>
        <v>#REF!</v>
      </c>
      <c r="AN38" s="3" t="e">
        <f>VLOOKUP($A38,'HALF YEARLY'!$1:$1048576,12,0)</f>
        <v>#REF!</v>
      </c>
      <c r="AO38" s="3" t="e">
        <f>VLOOKUP($A38,'UT-II'!$1:$1048576,12,0)</f>
        <v>#REF!</v>
      </c>
      <c r="AP38" s="3" t="e">
        <f>VLOOKUP($A38,ANNUAL!$1:$1048576,12,0)</f>
        <v>#REF!</v>
      </c>
      <c r="AQ38" s="3" t="e">
        <f>VLOOKUP(A38,'UT-I'!$A$1:$EA$1758,13,0)</f>
        <v>#REF!</v>
      </c>
      <c r="AR38" s="3" t="e">
        <f>VLOOKUP($A38,'HALF YEARLY'!$1:$1048576,13,0)</f>
        <v>#REF!</v>
      </c>
      <c r="AS38" s="3" t="e">
        <f>VLOOKUP($A38,'UT-II'!$1:$1048576,13,0)</f>
        <v>#REF!</v>
      </c>
      <c r="AT38" s="3" t="e">
        <f>VLOOKUP($A38,ANNUAL!$1:$1048576,13,0)</f>
        <v>#REF!</v>
      </c>
      <c r="AU38" s="3" t="e">
        <f>VLOOKUP(A38,'UT-I'!$A$1:$EA$1758,14,0)</f>
        <v>#REF!</v>
      </c>
      <c r="AV38" s="3" t="e">
        <f>VLOOKUP($A38,'HALF YEARLY'!$1:$1048576,14,0)</f>
        <v>#REF!</v>
      </c>
      <c r="AW38" s="3" t="e">
        <f>VLOOKUP($A38,'UT-II'!$1:$1048576,14,0)</f>
        <v>#REF!</v>
      </c>
      <c r="AX38" s="3" t="e">
        <f>VLOOKUP($A38,ANNUAL!$1:$1048576,14,0)</f>
        <v>#REF!</v>
      </c>
      <c r="AY38" s="3" t="e">
        <f>VLOOKUP(A38,'UT-I'!$A$1:$EA$1758,15,0)</f>
        <v>#REF!</v>
      </c>
      <c r="AZ38" s="3" t="e">
        <f>VLOOKUP($A38,'HALF YEARLY'!$1:$1048576,15,0)</f>
        <v>#REF!</v>
      </c>
      <c r="BA38" s="3" t="e">
        <f>VLOOKUP($A38,'UT-II'!$1:$1048576,15,0)</f>
        <v>#REF!</v>
      </c>
      <c r="BB38" s="3" t="e">
        <f>VLOOKUP($A38,ANNUAL!$1:$1048576,15,0)</f>
        <v>#REF!</v>
      </c>
      <c r="BC38" s="3" t="e">
        <f>VLOOKUP(A38,'UT-I'!$A$1:$EA$1758,16,0)</f>
        <v>#REF!</v>
      </c>
      <c r="BD38" s="3" t="e">
        <f>VLOOKUP($A38,'HALF YEARLY'!$1:$1048576,16,0)</f>
        <v>#REF!</v>
      </c>
      <c r="BE38" s="3" t="e">
        <f>VLOOKUP($A38,'UT-II'!$1:$1048576,16,0)</f>
        <v>#REF!</v>
      </c>
      <c r="BF38" s="3" t="e">
        <f>VLOOKUP($A38,ANNUAL!$1:$1048576,16,0)</f>
        <v>#REF!</v>
      </c>
      <c r="BG38" s="3" t="e">
        <f>VLOOKUP(A38,'UT-I'!$A$1:$EA$1758,17,0)</f>
        <v>#REF!</v>
      </c>
      <c r="BH38" s="3" t="e">
        <f>VLOOKUP($A38,'HALF YEARLY'!$1:$1048576,17,0)</f>
        <v>#REF!</v>
      </c>
      <c r="BI38" s="3" t="e">
        <f>VLOOKUP($A38,'UT-II'!$1:$1048576,17,0)</f>
        <v>#REF!</v>
      </c>
      <c r="BJ38" s="3" t="e">
        <f>VLOOKUP($A38,ANNUAL!$1:$1048576,17,0)</f>
        <v>#REF!</v>
      </c>
      <c r="BK38" s="3" t="e">
        <f>VLOOKUP($A38,ANNUAL!$1:$1048576,18,0)</f>
        <v>#REF!</v>
      </c>
      <c r="BL38" s="3" t="e">
        <f>VLOOKUP($A38,ANNUAL!$1:$1048576,19,0)</f>
        <v>#REF!</v>
      </c>
      <c r="BM38" s="3" t="e">
        <f>VLOOKUP($A38,ANNUAL!$1:$1048576,20,0)</f>
        <v>#REF!</v>
      </c>
    </row>
    <row r="39" spans="1:65">
      <c r="A39" s="1" t="e">
        <f>DETAILS!#REF!</f>
        <v>#REF!</v>
      </c>
      <c r="B39" s="3" t="e">
        <f>DETAILS!#REF!</f>
        <v>#REF!</v>
      </c>
      <c r="C39" s="3" t="e">
        <f>VLOOKUP(A39,'UT-I'!$A$1:$EA$1758,3,0)</f>
        <v>#REF!</v>
      </c>
      <c r="D39" s="3" t="e">
        <f>VLOOKUP($A39,'HALF YEARLY'!$1:$1048576,3,0)</f>
        <v>#REF!</v>
      </c>
      <c r="E39" s="3" t="e">
        <f>VLOOKUP($A39,'UT-II'!$1:$1048576,3,0)</f>
        <v>#REF!</v>
      </c>
      <c r="F39" s="3" t="e">
        <f>VLOOKUP($A39,ANNUAL!$1:$1048576,3,0)</f>
        <v>#REF!</v>
      </c>
      <c r="G39" s="3" t="e">
        <f>VLOOKUP(A39,'UT-I'!$A$1:$EA$1758,4,0)</f>
        <v>#REF!</v>
      </c>
      <c r="H39" s="3" t="e">
        <f>VLOOKUP($A39,'HALF YEARLY'!$1:$1048576,4,0)</f>
        <v>#REF!</v>
      </c>
      <c r="I39" s="3" t="e">
        <f>VLOOKUP($A39,'UT-II'!$1:$1048576,4,0)</f>
        <v>#REF!</v>
      </c>
      <c r="J39" s="3" t="e">
        <f>VLOOKUP($A39,ANNUAL!$1:$1048576,4,0)</f>
        <v>#REF!</v>
      </c>
      <c r="K39" s="3" t="e">
        <f>VLOOKUP(A39,'UT-I'!$A$1:$EA$1758,5,0)</f>
        <v>#REF!</v>
      </c>
      <c r="L39" s="3" t="e">
        <f>VLOOKUP($A39,'HALF YEARLY'!$1:$1048576,5,0)</f>
        <v>#REF!</v>
      </c>
      <c r="M39" s="3" t="e">
        <f>VLOOKUP($A39,'UT-II'!$1:$1048576,5,0)</f>
        <v>#REF!</v>
      </c>
      <c r="N39" s="3" t="e">
        <f>VLOOKUP($A39,ANNUAL!$1:$1048576,5,0)</f>
        <v>#REF!</v>
      </c>
      <c r="O39" s="3" t="e">
        <f>VLOOKUP(A39,'UT-I'!$A$1:$EA$1758,6,0)</f>
        <v>#REF!</v>
      </c>
      <c r="P39" s="3" t="e">
        <f>VLOOKUP($A39,'HALF YEARLY'!$1:$1048576,6,0)</f>
        <v>#REF!</v>
      </c>
      <c r="Q39" s="3" t="e">
        <f>VLOOKUP($A39,'UT-II'!$1:$1048576,6,0)</f>
        <v>#REF!</v>
      </c>
      <c r="R39" s="3" t="e">
        <f>VLOOKUP($A39,ANNUAL!$1:$1048576,6,0)</f>
        <v>#REF!</v>
      </c>
      <c r="S39" s="3" t="e">
        <f>VLOOKUP(A39,'UT-I'!$A$1:$EA$1758,7,0)</f>
        <v>#REF!</v>
      </c>
      <c r="T39" s="3" t="e">
        <f>VLOOKUP($A39,'HALF YEARLY'!$1:$1048576,7,0)</f>
        <v>#REF!</v>
      </c>
      <c r="U39" s="3" t="e">
        <f>VLOOKUP($A39,'UT-II'!$1:$1048576,7,0)</f>
        <v>#REF!</v>
      </c>
      <c r="V39" s="3" t="e">
        <f>VLOOKUP($A39,ANNUAL!$1:$1048576,7,0)</f>
        <v>#REF!</v>
      </c>
      <c r="W39" s="3" t="e">
        <f>VLOOKUP(A39,'UT-I'!$A$1:$EA$1758,8,0)</f>
        <v>#REF!</v>
      </c>
      <c r="X39" s="3" t="e">
        <f>VLOOKUP($A39,'HALF YEARLY'!$1:$1048576,8,0)</f>
        <v>#REF!</v>
      </c>
      <c r="Y39" s="3" t="e">
        <f>VLOOKUP($A39,'UT-II'!$1:$1048576,8,0)</f>
        <v>#REF!</v>
      </c>
      <c r="Z39" s="3" t="e">
        <f>VLOOKUP($A39,ANNUAL!$1:$1048576,8,0)</f>
        <v>#REF!</v>
      </c>
      <c r="AA39" s="3" t="e">
        <f>VLOOKUP(A39,'UT-I'!$A$1:$EA$1758,9,0)</f>
        <v>#REF!</v>
      </c>
      <c r="AB39" s="3" t="e">
        <f>VLOOKUP($A39,'HALF YEARLY'!$1:$1048576,9,0)</f>
        <v>#REF!</v>
      </c>
      <c r="AC39" s="3" t="e">
        <f>VLOOKUP($A39,'UT-II'!$1:$1048576,9,0)</f>
        <v>#REF!</v>
      </c>
      <c r="AD39" s="3" t="e">
        <f>VLOOKUP($A39,ANNUAL!$1:$1048576,9,0)</f>
        <v>#REF!</v>
      </c>
      <c r="AE39" s="3" t="e">
        <f>VLOOKUP(A39,'UT-I'!$A$1:$EA$1758,10,0)</f>
        <v>#REF!</v>
      </c>
      <c r="AF39" s="3" t="e">
        <f>VLOOKUP($A39,'HALF YEARLY'!$1:$1048576,10,0)</f>
        <v>#REF!</v>
      </c>
      <c r="AG39" s="3" t="e">
        <f>VLOOKUP($A39,'UT-II'!$1:$1048576,10,0)</f>
        <v>#REF!</v>
      </c>
      <c r="AH39" s="3" t="e">
        <f>VLOOKUP($A39,ANNUAL!$1:$1048576,10,0)</f>
        <v>#REF!</v>
      </c>
      <c r="AI39" s="3" t="e">
        <f>VLOOKUP(A39,'UT-I'!$A$1:$EA$1758,11,0)</f>
        <v>#REF!</v>
      </c>
      <c r="AJ39" s="3" t="e">
        <f>VLOOKUP($A39,'HALF YEARLY'!$1:$1048576,11,0)</f>
        <v>#REF!</v>
      </c>
      <c r="AK39" s="3" t="e">
        <f>VLOOKUP($A39,'UT-II'!$1:$1048576,11,0)</f>
        <v>#REF!</v>
      </c>
      <c r="AL39" s="3" t="e">
        <f>VLOOKUP($A39,ANNUAL!$1:$1048576,11,0)</f>
        <v>#REF!</v>
      </c>
      <c r="AM39" s="3" t="e">
        <f>VLOOKUP(A39,'UT-I'!$A$1:$EA$1758,12,0)</f>
        <v>#REF!</v>
      </c>
      <c r="AN39" s="3" t="e">
        <f>VLOOKUP($A39,'HALF YEARLY'!$1:$1048576,12,0)</f>
        <v>#REF!</v>
      </c>
      <c r="AO39" s="3" t="e">
        <f>VLOOKUP($A39,'UT-II'!$1:$1048576,12,0)</f>
        <v>#REF!</v>
      </c>
      <c r="AP39" s="3" t="e">
        <f>VLOOKUP($A39,ANNUAL!$1:$1048576,12,0)</f>
        <v>#REF!</v>
      </c>
      <c r="AQ39" s="3" t="e">
        <f>VLOOKUP(A39,'UT-I'!$A$1:$EA$1758,13,0)</f>
        <v>#REF!</v>
      </c>
      <c r="AR39" s="3" t="e">
        <f>VLOOKUP($A39,'HALF YEARLY'!$1:$1048576,13,0)</f>
        <v>#REF!</v>
      </c>
      <c r="AS39" s="3" t="e">
        <f>VLOOKUP($A39,'UT-II'!$1:$1048576,13,0)</f>
        <v>#REF!</v>
      </c>
      <c r="AT39" s="3" t="e">
        <f>VLOOKUP($A39,ANNUAL!$1:$1048576,13,0)</f>
        <v>#REF!</v>
      </c>
      <c r="AU39" s="3" t="e">
        <f>VLOOKUP(A39,'UT-I'!$A$1:$EA$1758,14,0)</f>
        <v>#REF!</v>
      </c>
      <c r="AV39" s="3" t="e">
        <f>VLOOKUP($A39,'HALF YEARLY'!$1:$1048576,14,0)</f>
        <v>#REF!</v>
      </c>
      <c r="AW39" s="3" t="e">
        <f>VLOOKUP($A39,'UT-II'!$1:$1048576,14,0)</f>
        <v>#REF!</v>
      </c>
      <c r="AX39" s="3" t="e">
        <f>VLOOKUP($A39,ANNUAL!$1:$1048576,14,0)</f>
        <v>#REF!</v>
      </c>
      <c r="AY39" s="3" t="e">
        <f>VLOOKUP(A39,'UT-I'!$A$1:$EA$1758,15,0)</f>
        <v>#REF!</v>
      </c>
      <c r="AZ39" s="3" t="e">
        <f>VLOOKUP($A39,'HALF YEARLY'!$1:$1048576,15,0)</f>
        <v>#REF!</v>
      </c>
      <c r="BA39" s="3" t="e">
        <f>VLOOKUP($A39,'UT-II'!$1:$1048576,15,0)</f>
        <v>#REF!</v>
      </c>
      <c r="BB39" s="3" t="e">
        <f>VLOOKUP($A39,ANNUAL!$1:$1048576,15,0)</f>
        <v>#REF!</v>
      </c>
      <c r="BC39" s="3" t="e">
        <f>VLOOKUP(A39,'UT-I'!$A$1:$EA$1758,16,0)</f>
        <v>#REF!</v>
      </c>
      <c r="BD39" s="3" t="e">
        <f>VLOOKUP($A39,'HALF YEARLY'!$1:$1048576,16,0)</f>
        <v>#REF!</v>
      </c>
      <c r="BE39" s="3" t="e">
        <f>VLOOKUP($A39,'UT-II'!$1:$1048576,16,0)</f>
        <v>#REF!</v>
      </c>
      <c r="BF39" s="3" t="e">
        <f>VLOOKUP($A39,ANNUAL!$1:$1048576,16,0)</f>
        <v>#REF!</v>
      </c>
      <c r="BG39" s="3" t="e">
        <f>VLOOKUP(A39,'UT-I'!$A$1:$EA$1758,17,0)</f>
        <v>#REF!</v>
      </c>
      <c r="BH39" s="3" t="e">
        <f>VLOOKUP($A39,'HALF YEARLY'!$1:$1048576,17,0)</f>
        <v>#REF!</v>
      </c>
      <c r="BI39" s="3" t="e">
        <f>VLOOKUP($A39,'UT-II'!$1:$1048576,17,0)</f>
        <v>#REF!</v>
      </c>
      <c r="BJ39" s="3" t="e">
        <f>VLOOKUP($A39,ANNUAL!$1:$1048576,17,0)</f>
        <v>#REF!</v>
      </c>
      <c r="BK39" s="3" t="e">
        <f>VLOOKUP($A39,ANNUAL!$1:$1048576,18,0)</f>
        <v>#REF!</v>
      </c>
      <c r="BL39" s="3" t="e">
        <f>VLOOKUP($A39,ANNUAL!$1:$1048576,19,0)</f>
        <v>#REF!</v>
      </c>
      <c r="BM39" s="3" t="e">
        <f>VLOOKUP($A39,ANNUAL!$1:$1048576,20,0)</f>
        <v>#REF!</v>
      </c>
    </row>
    <row r="40" spans="1:65">
      <c r="A40" s="1">
        <f>DETAILS!A19</f>
        <v>1874</v>
      </c>
      <c r="B40" s="3" t="str">
        <f>DETAILS!B19</f>
        <v>SEHRISH</v>
      </c>
      <c r="C40" s="3">
        <f>VLOOKUP(A40,'UT-I'!$A$1:$EA$1758,3,0)</f>
        <v>47</v>
      </c>
      <c r="D40" s="3">
        <f>VLOOKUP($A40,'HALF YEARLY'!$1:$1048576,3,0)</f>
        <v>43</v>
      </c>
      <c r="E40" s="3">
        <f>VLOOKUP($A40,'UT-II'!$1:$1048576,3,0)</f>
        <v>0</v>
      </c>
      <c r="F40" s="3">
        <f>VLOOKUP($A40,ANNUAL!$1:$1048576,3,0)</f>
        <v>0</v>
      </c>
      <c r="G40" s="3">
        <f>VLOOKUP(A40,'UT-I'!$A$1:$EA$1758,4,0)</f>
        <v>50</v>
      </c>
      <c r="H40" s="3">
        <f>VLOOKUP($A40,'HALF YEARLY'!$1:$1048576,4,0)</f>
        <v>30</v>
      </c>
      <c r="I40" s="3">
        <f>VLOOKUP($A40,'UT-II'!$1:$1048576,4,0)</f>
        <v>0</v>
      </c>
      <c r="J40" s="3">
        <f>VLOOKUP($A40,ANNUAL!$1:$1048576,4,0)</f>
        <v>0</v>
      </c>
      <c r="K40" s="3">
        <f>VLOOKUP(A40,'UT-I'!$A$1:$EA$1758,5,0)</f>
        <v>45</v>
      </c>
      <c r="L40" s="3">
        <f>VLOOKUP($A40,'HALF YEARLY'!$1:$1048576,5,0)</f>
        <v>36</v>
      </c>
      <c r="M40" s="3">
        <f>VLOOKUP($A40,'UT-II'!$1:$1048576,5,0)</f>
        <v>0</v>
      </c>
      <c r="N40" s="3">
        <f>VLOOKUP($A40,ANNUAL!$1:$1048576,5,0)</f>
        <v>0</v>
      </c>
      <c r="O40" s="3">
        <f>VLOOKUP(A40,'UT-I'!$A$1:$EA$1758,6,0)</f>
        <v>40</v>
      </c>
      <c r="P40" s="3">
        <f>VLOOKUP($A40,'HALF YEARLY'!$1:$1048576,6,0)</f>
        <v>41</v>
      </c>
      <c r="Q40" s="3">
        <f>VLOOKUP($A40,'UT-II'!$1:$1048576,6,0)</f>
        <v>0</v>
      </c>
      <c r="R40" s="3">
        <f>VLOOKUP($A40,ANNUAL!$1:$1048576,6,0)</f>
        <v>0</v>
      </c>
      <c r="S40" s="3">
        <f>VLOOKUP(A40,'UT-I'!$A$1:$EA$1758,7,0)</f>
        <v>45</v>
      </c>
      <c r="T40" s="3">
        <f>VLOOKUP($A40,'HALF YEARLY'!$1:$1048576,7,0)</f>
        <v>25</v>
      </c>
      <c r="U40" s="3">
        <f>VLOOKUP($A40,'UT-II'!$1:$1048576,7,0)</f>
        <v>0</v>
      </c>
      <c r="V40" s="3">
        <f>VLOOKUP($A40,ANNUAL!$1:$1048576,7,0)</f>
        <v>0</v>
      </c>
      <c r="W40" s="3">
        <f>VLOOKUP(A40,'UT-I'!$A$1:$EA$1758,8,0)</f>
        <v>45</v>
      </c>
      <c r="X40" s="3">
        <f>VLOOKUP($A40,'HALF YEARLY'!$1:$1048576,8,0)</f>
        <v>47</v>
      </c>
      <c r="Y40" s="3">
        <f>VLOOKUP($A40,'UT-II'!$1:$1048576,8,0)</f>
        <v>0</v>
      </c>
      <c r="Z40" s="3">
        <f>VLOOKUP($A40,ANNUAL!$1:$1048576,8,0)</f>
        <v>0</v>
      </c>
      <c r="AA40" s="3">
        <f>VLOOKUP(A40,'UT-I'!$A$1:$EA$1758,9,0)</f>
        <v>40</v>
      </c>
      <c r="AB40" s="3">
        <f>VLOOKUP($A40,'HALF YEARLY'!$1:$1048576,9,0)</f>
        <v>41</v>
      </c>
      <c r="AC40" s="3">
        <f>VLOOKUP($A40,'UT-II'!$1:$1048576,9,0)</f>
        <v>0</v>
      </c>
      <c r="AD40" s="3">
        <f>VLOOKUP($A40,ANNUAL!$1:$1048576,9,0)</f>
        <v>0</v>
      </c>
      <c r="AE40" s="3">
        <f>VLOOKUP(A40,'UT-I'!$A$1:$EA$1758,10,0)</f>
        <v>50</v>
      </c>
      <c r="AF40" s="3">
        <f>VLOOKUP($A40,'HALF YEARLY'!$1:$1048576,10,0)</f>
        <v>30</v>
      </c>
      <c r="AG40" s="3">
        <f>VLOOKUP($A40,'UT-II'!$1:$1048576,10,0)</f>
        <v>0</v>
      </c>
      <c r="AH40" s="3">
        <f>VLOOKUP($A40,ANNUAL!$1:$1048576,10,0)</f>
        <v>0</v>
      </c>
      <c r="AI40" s="3">
        <f>VLOOKUP(A40,'UT-I'!$A$1:$EA$1758,11,0)</f>
        <v>50</v>
      </c>
      <c r="AJ40" s="3">
        <f>VLOOKUP($A40,'HALF YEARLY'!$1:$1048576,11,0)</f>
        <v>20</v>
      </c>
      <c r="AK40" s="3">
        <f>VLOOKUP($A40,'UT-II'!$1:$1048576,11,0)</f>
        <v>0</v>
      </c>
      <c r="AL40" s="3">
        <f>VLOOKUP($A40,ANNUAL!$1:$1048576,11,0)</f>
        <v>0</v>
      </c>
      <c r="AM40" s="3">
        <f>VLOOKUP(A40,'UT-I'!$A$1:$EA$1758,12,0)</f>
        <v>50</v>
      </c>
      <c r="AN40" s="3">
        <f>VLOOKUP($A40,'HALF YEARLY'!$1:$1048576,12,0)</f>
        <v>25</v>
      </c>
      <c r="AO40" s="3">
        <f>VLOOKUP($A40,'UT-II'!$1:$1048576,12,0)</f>
        <v>0</v>
      </c>
      <c r="AP40" s="3">
        <f>VLOOKUP($A40,ANNUAL!$1:$1048576,12,0)</f>
        <v>0</v>
      </c>
      <c r="AQ40" s="3" t="str">
        <f>VLOOKUP(A40,'UT-I'!$A$1:$EA$1758,13,0)</f>
        <v>AB</v>
      </c>
      <c r="AR40" s="3" t="str">
        <f>VLOOKUP($A40,'HALF YEARLY'!$1:$1048576,13,0)</f>
        <v>D</v>
      </c>
      <c r="AS40" s="3">
        <f>VLOOKUP($A40,'UT-II'!$1:$1048576,13,0)</f>
        <v>0</v>
      </c>
      <c r="AT40" s="3">
        <f>VLOOKUP($A40,ANNUAL!$1:$1048576,13,0)</f>
        <v>0</v>
      </c>
      <c r="AU40" s="3" t="str">
        <f>VLOOKUP(A40,'UT-I'!$A$1:$EA$1758,14,0)</f>
        <v>A</v>
      </c>
      <c r="AV40" s="3" t="str">
        <f>VLOOKUP($A40,'HALF YEARLY'!$1:$1048576,14,0)</f>
        <v>A</v>
      </c>
      <c r="AW40" s="3">
        <f>VLOOKUP($A40,'UT-II'!$1:$1048576,14,0)</f>
        <v>0</v>
      </c>
      <c r="AX40" s="3">
        <f>VLOOKUP($A40,ANNUAL!$1:$1048576,14,0)</f>
        <v>0</v>
      </c>
      <c r="AY40" s="3" t="str">
        <f>VLOOKUP(A40,'UT-I'!$A$1:$EA$1758,15,0)</f>
        <v>A</v>
      </c>
      <c r="AZ40" s="3" t="str">
        <f>VLOOKUP($A40,'HALF YEARLY'!$1:$1048576,15,0)</f>
        <v>B</v>
      </c>
      <c r="BA40" s="3">
        <f>VLOOKUP($A40,'UT-II'!$1:$1048576,15,0)</f>
        <v>0</v>
      </c>
      <c r="BB40" s="3">
        <f>VLOOKUP($A40,ANNUAL!$1:$1048576,15,0)</f>
        <v>0</v>
      </c>
      <c r="BC40" s="3" t="str">
        <f>VLOOKUP(A40,'UT-I'!$A$1:$EA$1758,16,0)</f>
        <v>A</v>
      </c>
      <c r="BD40" s="3" t="str">
        <f>VLOOKUP($A40,'HALF YEARLY'!$1:$1048576,16,0)</f>
        <v>A</v>
      </c>
      <c r="BE40" s="3">
        <f>VLOOKUP($A40,'UT-II'!$1:$1048576,16,0)</f>
        <v>0</v>
      </c>
      <c r="BF40" s="3">
        <f>VLOOKUP($A40,ANNUAL!$1:$1048576,16,0)</f>
        <v>0</v>
      </c>
      <c r="BG40" s="3">
        <f>VLOOKUP(A40,'UT-I'!$A$1:$EA$1758,17,0)</f>
        <v>462</v>
      </c>
      <c r="BH40" s="3">
        <f>VLOOKUP($A40,'HALF YEARLY'!$1:$1048576,17,0)</f>
        <v>338</v>
      </c>
      <c r="BI40" s="3">
        <f>VLOOKUP($A40,'UT-II'!$1:$1048576,17,0)</f>
        <v>0</v>
      </c>
      <c r="BJ40" s="3">
        <f>VLOOKUP($A40,ANNUAL!$1:$1048576,17,0)</f>
        <v>0</v>
      </c>
      <c r="BK40" s="3">
        <f>VLOOKUP($A40,ANNUAL!$1:$1048576,18,0)</f>
        <v>0</v>
      </c>
      <c r="BL40" s="3">
        <f>VLOOKUP($A40,ANNUAL!$1:$1048576,19,0)</f>
        <v>0</v>
      </c>
      <c r="BM40" s="3">
        <f>VLOOKUP($A40,ANNUAL!$1:$1048576,20,0)</f>
        <v>0</v>
      </c>
    </row>
    <row r="41" spans="1:65">
      <c r="A41" s="1">
        <f>DETAILS!A20</f>
        <v>0</v>
      </c>
      <c r="B41" s="3">
        <f>DETAILS!B20</f>
        <v>0</v>
      </c>
      <c r="C41" s="3" t="e">
        <f>VLOOKUP(A41,'UT-I'!$A$1:$EA$1758,3,0)</f>
        <v>#N/A</v>
      </c>
      <c r="D41" s="3" t="e">
        <f>VLOOKUP($A41,'HALF YEARLY'!$1:$1048576,3,0)</f>
        <v>#N/A</v>
      </c>
      <c r="E41" s="3">
        <f>VLOOKUP($A41,'UT-II'!$1:$1048576,3,0)</f>
        <v>0</v>
      </c>
      <c r="F41" s="3">
        <f>VLOOKUP($A41,ANNUAL!$1:$1048576,3,0)</f>
        <v>0</v>
      </c>
      <c r="G41" s="3" t="e">
        <f>VLOOKUP(A41,'UT-I'!$A$1:$EA$1758,4,0)</f>
        <v>#N/A</v>
      </c>
      <c r="H41" s="3" t="e">
        <f>VLOOKUP($A41,'HALF YEARLY'!$1:$1048576,4,0)</f>
        <v>#N/A</v>
      </c>
      <c r="I41" s="3">
        <f>VLOOKUP($A41,'UT-II'!$1:$1048576,4,0)</f>
        <v>0</v>
      </c>
      <c r="J41" s="3">
        <f>VLOOKUP($A41,ANNUAL!$1:$1048576,4,0)</f>
        <v>0</v>
      </c>
      <c r="K41" s="3" t="e">
        <f>VLOOKUP(A41,'UT-I'!$A$1:$EA$1758,5,0)</f>
        <v>#N/A</v>
      </c>
      <c r="L41" s="3" t="e">
        <f>VLOOKUP($A41,'HALF YEARLY'!$1:$1048576,5,0)</f>
        <v>#N/A</v>
      </c>
      <c r="M41" s="3">
        <f>VLOOKUP($A41,'UT-II'!$1:$1048576,5,0)</f>
        <v>0</v>
      </c>
      <c r="N41" s="3">
        <f>VLOOKUP($A41,ANNUAL!$1:$1048576,5,0)</f>
        <v>0</v>
      </c>
      <c r="O41" s="3" t="e">
        <f>VLOOKUP(A41,'UT-I'!$A$1:$EA$1758,6,0)</f>
        <v>#N/A</v>
      </c>
      <c r="P41" s="3" t="e">
        <f>VLOOKUP($A41,'HALF YEARLY'!$1:$1048576,6,0)</f>
        <v>#N/A</v>
      </c>
      <c r="Q41" s="3">
        <f>VLOOKUP($A41,'UT-II'!$1:$1048576,6,0)</f>
        <v>0</v>
      </c>
      <c r="R41" s="3">
        <f>VLOOKUP($A41,ANNUAL!$1:$1048576,6,0)</f>
        <v>0</v>
      </c>
      <c r="S41" s="3" t="e">
        <f>VLOOKUP(A41,'UT-I'!$A$1:$EA$1758,7,0)</f>
        <v>#N/A</v>
      </c>
      <c r="T41" s="3" t="e">
        <f>VLOOKUP($A41,'HALF YEARLY'!$1:$1048576,7,0)</f>
        <v>#N/A</v>
      </c>
      <c r="U41" s="3">
        <f>VLOOKUP($A41,'UT-II'!$1:$1048576,7,0)</f>
        <v>0</v>
      </c>
      <c r="V41" s="3">
        <f>VLOOKUP($A41,ANNUAL!$1:$1048576,7,0)</f>
        <v>0</v>
      </c>
      <c r="W41" s="3" t="e">
        <f>VLOOKUP(A41,'UT-I'!$A$1:$EA$1758,8,0)</f>
        <v>#N/A</v>
      </c>
      <c r="X41" s="3" t="e">
        <f>VLOOKUP($A41,'HALF YEARLY'!$1:$1048576,8,0)</f>
        <v>#N/A</v>
      </c>
      <c r="Y41" s="3">
        <f>VLOOKUP($A41,'UT-II'!$1:$1048576,8,0)</f>
        <v>0</v>
      </c>
      <c r="Z41" s="3">
        <f>VLOOKUP($A41,ANNUAL!$1:$1048576,8,0)</f>
        <v>0</v>
      </c>
      <c r="AA41" s="3" t="e">
        <f>VLOOKUP(A41,'UT-I'!$A$1:$EA$1758,9,0)</f>
        <v>#N/A</v>
      </c>
      <c r="AB41" s="3" t="e">
        <f>VLOOKUP($A41,'HALF YEARLY'!$1:$1048576,9,0)</f>
        <v>#N/A</v>
      </c>
      <c r="AC41" s="3">
        <f>VLOOKUP($A41,'UT-II'!$1:$1048576,9,0)</f>
        <v>0</v>
      </c>
      <c r="AD41" s="3">
        <f>VLOOKUP($A41,ANNUAL!$1:$1048576,9,0)</f>
        <v>0</v>
      </c>
      <c r="AE41" s="3" t="e">
        <f>VLOOKUP(A41,'UT-I'!$A$1:$EA$1758,10,0)</f>
        <v>#N/A</v>
      </c>
      <c r="AF41" s="3" t="e">
        <f>VLOOKUP($A41,'HALF YEARLY'!$1:$1048576,10,0)</f>
        <v>#N/A</v>
      </c>
      <c r="AG41" s="3">
        <f>VLOOKUP($A41,'UT-II'!$1:$1048576,10,0)</f>
        <v>0</v>
      </c>
      <c r="AH41" s="3">
        <f>VLOOKUP($A41,ANNUAL!$1:$1048576,10,0)</f>
        <v>0</v>
      </c>
      <c r="AI41" s="3" t="e">
        <f>VLOOKUP(A41,'UT-I'!$A$1:$EA$1758,11,0)</f>
        <v>#N/A</v>
      </c>
      <c r="AJ41" s="3" t="e">
        <f>VLOOKUP($A41,'HALF YEARLY'!$1:$1048576,11,0)</f>
        <v>#N/A</v>
      </c>
      <c r="AK41" s="3">
        <f>VLOOKUP($A41,'UT-II'!$1:$1048576,11,0)</f>
        <v>0</v>
      </c>
      <c r="AL41" s="3">
        <f>VLOOKUP($A41,ANNUAL!$1:$1048576,11,0)</f>
        <v>0</v>
      </c>
      <c r="AM41" s="3" t="e">
        <f>VLOOKUP(A41,'UT-I'!$A$1:$EA$1758,12,0)</f>
        <v>#N/A</v>
      </c>
      <c r="AN41" s="3" t="e">
        <f>VLOOKUP($A41,'HALF YEARLY'!$1:$1048576,12,0)</f>
        <v>#N/A</v>
      </c>
      <c r="AO41" s="3">
        <f>VLOOKUP($A41,'UT-II'!$1:$1048576,12,0)</f>
        <v>0</v>
      </c>
      <c r="AP41" s="3">
        <f>VLOOKUP($A41,ANNUAL!$1:$1048576,12,0)</f>
        <v>0</v>
      </c>
      <c r="AQ41" s="3" t="e">
        <f>VLOOKUP(A41,'UT-I'!$A$1:$EA$1758,13,0)</f>
        <v>#N/A</v>
      </c>
      <c r="AR41" s="3" t="e">
        <f>VLOOKUP($A41,'HALF YEARLY'!$1:$1048576,13,0)</f>
        <v>#N/A</v>
      </c>
      <c r="AS41" s="3">
        <f>VLOOKUP($A41,'UT-II'!$1:$1048576,13,0)</f>
        <v>0</v>
      </c>
      <c r="AT41" s="3">
        <f>VLOOKUP($A41,ANNUAL!$1:$1048576,13,0)</f>
        <v>0</v>
      </c>
      <c r="AU41" s="3" t="e">
        <f>VLOOKUP(A41,'UT-I'!$A$1:$EA$1758,14,0)</f>
        <v>#N/A</v>
      </c>
      <c r="AV41" s="3" t="e">
        <f>VLOOKUP($A41,'HALF YEARLY'!$1:$1048576,14,0)</f>
        <v>#N/A</v>
      </c>
      <c r="AW41" s="3">
        <f>VLOOKUP($A41,'UT-II'!$1:$1048576,14,0)</f>
        <v>0</v>
      </c>
      <c r="AX41" s="3">
        <f>VLOOKUP($A41,ANNUAL!$1:$1048576,14,0)</f>
        <v>0</v>
      </c>
      <c r="AY41" s="3" t="e">
        <f>VLOOKUP(A41,'UT-I'!$A$1:$EA$1758,15,0)</f>
        <v>#N/A</v>
      </c>
      <c r="AZ41" s="3" t="e">
        <f>VLOOKUP($A41,'HALF YEARLY'!$1:$1048576,15,0)</f>
        <v>#N/A</v>
      </c>
      <c r="BA41" s="3">
        <f>VLOOKUP($A41,'UT-II'!$1:$1048576,15,0)</f>
        <v>0</v>
      </c>
      <c r="BB41" s="3">
        <f>VLOOKUP($A41,ANNUAL!$1:$1048576,15,0)</f>
        <v>0</v>
      </c>
      <c r="BC41" s="3" t="e">
        <f>VLOOKUP(A41,'UT-I'!$A$1:$EA$1758,16,0)</f>
        <v>#N/A</v>
      </c>
      <c r="BD41" s="3" t="e">
        <f>VLOOKUP($A41,'HALF YEARLY'!$1:$1048576,16,0)</f>
        <v>#N/A</v>
      </c>
      <c r="BE41" s="3">
        <f>VLOOKUP($A41,'UT-II'!$1:$1048576,16,0)</f>
        <v>0</v>
      </c>
      <c r="BF41" s="3">
        <f>VLOOKUP($A41,ANNUAL!$1:$1048576,16,0)</f>
        <v>0</v>
      </c>
      <c r="BG41" s="3" t="e">
        <f>VLOOKUP(A41,'UT-I'!$A$1:$EA$1758,17,0)</f>
        <v>#N/A</v>
      </c>
      <c r="BH41" s="3" t="e">
        <f>VLOOKUP($A41,'HALF YEARLY'!$1:$1048576,17,0)</f>
        <v>#N/A</v>
      </c>
      <c r="BI41" s="3">
        <f>VLOOKUP($A41,'UT-II'!$1:$1048576,17,0)</f>
        <v>0</v>
      </c>
      <c r="BJ41" s="3">
        <f>VLOOKUP($A41,ANNUAL!$1:$1048576,17,0)</f>
        <v>0</v>
      </c>
      <c r="BK41" s="3">
        <f>VLOOKUP($A41,ANNUAL!$1:$1048576,18,0)</f>
        <v>0</v>
      </c>
      <c r="BL41" s="3">
        <f>VLOOKUP($A41,ANNUAL!$1:$1048576,19,0)</f>
        <v>0</v>
      </c>
      <c r="BM41" s="3">
        <f>VLOOKUP($A41,ANNUAL!$1:$1048576,20,0)</f>
        <v>0</v>
      </c>
    </row>
    <row r="42" spans="1:65">
      <c r="A42" s="1">
        <f>DETAILS!A21</f>
        <v>0</v>
      </c>
      <c r="B42" s="3">
        <f>DETAILS!B21</f>
        <v>0</v>
      </c>
      <c r="C42" s="3" t="e">
        <f>VLOOKUP(A42,'UT-I'!$A$1:$EA$1758,3,0)</f>
        <v>#N/A</v>
      </c>
      <c r="D42" s="3" t="e">
        <f>VLOOKUP($A42,'HALF YEARLY'!$1:$1048576,3,0)</f>
        <v>#N/A</v>
      </c>
      <c r="E42" s="3">
        <f>VLOOKUP($A42,'UT-II'!$1:$1048576,3,0)</f>
        <v>0</v>
      </c>
      <c r="F42" s="3">
        <f>VLOOKUP($A42,ANNUAL!$1:$1048576,3,0)</f>
        <v>0</v>
      </c>
      <c r="G42" s="3" t="e">
        <f>VLOOKUP(A42,'UT-I'!$A$1:$EA$1758,4,0)</f>
        <v>#N/A</v>
      </c>
      <c r="H42" s="3" t="e">
        <f>VLOOKUP($A42,'HALF YEARLY'!$1:$1048576,4,0)</f>
        <v>#N/A</v>
      </c>
      <c r="I42" s="3">
        <f>VLOOKUP($A42,'UT-II'!$1:$1048576,4,0)</f>
        <v>0</v>
      </c>
      <c r="J42" s="3">
        <f>VLOOKUP($A42,ANNUAL!$1:$1048576,4,0)</f>
        <v>0</v>
      </c>
      <c r="K42" s="3" t="e">
        <f>VLOOKUP(A42,'UT-I'!$A$1:$EA$1758,5,0)</f>
        <v>#N/A</v>
      </c>
      <c r="L42" s="3" t="e">
        <f>VLOOKUP($A42,'HALF YEARLY'!$1:$1048576,5,0)</f>
        <v>#N/A</v>
      </c>
      <c r="M42" s="3">
        <f>VLOOKUP($A42,'UT-II'!$1:$1048576,5,0)</f>
        <v>0</v>
      </c>
      <c r="N42" s="3">
        <f>VLOOKUP($A42,ANNUAL!$1:$1048576,5,0)</f>
        <v>0</v>
      </c>
      <c r="O42" s="3" t="e">
        <f>VLOOKUP(A42,'UT-I'!$A$1:$EA$1758,6,0)</f>
        <v>#N/A</v>
      </c>
      <c r="P42" s="3" t="e">
        <f>VLOOKUP($A42,'HALF YEARLY'!$1:$1048576,6,0)</f>
        <v>#N/A</v>
      </c>
      <c r="Q42" s="3">
        <f>VLOOKUP($A42,'UT-II'!$1:$1048576,6,0)</f>
        <v>0</v>
      </c>
      <c r="R42" s="3">
        <f>VLOOKUP($A42,ANNUAL!$1:$1048576,6,0)</f>
        <v>0</v>
      </c>
      <c r="S42" s="3" t="e">
        <f>VLOOKUP(A42,'UT-I'!$A$1:$EA$1758,7,0)</f>
        <v>#N/A</v>
      </c>
      <c r="T42" s="3" t="e">
        <f>VLOOKUP($A42,'HALF YEARLY'!$1:$1048576,7,0)</f>
        <v>#N/A</v>
      </c>
      <c r="U42" s="3">
        <f>VLOOKUP($A42,'UT-II'!$1:$1048576,7,0)</f>
        <v>0</v>
      </c>
      <c r="V42" s="3">
        <f>VLOOKUP($A42,ANNUAL!$1:$1048576,7,0)</f>
        <v>0</v>
      </c>
      <c r="W42" s="3" t="e">
        <f>VLOOKUP(A42,'UT-I'!$A$1:$EA$1758,8,0)</f>
        <v>#N/A</v>
      </c>
      <c r="X42" s="3" t="e">
        <f>VLOOKUP($A42,'HALF YEARLY'!$1:$1048576,8,0)</f>
        <v>#N/A</v>
      </c>
      <c r="Y42" s="3">
        <f>VLOOKUP($A42,'UT-II'!$1:$1048576,8,0)</f>
        <v>0</v>
      </c>
      <c r="Z42" s="3">
        <f>VLOOKUP($A42,ANNUAL!$1:$1048576,8,0)</f>
        <v>0</v>
      </c>
      <c r="AA42" s="3" t="e">
        <f>VLOOKUP(A42,'UT-I'!$A$1:$EA$1758,9,0)</f>
        <v>#N/A</v>
      </c>
      <c r="AB42" s="3" t="e">
        <f>VLOOKUP($A42,'HALF YEARLY'!$1:$1048576,9,0)</f>
        <v>#N/A</v>
      </c>
      <c r="AC42" s="3">
        <f>VLOOKUP($A42,'UT-II'!$1:$1048576,9,0)</f>
        <v>0</v>
      </c>
      <c r="AD42" s="3">
        <f>VLOOKUP($A42,ANNUAL!$1:$1048576,9,0)</f>
        <v>0</v>
      </c>
      <c r="AE42" s="3" t="e">
        <f>VLOOKUP(A42,'UT-I'!$A$1:$EA$1758,10,0)</f>
        <v>#N/A</v>
      </c>
      <c r="AF42" s="3" t="e">
        <f>VLOOKUP($A42,'HALF YEARLY'!$1:$1048576,10,0)</f>
        <v>#N/A</v>
      </c>
      <c r="AG42" s="3">
        <f>VLOOKUP($A42,'UT-II'!$1:$1048576,10,0)</f>
        <v>0</v>
      </c>
      <c r="AH42" s="3">
        <f>VLOOKUP($A42,ANNUAL!$1:$1048576,10,0)</f>
        <v>0</v>
      </c>
      <c r="AI42" s="3" t="e">
        <f>VLOOKUP(A42,'UT-I'!$A$1:$EA$1758,11,0)</f>
        <v>#N/A</v>
      </c>
      <c r="AJ42" s="3" t="e">
        <f>VLOOKUP($A42,'HALF YEARLY'!$1:$1048576,11,0)</f>
        <v>#N/A</v>
      </c>
      <c r="AK42" s="3">
        <f>VLOOKUP($A42,'UT-II'!$1:$1048576,11,0)</f>
        <v>0</v>
      </c>
      <c r="AL42" s="3">
        <f>VLOOKUP($A42,ANNUAL!$1:$1048576,11,0)</f>
        <v>0</v>
      </c>
      <c r="AM42" s="3" t="e">
        <f>VLOOKUP(A42,'UT-I'!$A$1:$EA$1758,12,0)</f>
        <v>#N/A</v>
      </c>
      <c r="AN42" s="3" t="e">
        <f>VLOOKUP($A42,'HALF YEARLY'!$1:$1048576,12,0)</f>
        <v>#N/A</v>
      </c>
      <c r="AO42" s="3">
        <f>VLOOKUP($A42,'UT-II'!$1:$1048576,12,0)</f>
        <v>0</v>
      </c>
      <c r="AP42" s="3">
        <f>VLOOKUP($A42,ANNUAL!$1:$1048576,12,0)</f>
        <v>0</v>
      </c>
      <c r="AQ42" s="3" t="e">
        <f>VLOOKUP(A42,'UT-I'!$A$1:$EA$1758,13,0)</f>
        <v>#N/A</v>
      </c>
      <c r="AR42" s="3" t="e">
        <f>VLOOKUP($A42,'HALF YEARLY'!$1:$1048576,13,0)</f>
        <v>#N/A</v>
      </c>
      <c r="AS42" s="3">
        <f>VLOOKUP($A42,'UT-II'!$1:$1048576,13,0)</f>
        <v>0</v>
      </c>
      <c r="AT42" s="3">
        <f>VLOOKUP($A42,ANNUAL!$1:$1048576,13,0)</f>
        <v>0</v>
      </c>
      <c r="AU42" s="3" t="e">
        <f>VLOOKUP(A42,'UT-I'!$A$1:$EA$1758,14,0)</f>
        <v>#N/A</v>
      </c>
      <c r="AV42" s="3" t="e">
        <f>VLOOKUP($A42,'HALF YEARLY'!$1:$1048576,14,0)</f>
        <v>#N/A</v>
      </c>
      <c r="AW42" s="3">
        <f>VLOOKUP($A42,'UT-II'!$1:$1048576,14,0)</f>
        <v>0</v>
      </c>
      <c r="AX42" s="3">
        <f>VLOOKUP($A42,ANNUAL!$1:$1048576,14,0)</f>
        <v>0</v>
      </c>
      <c r="AY42" s="3" t="e">
        <f>VLOOKUP(A42,'UT-I'!$A$1:$EA$1758,15,0)</f>
        <v>#N/A</v>
      </c>
      <c r="AZ42" s="3" t="e">
        <f>VLOOKUP($A42,'HALF YEARLY'!$1:$1048576,15,0)</f>
        <v>#N/A</v>
      </c>
      <c r="BA42" s="3">
        <f>VLOOKUP($A42,'UT-II'!$1:$1048576,15,0)</f>
        <v>0</v>
      </c>
      <c r="BB42" s="3">
        <f>VLOOKUP($A42,ANNUAL!$1:$1048576,15,0)</f>
        <v>0</v>
      </c>
      <c r="BC42" s="3" t="e">
        <f>VLOOKUP(A42,'UT-I'!$A$1:$EA$1758,16,0)</f>
        <v>#N/A</v>
      </c>
      <c r="BD42" s="3" t="e">
        <f>VLOOKUP($A42,'HALF YEARLY'!$1:$1048576,16,0)</f>
        <v>#N/A</v>
      </c>
      <c r="BE42" s="3">
        <f>VLOOKUP($A42,'UT-II'!$1:$1048576,16,0)</f>
        <v>0</v>
      </c>
      <c r="BF42" s="3">
        <f>VLOOKUP($A42,ANNUAL!$1:$1048576,16,0)</f>
        <v>0</v>
      </c>
      <c r="BG42" s="3" t="e">
        <f>VLOOKUP(A42,'UT-I'!$A$1:$EA$1758,17,0)</f>
        <v>#N/A</v>
      </c>
      <c r="BH42" s="3" t="e">
        <f>VLOOKUP($A42,'HALF YEARLY'!$1:$1048576,17,0)</f>
        <v>#N/A</v>
      </c>
      <c r="BI42" s="3">
        <f>VLOOKUP($A42,'UT-II'!$1:$1048576,17,0)</f>
        <v>0</v>
      </c>
      <c r="BJ42" s="3">
        <f>VLOOKUP($A42,ANNUAL!$1:$1048576,17,0)</f>
        <v>0</v>
      </c>
      <c r="BK42" s="3">
        <f>VLOOKUP($A42,ANNUAL!$1:$1048576,18,0)</f>
        <v>0</v>
      </c>
      <c r="BL42" s="3">
        <f>VLOOKUP($A42,ANNUAL!$1:$1048576,19,0)</f>
        <v>0</v>
      </c>
      <c r="BM42" s="3">
        <f>VLOOKUP($A42,ANNUAL!$1:$1048576,20,0)</f>
        <v>0</v>
      </c>
    </row>
  </sheetData>
  <sheetProtection algorithmName="SHA-512" hashValue="SoXDp9wSh+1y1UfIWKZiBGMuX0hU3lPhvXcRp0AdB+wWqUH/NOtgR5C5jh36WFJ8KnzVuYslWwPd+13SUAPzvg==" saltValue="29egvwmNOqxwNWjmKyaWkg==" spinCount="100000" sheet="1" objects="1" scenarios="1"/>
  <mergeCells count="18">
    <mergeCell ref="W2:Z2"/>
    <mergeCell ref="S2:V2"/>
    <mergeCell ref="O2:R2"/>
    <mergeCell ref="K2:N2"/>
    <mergeCell ref="G2:J2"/>
    <mergeCell ref="A1:BM1"/>
    <mergeCell ref="C2:F2"/>
    <mergeCell ref="BG2:BJ2"/>
    <mergeCell ref="BK2:BL2"/>
    <mergeCell ref="AI2:AL2"/>
    <mergeCell ref="AU2:AX2"/>
    <mergeCell ref="AY2:BB2"/>
    <mergeCell ref="AQ2:AT2"/>
    <mergeCell ref="BC2:BF2"/>
    <mergeCell ref="AM2:AP2"/>
    <mergeCell ref="BM2:BM3"/>
    <mergeCell ref="AE2:AH2"/>
    <mergeCell ref="AA2:A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45"/>
  <sheetViews>
    <sheetView workbookViewId="0">
      <selection activeCell="H38" sqref="H38"/>
    </sheetView>
  </sheetViews>
  <sheetFormatPr defaultColWidth="9" defaultRowHeight="14.4"/>
  <cols>
    <col min="1" max="1" width="10.44140625" customWidth="1"/>
    <col min="2" max="2" width="18.33203125" customWidth="1"/>
    <col min="3" max="4" width="7.88671875" customWidth="1"/>
    <col min="5" max="5" width="8.44140625" customWidth="1"/>
    <col min="6" max="8" width="7.88671875" customWidth="1"/>
    <col min="9" max="9" width="8.5546875" customWidth="1"/>
    <col min="10" max="10" width="10.6640625" customWidth="1"/>
  </cols>
  <sheetData>
    <row r="1" spans="1:10" ht="45.75" customHeight="1">
      <c r="A1" s="17"/>
      <c r="B1" s="43" t="s">
        <v>114</v>
      </c>
      <c r="C1" s="43"/>
      <c r="D1" s="43"/>
      <c r="E1" s="43"/>
      <c r="F1" s="43"/>
      <c r="G1" s="43"/>
      <c r="H1" s="43"/>
      <c r="I1" s="43"/>
      <c r="J1" s="18"/>
    </row>
    <row r="2" spans="1:10" ht="24" customHeight="1">
      <c r="A2" s="19"/>
      <c r="B2" s="44"/>
      <c r="C2" s="44"/>
      <c r="D2" s="44"/>
      <c r="E2" s="44"/>
      <c r="F2" s="44"/>
      <c r="G2" s="44"/>
      <c r="H2" s="44"/>
      <c r="I2" s="44"/>
      <c r="J2" s="20"/>
    </row>
    <row r="3" spans="1:10" ht="18" customHeight="1">
      <c r="A3" s="19"/>
      <c r="B3" s="57" t="s">
        <v>115</v>
      </c>
      <c r="C3" s="57"/>
      <c r="D3" s="57"/>
      <c r="E3" s="57"/>
      <c r="F3" s="57"/>
      <c r="G3" s="57"/>
      <c r="H3" s="57"/>
      <c r="I3" s="57"/>
      <c r="J3" s="20"/>
    </row>
    <row r="4" spans="1:10" ht="16.2" customHeight="1">
      <c r="A4" s="19"/>
      <c r="B4" s="48" t="s">
        <v>116</v>
      </c>
      <c r="C4" s="48"/>
      <c r="D4" s="48"/>
      <c r="E4" s="48"/>
      <c r="F4" s="48"/>
      <c r="G4" s="48"/>
      <c r="H4" s="48"/>
      <c r="I4" s="48"/>
      <c r="J4" s="20"/>
    </row>
    <row r="5" spans="1:10" ht="16.2" customHeight="1">
      <c r="A5" s="19"/>
      <c r="B5" s="48" t="s">
        <v>117</v>
      </c>
      <c r="C5" s="48"/>
      <c r="D5" s="48"/>
      <c r="E5" s="48"/>
      <c r="F5" s="48"/>
      <c r="G5" s="48"/>
      <c r="H5" s="48"/>
      <c r="I5" s="48"/>
      <c r="J5" s="20"/>
    </row>
    <row r="6" spans="1:10" ht="18" customHeight="1">
      <c r="A6" s="19"/>
      <c r="B6" s="54" t="s">
        <v>118</v>
      </c>
      <c r="C6" s="54"/>
      <c r="D6" s="54"/>
      <c r="E6" s="54"/>
      <c r="F6" s="54"/>
      <c r="G6" s="54"/>
      <c r="H6" s="54"/>
      <c r="I6" s="54"/>
      <c r="J6" s="20"/>
    </row>
    <row r="7" spans="1:10" ht="20.25" customHeight="1">
      <c r="A7" s="19"/>
      <c r="B7" s="47" t="s">
        <v>119</v>
      </c>
      <c r="C7" s="47"/>
      <c r="D7" s="47"/>
      <c r="E7" s="47"/>
      <c r="F7" s="47"/>
      <c r="G7" s="47"/>
      <c r="H7" s="47"/>
      <c r="I7" s="47"/>
      <c r="J7" s="20"/>
    </row>
    <row r="8" spans="1:10" ht="18" customHeight="1">
      <c r="A8" s="19"/>
      <c r="B8" s="55" t="s">
        <v>120</v>
      </c>
      <c r="C8" s="55"/>
      <c r="D8" s="55"/>
      <c r="E8" s="55"/>
      <c r="F8" s="55"/>
      <c r="G8" s="55"/>
      <c r="H8" s="55"/>
      <c r="I8" s="55"/>
      <c r="J8" s="20"/>
    </row>
    <row r="9" spans="1:10">
      <c r="A9" s="19"/>
      <c r="B9" s="21" t="s">
        <v>121</v>
      </c>
      <c r="C9" s="51" t="e">
        <f>":   "&amp;VLOOKUP($H$9,DETAILS!$1:$1048576,2,0)</f>
        <v>#N/A</v>
      </c>
      <c r="D9" s="51"/>
      <c r="E9" s="51"/>
      <c r="F9" s="51" t="s">
        <v>122</v>
      </c>
      <c r="G9" s="51"/>
      <c r="H9" s="51">
        <v>1697</v>
      </c>
      <c r="I9" s="52"/>
      <c r="J9" s="20"/>
    </row>
    <row r="10" spans="1:10">
      <c r="A10" s="19"/>
      <c r="B10" s="21" t="s">
        <v>123</v>
      </c>
      <c r="C10" s="50" t="e">
        <f>":   "&amp;VLOOKUP($H$9,DETAILS!$1:$1048576,3,0)</f>
        <v>#N/A</v>
      </c>
      <c r="D10" s="50"/>
      <c r="E10" s="50"/>
      <c r="F10" s="50" t="s">
        <v>124</v>
      </c>
      <c r="G10" s="50"/>
      <c r="H10" s="50" t="e">
        <f>VLOOKUP($H$9,DETAILS!1:1048576,6,0)</f>
        <v>#N/A</v>
      </c>
      <c r="I10" s="56"/>
      <c r="J10" s="20"/>
    </row>
    <row r="11" spans="1:10">
      <c r="A11" s="19"/>
      <c r="B11" s="22" t="s">
        <v>125</v>
      </c>
      <c r="C11" s="53" t="e">
        <f>":   "&amp;VLOOKUP($H$9,DETAILS!$1:$1048576,4,0)</f>
        <v>#N/A</v>
      </c>
      <c r="D11" s="53"/>
      <c r="E11" s="53"/>
      <c r="F11" s="53" t="s">
        <v>126</v>
      </c>
      <c r="G11" s="53"/>
      <c r="H11" s="53" t="e">
        <f>VLOOKUP($H$9,DETAILS!1:1048576,5,0)</f>
        <v>#N/A</v>
      </c>
      <c r="I11" s="58"/>
      <c r="J11" s="20"/>
    </row>
    <row r="12" spans="1:10">
      <c r="A12" s="19"/>
      <c r="B12" s="23"/>
      <c r="C12" s="23"/>
      <c r="D12" s="23"/>
      <c r="E12" s="23"/>
      <c r="F12" s="23"/>
      <c r="G12" s="23"/>
      <c r="J12" s="20"/>
    </row>
    <row r="13" spans="1:10" ht="18" customHeight="1">
      <c r="A13" s="19"/>
      <c r="B13" s="55" t="s">
        <v>127</v>
      </c>
      <c r="C13" s="55"/>
      <c r="D13" s="55"/>
      <c r="E13" s="55"/>
      <c r="F13" s="55"/>
      <c r="G13" s="55"/>
      <c r="H13" s="55"/>
      <c r="I13" s="55"/>
      <c r="J13" s="20"/>
    </row>
    <row r="14" spans="1:10" ht="41.4">
      <c r="A14" s="19"/>
      <c r="B14" s="24" t="s">
        <v>128</v>
      </c>
      <c r="C14" s="25" t="s">
        <v>129</v>
      </c>
      <c r="D14" s="25" t="s">
        <v>130</v>
      </c>
      <c r="E14" s="25" t="s">
        <v>131</v>
      </c>
      <c r="F14" s="25" t="s">
        <v>132</v>
      </c>
      <c r="G14" s="25" t="s">
        <v>133</v>
      </c>
      <c r="H14" s="25" t="s">
        <v>134</v>
      </c>
      <c r="I14" s="25" t="s">
        <v>135</v>
      </c>
      <c r="J14" s="20"/>
    </row>
    <row r="15" spans="1:10">
      <c r="A15" s="19"/>
      <c r="B15" s="3" t="s">
        <v>73</v>
      </c>
      <c r="C15" s="14" t="e">
        <f>VLOOKUP($H$9,'COMIPLE RESULT'!$1:$1048576,3,0)</f>
        <v>#N/A</v>
      </c>
      <c r="D15" s="14" t="e">
        <f>VLOOKUP($H$9,'COMIPLE RESULT'!$1:$1048576,4,0)</f>
        <v>#N/A</v>
      </c>
      <c r="E15" s="14" t="e">
        <f>SUM(C15:D15)</f>
        <v>#N/A</v>
      </c>
      <c r="F15" s="14" t="e">
        <f>VLOOKUP($H$9,'COMIPLE RESULT'!$1:$1048576,5,0)</f>
        <v>#N/A</v>
      </c>
      <c r="G15" s="14" t="e">
        <f>VLOOKUP($H$9,'COMIPLE RESULT'!$1:$1048576,6,0)</f>
        <v>#N/A</v>
      </c>
      <c r="H15" s="14" t="e">
        <f>SUM(F15:G15)</f>
        <v>#N/A</v>
      </c>
      <c r="I15" s="14" t="e">
        <f>SUM(E15,H15)</f>
        <v>#N/A</v>
      </c>
      <c r="J15" s="20"/>
    </row>
    <row r="16" spans="1:10">
      <c r="A16" s="19"/>
      <c r="B16" s="3" t="s">
        <v>74</v>
      </c>
      <c r="C16" s="14" t="e">
        <f>VLOOKUP($H$9,'COMIPLE RESULT'!$1:$1048576,7,0)</f>
        <v>#N/A</v>
      </c>
      <c r="D16" s="14" t="e">
        <f>VLOOKUP($H$9,'COMIPLE RESULT'!$1:$1048576,8,0)</f>
        <v>#N/A</v>
      </c>
      <c r="E16" s="14" t="e">
        <f t="shared" ref="E16:E24" si="0">SUM(C16:D16)</f>
        <v>#N/A</v>
      </c>
      <c r="F16" s="14" t="e">
        <f>VLOOKUP($H$9,'COMIPLE RESULT'!$1:$1048576,9,0)</f>
        <v>#N/A</v>
      </c>
      <c r="G16" s="14" t="e">
        <f>VLOOKUP($H$9,'COMIPLE RESULT'!$1:$1048576,10,0)</f>
        <v>#N/A</v>
      </c>
      <c r="H16" s="14" t="e">
        <f t="shared" ref="H16:H24" si="1">SUM(F16:G16)</f>
        <v>#N/A</v>
      </c>
      <c r="I16" s="14" t="e">
        <f t="shared" ref="I16:I24" si="2">SUM(E16,H16)</f>
        <v>#N/A</v>
      </c>
      <c r="J16" s="20"/>
    </row>
    <row r="17" spans="1:10">
      <c r="A17" s="19"/>
      <c r="B17" s="3" t="s">
        <v>75</v>
      </c>
      <c r="C17" s="14" t="e">
        <f>VLOOKUP($H$9,'COMIPLE RESULT'!$1:$1048576,11,0)</f>
        <v>#N/A</v>
      </c>
      <c r="D17" s="14" t="e">
        <f>VLOOKUP($H$9,'COMIPLE RESULT'!$1:$1048576,12,0)</f>
        <v>#N/A</v>
      </c>
      <c r="E17" s="14" t="e">
        <f t="shared" si="0"/>
        <v>#N/A</v>
      </c>
      <c r="F17" s="14" t="e">
        <f>VLOOKUP($H$9,'COMIPLE RESULT'!$1:$1048576,13,0)</f>
        <v>#N/A</v>
      </c>
      <c r="G17" s="14" t="e">
        <f>VLOOKUP($H$9,'COMIPLE RESULT'!$1:$1048576,14,0)</f>
        <v>#N/A</v>
      </c>
      <c r="H17" s="14" t="e">
        <f t="shared" si="1"/>
        <v>#N/A</v>
      </c>
      <c r="I17" s="14" t="e">
        <f t="shared" si="2"/>
        <v>#N/A</v>
      </c>
      <c r="J17" s="20"/>
    </row>
    <row r="18" spans="1:10">
      <c r="A18" s="19"/>
      <c r="B18" s="3" t="s">
        <v>76</v>
      </c>
      <c r="C18" s="14" t="e">
        <f>VLOOKUP($H$9,'COMIPLE RESULT'!$1:$1048576,15,0)</f>
        <v>#N/A</v>
      </c>
      <c r="D18" s="14" t="e">
        <f>VLOOKUP($H$9,'COMIPLE RESULT'!$1:$1048576,16,0)</f>
        <v>#N/A</v>
      </c>
      <c r="E18" s="14" t="e">
        <f t="shared" si="0"/>
        <v>#N/A</v>
      </c>
      <c r="F18" s="14" t="e">
        <f>VLOOKUP($H$9,'COMIPLE RESULT'!$1:$1048576,17,0)</f>
        <v>#N/A</v>
      </c>
      <c r="G18" s="14" t="e">
        <f>VLOOKUP($H$9,'COMIPLE RESULT'!$1:$1048576,18,0)</f>
        <v>#N/A</v>
      </c>
      <c r="H18" s="14" t="e">
        <f t="shared" si="1"/>
        <v>#N/A</v>
      </c>
      <c r="I18" s="14" t="e">
        <f t="shared" si="2"/>
        <v>#N/A</v>
      </c>
      <c r="J18" s="20"/>
    </row>
    <row r="19" spans="1:10">
      <c r="A19" s="19"/>
      <c r="B19" s="3" t="s">
        <v>77</v>
      </c>
      <c r="C19" s="14" t="e">
        <f>VLOOKUP($H$9,'COMIPLE RESULT'!$1:$1048576,19,0)</f>
        <v>#N/A</v>
      </c>
      <c r="D19" s="14" t="e">
        <f>VLOOKUP($H$9,'COMIPLE RESULT'!$1:$1048576,20,0)</f>
        <v>#N/A</v>
      </c>
      <c r="E19" s="14" t="e">
        <f t="shared" si="0"/>
        <v>#N/A</v>
      </c>
      <c r="F19" s="14" t="e">
        <f>VLOOKUP($H$9,'COMIPLE RESULT'!$1:$1048576,21,0)</f>
        <v>#N/A</v>
      </c>
      <c r="G19" s="14" t="e">
        <f>VLOOKUP($H$9,'COMIPLE RESULT'!$1:$1048576,22,0)</f>
        <v>#N/A</v>
      </c>
      <c r="H19" s="14" t="e">
        <f t="shared" si="1"/>
        <v>#N/A</v>
      </c>
      <c r="I19" s="14" t="e">
        <f t="shared" si="2"/>
        <v>#N/A</v>
      </c>
      <c r="J19" s="20"/>
    </row>
    <row r="20" spans="1:10">
      <c r="A20" s="19"/>
      <c r="B20" s="3" t="s">
        <v>78</v>
      </c>
      <c r="C20" s="14" t="e">
        <f>VLOOKUP($H$9,'COMIPLE RESULT'!$1:$1048576,23,0)</f>
        <v>#N/A</v>
      </c>
      <c r="D20" s="14" t="e">
        <f>VLOOKUP($H$9,'COMIPLE RESULT'!$1:$1048576,24,0)</f>
        <v>#N/A</v>
      </c>
      <c r="E20" s="14" t="e">
        <f t="shared" si="0"/>
        <v>#N/A</v>
      </c>
      <c r="F20" s="14" t="e">
        <f>VLOOKUP($H$9,'COMIPLE RESULT'!$1:$1048576,25,0)</f>
        <v>#N/A</v>
      </c>
      <c r="G20" s="14" t="e">
        <f>VLOOKUP($H$9,'COMIPLE RESULT'!$1:$1048576,26,0)</f>
        <v>#N/A</v>
      </c>
      <c r="H20" s="14" t="e">
        <f t="shared" si="1"/>
        <v>#N/A</v>
      </c>
      <c r="I20" s="14" t="e">
        <f t="shared" si="2"/>
        <v>#N/A</v>
      </c>
      <c r="J20" s="20"/>
    </row>
    <row r="21" spans="1:10">
      <c r="A21" s="19"/>
      <c r="B21" s="3" t="s">
        <v>79</v>
      </c>
      <c r="C21" s="14" t="e">
        <f>VLOOKUP($H$9,'COMIPLE RESULT'!$1:$1048576,27,0)</f>
        <v>#N/A</v>
      </c>
      <c r="D21" s="14" t="e">
        <f>VLOOKUP($H$9,'COMIPLE RESULT'!$1:$1048576,28,0)</f>
        <v>#N/A</v>
      </c>
      <c r="E21" s="14" t="e">
        <f t="shared" si="0"/>
        <v>#N/A</v>
      </c>
      <c r="F21" s="14" t="e">
        <f>VLOOKUP($H$9,'COMIPLE RESULT'!$1:$1048576,29,0)</f>
        <v>#N/A</v>
      </c>
      <c r="G21" s="14" t="e">
        <f>VLOOKUP($H$9,'COMIPLE RESULT'!$1:$1048576,30,0)</f>
        <v>#N/A</v>
      </c>
      <c r="H21" s="14" t="e">
        <f t="shared" si="1"/>
        <v>#N/A</v>
      </c>
      <c r="I21" s="14" t="e">
        <f t="shared" si="2"/>
        <v>#N/A</v>
      </c>
      <c r="J21" s="20"/>
    </row>
    <row r="22" spans="1:10">
      <c r="A22" s="19"/>
      <c r="B22" s="3" t="s">
        <v>80</v>
      </c>
      <c r="C22" s="14" t="e">
        <f>VLOOKUP($H$9,'COMIPLE RESULT'!$1:$1048576,31,0)</f>
        <v>#N/A</v>
      </c>
      <c r="D22" s="14" t="e">
        <f>VLOOKUP($H$9,'COMIPLE RESULT'!$1:$1048576,32,0)</f>
        <v>#N/A</v>
      </c>
      <c r="E22" s="14" t="e">
        <f t="shared" si="0"/>
        <v>#N/A</v>
      </c>
      <c r="F22" s="14" t="e">
        <f>VLOOKUP($H$9,'COMIPLE RESULT'!$1:$1048576,33,0)</f>
        <v>#N/A</v>
      </c>
      <c r="G22" s="14" t="e">
        <f>VLOOKUP($H$9,'COMIPLE RESULT'!$1:$1048576,34,0)</f>
        <v>#N/A</v>
      </c>
      <c r="H22" s="14" t="e">
        <f t="shared" si="1"/>
        <v>#N/A</v>
      </c>
      <c r="I22" s="14" t="e">
        <f t="shared" si="2"/>
        <v>#N/A</v>
      </c>
      <c r="J22" s="20"/>
    </row>
    <row r="23" spans="1:10">
      <c r="A23" s="19"/>
      <c r="B23" s="3" t="s">
        <v>81</v>
      </c>
      <c r="C23" s="14" t="e">
        <f>VLOOKUP($H$9,'COMIPLE RESULT'!$1:$1048576,35,0)</f>
        <v>#N/A</v>
      </c>
      <c r="D23" s="14" t="e">
        <f>VLOOKUP($H$9,'COMIPLE RESULT'!$1:$1048576,36,0)</f>
        <v>#N/A</v>
      </c>
      <c r="E23" s="14" t="e">
        <f t="shared" si="0"/>
        <v>#N/A</v>
      </c>
      <c r="F23" s="14" t="e">
        <f>VLOOKUP($H$9,'COMIPLE RESULT'!$1:$1048576,37,0)</f>
        <v>#N/A</v>
      </c>
      <c r="G23" s="14" t="e">
        <f>VLOOKUP($H$9,'COMIPLE RESULT'!$1:$1048576,38,0)</f>
        <v>#N/A</v>
      </c>
      <c r="H23" s="14" t="e">
        <f t="shared" si="1"/>
        <v>#N/A</v>
      </c>
      <c r="I23" s="14" t="e">
        <f t="shared" si="2"/>
        <v>#N/A</v>
      </c>
      <c r="J23" s="20"/>
    </row>
    <row r="24" spans="1:10">
      <c r="A24" s="19"/>
      <c r="B24" s="3" t="s">
        <v>82</v>
      </c>
      <c r="C24" s="14" t="e">
        <f>VLOOKUP($H$9,'COMIPLE RESULT'!$1:$1048576,39,0)</f>
        <v>#N/A</v>
      </c>
      <c r="D24" s="14" t="e">
        <f>VLOOKUP($H$9,'COMIPLE RESULT'!$1:$1048576,40,0)</f>
        <v>#N/A</v>
      </c>
      <c r="E24" s="14" t="e">
        <f t="shared" si="0"/>
        <v>#N/A</v>
      </c>
      <c r="F24" s="14" t="e">
        <f>VLOOKUP($H$9,'COMIPLE RESULT'!$1:$1048576,41,0)</f>
        <v>#N/A</v>
      </c>
      <c r="G24" s="14" t="e">
        <f>VLOOKUP($H$9,'COMIPLE RESULT'!$1:$1048576,42,0)</f>
        <v>#N/A</v>
      </c>
      <c r="H24" s="14" t="e">
        <f t="shared" si="1"/>
        <v>#N/A</v>
      </c>
      <c r="I24" s="14" t="e">
        <f t="shared" si="2"/>
        <v>#N/A</v>
      </c>
      <c r="J24" s="20"/>
    </row>
    <row r="25" spans="1:10">
      <c r="A25" s="19"/>
      <c r="B25" s="3" t="s">
        <v>83</v>
      </c>
      <c r="C25" s="14" t="e">
        <f>VLOOKUP($H$9,'COMIPLE RESULT'!$1:$1048576,43,0)</f>
        <v>#N/A</v>
      </c>
      <c r="D25" s="14" t="e">
        <f>VLOOKUP($H$9,'COMIPLE RESULT'!$1:$1048576,44,0)</f>
        <v>#N/A</v>
      </c>
      <c r="E25" s="14" t="e">
        <f>D25</f>
        <v>#N/A</v>
      </c>
      <c r="F25" s="14" t="e">
        <f>VLOOKUP($H$9,'COMIPLE RESULT'!$1:$1048576,45,0)</f>
        <v>#N/A</v>
      </c>
      <c r="G25" s="14" t="e">
        <f>VLOOKUP($H$9,'COMIPLE RESULT'!$1:$1048576,46,0)</f>
        <v>#N/A</v>
      </c>
      <c r="H25" s="14" t="e">
        <f>G25</f>
        <v>#N/A</v>
      </c>
      <c r="I25" s="14" t="e">
        <f>H25</f>
        <v>#N/A</v>
      </c>
      <c r="J25" s="20"/>
    </row>
    <row r="26" spans="1:10">
      <c r="A26" s="19"/>
      <c r="B26" s="3" t="s">
        <v>84</v>
      </c>
      <c r="C26" s="14" t="e">
        <f>VLOOKUP($H$9,'COMIPLE RESULT'!$1:$1048576,47,0)</f>
        <v>#N/A</v>
      </c>
      <c r="D26" s="14" t="e">
        <f>VLOOKUP($H$9,'COMIPLE RESULT'!$1:$1048576,48,0)</f>
        <v>#N/A</v>
      </c>
      <c r="E26" s="14" t="e">
        <f t="shared" ref="E26:E29" si="3">D26</f>
        <v>#N/A</v>
      </c>
      <c r="F26" s="14" t="e">
        <f>VLOOKUP($H$9,'COMIPLE RESULT'!$1:$1048576,49,0)</f>
        <v>#N/A</v>
      </c>
      <c r="G26" s="14" t="e">
        <f>VLOOKUP($H$9,'COMIPLE RESULT'!$1:$1048576,50,0)</f>
        <v>#N/A</v>
      </c>
      <c r="H26" s="14" t="e">
        <f t="shared" ref="H26:I29" si="4">G26</f>
        <v>#N/A</v>
      </c>
      <c r="I26" s="14" t="e">
        <f t="shared" si="4"/>
        <v>#N/A</v>
      </c>
      <c r="J26" s="20"/>
    </row>
    <row r="27" spans="1:10">
      <c r="A27" s="19"/>
      <c r="B27" s="3" t="s">
        <v>85</v>
      </c>
      <c r="C27" s="14" t="e">
        <f>VLOOKUP($H$9,'COMIPLE RESULT'!$1:$1048576,51,0)</f>
        <v>#N/A</v>
      </c>
      <c r="D27" s="14" t="e">
        <f>VLOOKUP($H$9,'COMIPLE RESULT'!$1:$1048576,52,0)</f>
        <v>#N/A</v>
      </c>
      <c r="E27" s="14" t="e">
        <f t="shared" si="3"/>
        <v>#N/A</v>
      </c>
      <c r="F27" s="14" t="e">
        <f>VLOOKUP($H$9,'COMIPLE RESULT'!$1:$1048576,53,0)</f>
        <v>#N/A</v>
      </c>
      <c r="G27" s="14" t="e">
        <f>VLOOKUP($H$9,'COMIPLE RESULT'!$1:$1048576,54,0)</f>
        <v>#N/A</v>
      </c>
      <c r="H27" s="14" t="e">
        <f t="shared" si="4"/>
        <v>#N/A</v>
      </c>
      <c r="I27" s="14" t="e">
        <f t="shared" si="4"/>
        <v>#N/A</v>
      </c>
      <c r="J27" s="20"/>
    </row>
    <row r="28" spans="1:10">
      <c r="A28" s="19"/>
      <c r="B28" s="3" t="s">
        <v>86</v>
      </c>
      <c r="C28" s="14" t="e">
        <f>VLOOKUP($H$9,'COMIPLE RESULT'!$1:$1048576,55,0)</f>
        <v>#N/A</v>
      </c>
      <c r="D28" s="14" t="e">
        <f>VLOOKUP($H$9,'COMIPLE RESULT'!$1:$1048576,56,0)</f>
        <v>#N/A</v>
      </c>
      <c r="E28" s="14" t="e">
        <f t="shared" si="3"/>
        <v>#N/A</v>
      </c>
      <c r="F28" s="14" t="e">
        <f>VLOOKUP($H$9,'COMIPLE RESULT'!$1:$1048576,57,0)</f>
        <v>#N/A</v>
      </c>
      <c r="G28" s="14" t="e">
        <f>VLOOKUP($H$9,'COMIPLE RESULT'!$1:$1048576,58,0)</f>
        <v>#N/A</v>
      </c>
      <c r="H28" s="14" t="e">
        <f t="shared" si="4"/>
        <v>#N/A</v>
      </c>
      <c r="I28" s="14" t="e">
        <f t="shared" si="4"/>
        <v>#N/A</v>
      </c>
      <c r="J28" s="20"/>
    </row>
    <row r="29" spans="1:10">
      <c r="A29" s="19"/>
      <c r="B29" s="3" t="s">
        <v>89</v>
      </c>
      <c r="C29" s="14" t="e">
        <f>VLOOKUP($H$9,'COMIPLE RESULT'!$1:$1048576,59,0)</f>
        <v>#N/A</v>
      </c>
      <c r="D29" s="14" t="e">
        <f>VLOOKUP($H$9,'COMIPLE RESULT'!$1:$1048576,60,0)</f>
        <v>#N/A</v>
      </c>
      <c r="E29" s="14" t="e">
        <f t="shared" si="3"/>
        <v>#N/A</v>
      </c>
      <c r="F29" s="14" t="e">
        <f>VLOOKUP($H$9,'COMIPLE RESULT'!$1:$1048576,61,0)</f>
        <v>#N/A</v>
      </c>
      <c r="G29" s="14" t="e">
        <f>VLOOKUP($H$9,'COMIPLE RESULT'!$1:$1048576,62,0)</f>
        <v>#N/A</v>
      </c>
      <c r="H29" s="14" t="e">
        <f t="shared" si="4"/>
        <v>#N/A</v>
      </c>
      <c r="I29" s="14" t="e">
        <f t="shared" si="4"/>
        <v>#N/A</v>
      </c>
      <c r="J29" s="20"/>
    </row>
    <row r="30" spans="1:10" ht="21" customHeight="1">
      <c r="A30" s="19"/>
      <c r="J30" s="20"/>
    </row>
    <row r="31" spans="1:10" ht="15.6" customHeight="1">
      <c r="A31" s="19"/>
      <c r="B31" s="49" t="s">
        <v>136</v>
      </c>
      <c r="C31" s="45" t="e">
        <f>VLOOKUP($H$9,'COMIPLE RESULT'!$1:$1048576,63,0)</f>
        <v>#N/A</v>
      </c>
      <c r="D31" s="45" t="e">
        <f>VLOOKUP($H$9,'COMIPLE RESULT'!$1:$1048576,64,0)</f>
        <v>#N/A</v>
      </c>
      <c r="F31" s="46" t="s">
        <v>137</v>
      </c>
      <c r="G31" s="46"/>
      <c r="H31" s="46" t="e">
        <f>ROUND(SUM(I15:I24)/20,2)&amp;" %"</f>
        <v>#N/A</v>
      </c>
      <c r="I31" s="46"/>
      <c r="J31" s="20"/>
    </row>
    <row r="32" spans="1:10" ht="15.6" customHeight="1">
      <c r="A32" s="19"/>
      <c r="B32" s="49"/>
      <c r="C32" s="45" t="e">
        <f>VLOOKUP($H$9,'COMIPLE RESULT'!$1:$1048576,62,0)</f>
        <v>#N/A</v>
      </c>
      <c r="D32" s="45" t="e">
        <f>VLOOKUP($H$9,'COMIPLE RESULT'!$1:$1048576,62,0)</f>
        <v>#N/A</v>
      </c>
      <c r="F32" s="26" t="s">
        <v>138</v>
      </c>
      <c r="G32" s="3"/>
      <c r="H32" s="46" t="e">
        <f>SUM(I15:I29)&amp;"/2000"</f>
        <v>#N/A</v>
      </c>
      <c r="I32" s="46"/>
      <c r="J32" s="20"/>
    </row>
    <row r="33" spans="1:10">
      <c r="A33" s="19"/>
      <c r="J33" s="20"/>
    </row>
    <row r="34" spans="1:10">
      <c r="A34" s="19"/>
      <c r="J34" s="20"/>
    </row>
    <row r="35" spans="1:10" s="27" customFormat="1" ht="21" customHeight="1">
      <c r="A35" s="28"/>
      <c r="B35" s="57"/>
      <c r="C35" s="57"/>
      <c r="D35" s="57"/>
      <c r="E35" s="57"/>
      <c r="F35" s="57"/>
      <c r="G35" s="57"/>
      <c r="H35" s="57"/>
      <c r="I35" s="57"/>
      <c r="J35" s="29"/>
    </row>
    <row r="36" spans="1:10" s="27" customFormat="1" ht="21" customHeight="1">
      <c r="A36" s="28"/>
      <c r="B36" s="57"/>
      <c r="C36" s="57"/>
      <c r="D36" s="57"/>
      <c r="E36" s="57"/>
      <c r="F36" s="57"/>
      <c r="G36" s="57"/>
      <c r="H36" s="57"/>
      <c r="I36" s="57"/>
      <c r="J36" s="29"/>
    </row>
    <row r="37" spans="1:10">
      <c r="A37" s="19"/>
      <c r="J37" s="20"/>
    </row>
    <row r="38" spans="1:10">
      <c r="A38" s="19"/>
      <c r="J38" s="20"/>
    </row>
    <row r="39" spans="1:10" ht="25.5" customHeight="1">
      <c r="A39" s="19"/>
      <c r="B39" s="59" t="e">
        <f>"Class Teacher's Remark: "&amp;VLOOKUP($H$9,'COMIPLE RESULT'!$1:$1048576,65,0)</f>
        <v>#N/A</v>
      </c>
      <c r="C39" s="59"/>
      <c r="D39" s="59"/>
      <c r="E39" s="59"/>
      <c r="F39" s="59"/>
      <c r="G39" s="59"/>
      <c r="H39" s="59"/>
      <c r="I39" s="59"/>
      <c r="J39" s="20"/>
    </row>
    <row r="40" spans="1:10">
      <c r="A40" s="19"/>
      <c r="J40" s="20"/>
    </row>
    <row r="41" spans="1:10">
      <c r="A41" s="19"/>
      <c r="B41" s="50" t="s">
        <v>139</v>
      </c>
      <c r="C41" s="50"/>
      <c r="J41" s="20"/>
    </row>
    <row r="42" spans="1:10" ht="18.75" customHeight="1">
      <c r="A42" s="19"/>
      <c r="J42" s="20"/>
    </row>
    <row r="43" spans="1:10" s="27" customFormat="1" ht="17.25" customHeight="1">
      <c r="A43" s="28"/>
      <c r="J43" s="29"/>
    </row>
    <row r="44" spans="1:10">
      <c r="A44" s="19"/>
      <c r="B44" s="59" t="s">
        <v>140</v>
      </c>
      <c r="C44" s="59"/>
      <c r="D44" s="27"/>
      <c r="E44" s="27"/>
      <c r="F44" s="27"/>
      <c r="G44" s="59" t="s">
        <v>141</v>
      </c>
      <c r="H44" s="59"/>
      <c r="I44" s="59"/>
      <c r="J44" s="20"/>
    </row>
    <row r="45" spans="1:10" ht="46.5" customHeight="1">
      <c r="A45" s="30"/>
      <c r="B45" s="31"/>
      <c r="C45" s="31"/>
      <c r="D45" s="31"/>
      <c r="E45" s="31"/>
      <c r="F45" s="31"/>
      <c r="G45" s="31"/>
      <c r="H45" s="31"/>
      <c r="I45" s="31"/>
      <c r="J45" s="32"/>
    </row>
  </sheetData>
  <sheetProtection selectLockedCells="1"/>
  <protectedRanges>
    <protectedRange sqref="H9" name="Range1"/>
  </protectedRanges>
  <mergeCells count="29">
    <mergeCell ref="B39:I39"/>
    <mergeCell ref="D31:D32"/>
    <mergeCell ref="G44:I44"/>
    <mergeCell ref="H31:I31"/>
    <mergeCell ref="F31:G31"/>
    <mergeCell ref="B41:C41"/>
    <mergeCell ref="B44:C44"/>
    <mergeCell ref="C9:E9"/>
    <mergeCell ref="B35:B36"/>
    <mergeCell ref="B3:I3"/>
    <mergeCell ref="F11:G11"/>
    <mergeCell ref="C35:I36"/>
    <mergeCell ref="H11:I11"/>
    <mergeCell ref="B1:I2"/>
    <mergeCell ref="C31:C32"/>
    <mergeCell ref="H32:I32"/>
    <mergeCell ref="B7:I7"/>
    <mergeCell ref="B4:I4"/>
    <mergeCell ref="B31:B32"/>
    <mergeCell ref="B5:I5"/>
    <mergeCell ref="C10:E10"/>
    <mergeCell ref="F9:G9"/>
    <mergeCell ref="H9:I9"/>
    <mergeCell ref="C11:E11"/>
    <mergeCell ref="B6:I6"/>
    <mergeCell ref="F10:G10"/>
    <mergeCell ref="B8:I8"/>
    <mergeCell ref="H10:I10"/>
    <mergeCell ref="B13:I13"/>
  </mergeCells>
  <pageMargins left="0.39" right="0.25" top="0.35" bottom="0.25" header="0.25" footer="0.25"/>
  <headerFooter>
    <oddHeader>&amp;C
&amp;G</oddHead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/>
  <rangeList sheetStid="3" master=""/>
  <rangeList sheetStid="4" master=""/>
  <rangeList sheetStid="5" master=""/>
  <rangeList sheetStid="6" master=""/>
  <rangeList sheetStid="7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DETAILS</vt:lpstr>
      <vt:lpstr>UT-I</vt:lpstr>
      <vt:lpstr>HALF YEARLY</vt:lpstr>
      <vt:lpstr>UT-II</vt:lpstr>
      <vt:lpstr>ANNUAL</vt:lpstr>
      <vt:lpstr>COMIPLE RESULT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2025-10-16T06:57:56Z</cp:lastPrinted>
  <dcterms:created xsi:type="dcterms:W3CDTF">2025-01-30T15:43:00Z</dcterms:created>
  <dcterms:modified xsi:type="dcterms:W3CDTF">2025-10-16T06:58:20Z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3CF314164FC64A1BB29F7A8FF484F541_12</vt:lpwstr>
  </property>
  <property fmtid="{D5CDD505-2E9C-101B-9397-08002B2CF9AE}" pid="3" name="KSOProductBuildVer">
    <vt:lpwstr>1033-12.2.0.21931</vt:lpwstr>
  </property>
</Properties>
</file>