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FDF105D6-6560-4219-A951-B021D7E5D645}" xr6:coauthVersionLast="47" xr6:coauthVersionMax="47" xr10:uidLastSave="{00000000-0000-0000-0000-000000000000}"/>
  <bookViews>
    <workbookView xWindow="-108" yWindow="-108" windowWidth="23256" windowHeight="12456" activeTab="1" xr2:uid="{253A99F9-072B-4EDE-9696-DF4A94E3381B}"/>
  </bookViews>
  <sheets>
    <sheet name="Sheet1" sheetId="1" r:id="rId1"/>
    <sheet name="Sheet2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" l="1"/>
  <c r="A11" i="2"/>
  <c r="R11" i="2" s="1"/>
  <c r="B10" i="2"/>
  <c r="A10" i="2"/>
  <c r="P10" i="2" s="1"/>
  <c r="J9" i="2"/>
  <c r="C9" i="2"/>
  <c r="B9" i="2"/>
  <c r="A9" i="2"/>
  <c r="Q9" i="2" s="1"/>
  <c r="B8" i="2"/>
  <c r="A8" i="2"/>
  <c r="P8" i="2" s="1"/>
  <c r="J7" i="2"/>
  <c r="D7" i="2"/>
  <c r="B7" i="2"/>
  <c r="A7" i="2"/>
  <c r="Q7" i="2" s="1"/>
  <c r="B6" i="2"/>
  <c r="A6" i="2"/>
  <c r="P6" i="2" s="1"/>
  <c r="B5" i="2"/>
  <c r="A5" i="2"/>
  <c r="Q5" i="2" s="1"/>
  <c r="B4" i="2"/>
  <c r="A4" i="2"/>
  <c r="P4" i="2" s="1"/>
  <c r="B3" i="2"/>
  <c r="A3" i="2"/>
  <c r="Q3" i="2" s="1"/>
  <c r="B12" i="1"/>
  <c r="A12" i="1"/>
  <c r="K12" i="1" s="1"/>
  <c r="B11" i="1"/>
  <c r="A11" i="1"/>
  <c r="K11" i="1" s="1"/>
  <c r="B10" i="1"/>
  <c r="A10" i="1"/>
  <c r="K10" i="1" s="1"/>
  <c r="B9" i="1"/>
  <c r="A9" i="1"/>
  <c r="K9" i="1" s="1"/>
  <c r="B8" i="1"/>
  <c r="A8" i="1"/>
  <c r="K8" i="1" s="1"/>
  <c r="B7" i="1"/>
  <c r="A7" i="1"/>
  <c r="K7" i="1" s="1"/>
  <c r="B6" i="1"/>
  <c r="A6" i="1"/>
  <c r="K6" i="1" s="1"/>
  <c r="H5" i="1"/>
  <c r="B5" i="1"/>
  <c r="A5" i="1"/>
  <c r="K5" i="1" s="1"/>
  <c r="B4" i="1"/>
  <c r="A4" i="1"/>
  <c r="K4" i="1" s="1"/>
  <c r="P5" i="2" l="1"/>
  <c r="R6" i="2"/>
  <c r="C5" i="2"/>
  <c r="G9" i="2"/>
  <c r="P9" i="2"/>
  <c r="D5" i="2"/>
  <c r="R5" i="2"/>
  <c r="R7" i="2"/>
  <c r="H9" i="2"/>
  <c r="R9" i="2"/>
  <c r="D11" i="2"/>
  <c r="H5" i="2"/>
  <c r="J5" i="2"/>
  <c r="D9" i="2"/>
  <c r="L9" i="2"/>
  <c r="J11" i="2"/>
  <c r="F3" i="2"/>
  <c r="K3" i="2"/>
  <c r="G3" i="2"/>
  <c r="L3" i="2"/>
  <c r="F7" i="2"/>
  <c r="K7" i="2"/>
  <c r="F11" i="2"/>
  <c r="K11" i="2"/>
  <c r="H4" i="1"/>
  <c r="C3" i="2"/>
  <c r="N3" i="2" s="1"/>
  <c r="O3" i="2" s="1"/>
  <c r="H3" i="2"/>
  <c r="P3" i="2"/>
  <c r="F5" i="2"/>
  <c r="K5" i="2"/>
  <c r="G7" i="2"/>
  <c r="L7" i="2"/>
  <c r="G11" i="2"/>
  <c r="L11" i="2"/>
  <c r="D3" i="2"/>
  <c r="J3" i="2"/>
  <c r="R3" i="2"/>
  <c r="G5" i="2"/>
  <c r="L5" i="2"/>
  <c r="C7" i="2"/>
  <c r="H7" i="2"/>
  <c r="P7" i="2"/>
  <c r="F9" i="2"/>
  <c r="K9" i="2"/>
  <c r="C11" i="2"/>
  <c r="H11" i="2"/>
  <c r="P11" i="2"/>
  <c r="E3" i="2"/>
  <c r="I3" i="2"/>
  <c r="M3" i="2"/>
  <c r="C4" i="2"/>
  <c r="G4" i="2"/>
  <c r="K4" i="2"/>
  <c r="E5" i="2"/>
  <c r="I5" i="2"/>
  <c r="M5" i="2"/>
  <c r="C6" i="2"/>
  <c r="G6" i="2"/>
  <c r="K6" i="2"/>
  <c r="E7" i="2"/>
  <c r="I7" i="2"/>
  <c r="M7" i="2"/>
  <c r="C8" i="2"/>
  <c r="G8" i="2"/>
  <c r="K8" i="2"/>
  <c r="E9" i="2"/>
  <c r="I9" i="2"/>
  <c r="M9" i="2"/>
  <c r="C10" i="2"/>
  <c r="G10" i="2"/>
  <c r="K10" i="2"/>
  <c r="E11" i="2"/>
  <c r="I11" i="2"/>
  <c r="M11" i="2"/>
  <c r="Q11" i="2"/>
  <c r="E4" i="2"/>
  <c r="I4" i="2"/>
  <c r="M4" i="2"/>
  <c r="Q4" i="2"/>
  <c r="E6" i="2"/>
  <c r="I6" i="2"/>
  <c r="M6" i="2"/>
  <c r="Q6" i="2"/>
  <c r="E8" i="2"/>
  <c r="I8" i="2"/>
  <c r="M8" i="2"/>
  <c r="Q8" i="2"/>
  <c r="E10" i="2"/>
  <c r="I10" i="2"/>
  <c r="M10" i="2"/>
  <c r="Q10" i="2"/>
  <c r="F4" i="2"/>
  <c r="J4" i="2"/>
  <c r="R4" i="2"/>
  <c r="F6" i="2"/>
  <c r="J6" i="2"/>
  <c r="F8" i="2"/>
  <c r="J8" i="2"/>
  <c r="R8" i="2"/>
  <c r="F10" i="2"/>
  <c r="J10" i="2"/>
  <c r="R10" i="2"/>
  <c r="D4" i="2"/>
  <c r="H4" i="2"/>
  <c r="L4" i="2"/>
  <c r="D6" i="2"/>
  <c r="H6" i="2"/>
  <c r="L6" i="2"/>
  <c r="D8" i="2"/>
  <c r="H8" i="2"/>
  <c r="L8" i="2"/>
  <c r="D10" i="2"/>
  <c r="H10" i="2"/>
  <c r="L10" i="2"/>
  <c r="D4" i="1"/>
  <c r="D5" i="1"/>
  <c r="D6" i="1"/>
  <c r="D9" i="1"/>
  <c r="D10" i="1"/>
  <c r="H8" i="1"/>
  <c r="H9" i="1"/>
  <c r="H10" i="1"/>
  <c r="L5" i="1"/>
  <c r="H6" i="1"/>
  <c r="D7" i="1"/>
  <c r="L9" i="1"/>
  <c r="D11" i="1"/>
  <c r="L6" i="1"/>
  <c r="H7" i="1"/>
  <c r="D8" i="1"/>
  <c r="L10" i="1"/>
  <c r="H11" i="1"/>
  <c r="D12" i="1"/>
  <c r="L11" i="1"/>
  <c r="H12" i="1"/>
  <c r="L7" i="1"/>
  <c r="L4" i="1"/>
  <c r="L8" i="1"/>
  <c r="L12" i="1"/>
  <c r="E4" i="1"/>
  <c r="E6" i="1"/>
  <c r="E10" i="1"/>
  <c r="E11" i="1"/>
  <c r="F4" i="1"/>
  <c r="F5" i="1"/>
  <c r="F6" i="1"/>
  <c r="F7" i="1"/>
  <c r="F8" i="1"/>
  <c r="F9" i="1"/>
  <c r="F10" i="1"/>
  <c r="F12" i="1"/>
  <c r="E5" i="1"/>
  <c r="E7" i="1"/>
  <c r="E8" i="1"/>
  <c r="E9" i="1"/>
  <c r="E12" i="1"/>
  <c r="F11" i="1"/>
  <c r="C4" i="1"/>
  <c r="G4" i="1"/>
  <c r="C5" i="1"/>
  <c r="G5" i="1"/>
  <c r="C6" i="1"/>
  <c r="G6" i="1"/>
  <c r="C7" i="1"/>
  <c r="G7" i="1"/>
  <c r="C8" i="1"/>
  <c r="G8" i="1"/>
  <c r="C9" i="1"/>
  <c r="G9" i="1"/>
  <c r="C10" i="1"/>
  <c r="G10" i="1"/>
  <c r="C11" i="1"/>
  <c r="G11" i="1"/>
  <c r="C12" i="1"/>
  <c r="G12" i="1"/>
  <c r="N9" i="2" l="1"/>
  <c r="O9" i="2" s="1"/>
  <c r="N5" i="2"/>
  <c r="O5" i="2" s="1"/>
  <c r="N11" i="2"/>
  <c r="O11" i="2" s="1"/>
  <c r="N7" i="2"/>
  <c r="O7" i="2" s="1"/>
  <c r="N10" i="2"/>
  <c r="O10" i="2" s="1"/>
  <c r="N6" i="2"/>
  <c r="O6" i="2" s="1"/>
  <c r="N8" i="2"/>
  <c r="O8" i="2" s="1"/>
  <c r="N4" i="2"/>
  <c r="O4" i="2" s="1"/>
  <c r="I5" i="1"/>
  <c r="J5" i="1" s="1"/>
  <c r="I12" i="1"/>
  <c r="J12" i="1" s="1"/>
  <c r="I10" i="1"/>
  <c r="J10" i="1" s="1"/>
  <c r="I8" i="1"/>
  <c r="J8" i="1" s="1"/>
  <c r="I6" i="1"/>
  <c r="J6" i="1" s="1"/>
  <c r="I4" i="1"/>
  <c r="J4" i="1" s="1"/>
  <c r="I11" i="1"/>
  <c r="J11" i="1" s="1"/>
  <c r="I9" i="1"/>
  <c r="J9" i="1" s="1"/>
  <c r="I7" i="1"/>
  <c r="J7" i="1" s="1"/>
</calcChain>
</file>

<file path=xl/sharedStrings.xml><?xml version="1.0" encoding="utf-8"?>
<sst xmlns="http://schemas.openxmlformats.org/spreadsheetml/2006/main" count="86" uniqueCount="55">
  <si>
    <t>UNIT TEST-I (2025-26) CLASS - XI-Comm.</t>
  </si>
  <si>
    <t>SR. NO.</t>
  </si>
  <si>
    <t>NAME</t>
  </si>
  <si>
    <t>ENGLISH</t>
  </si>
  <si>
    <t>HINDI/CS</t>
  </si>
  <si>
    <t>ACCOUNTACNY</t>
  </si>
  <si>
    <t>BUSINESS STUDIES</t>
  </si>
  <si>
    <t>ECONOMICS</t>
  </si>
  <si>
    <t>PHYSICAL EDUCATION</t>
  </si>
  <si>
    <t>TOTAL</t>
  </si>
  <si>
    <t>PERCENTAGE</t>
  </si>
  <si>
    <t>Attendance</t>
  </si>
  <si>
    <t>RANK IN CLASS</t>
  </si>
  <si>
    <t>PARENT'S SIGNATURE</t>
  </si>
  <si>
    <t>Present</t>
  </si>
  <si>
    <t>Working Day</t>
  </si>
  <si>
    <t>AB</t>
  </si>
  <si>
    <t>II</t>
  </si>
  <si>
    <t>I</t>
  </si>
  <si>
    <t>III</t>
  </si>
  <si>
    <t>UNIT TEST-I (2025-26) CLASS - XI-Human</t>
  </si>
  <si>
    <t>HISTORY</t>
  </si>
  <si>
    <t>POLITICAL SCIENCE</t>
  </si>
  <si>
    <t>GEOGRAPHY</t>
  </si>
  <si>
    <t>ARYAN GUPTA</t>
  </si>
  <si>
    <t>9.17 %</t>
  </si>
  <si>
    <t>SANJANA PATEL</t>
  </si>
  <si>
    <t>CLASS TEACHER'S SIGNATURE</t>
  </si>
  <si>
    <t>PRICIPAL'S SIGNATURE</t>
  </si>
  <si>
    <t>HALF YEARLY EXAMINATION (2025-26) CLASS - XI-Comm</t>
  </si>
  <si>
    <t>WORK EDUCATION</t>
  </si>
  <si>
    <t>ART EDUCATION</t>
  </si>
  <si>
    <t>HEALTH &amp; PHYSICAL EDUCATION</t>
  </si>
  <si>
    <t>DISCIPLINE</t>
  </si>
  <si>
    <t>Class Teacher's Remark</t>
  </si>
  <si>
    <t>Percentage</t>
  </si>
  <si>
    <t>Total Present</t>
  </si>
  <si>
    <t>Total Working</t>
  </si>
  <si>
    <t>PARENT'S SIGN.</t>
  </si>
  <si>
    <t>ENGLISH                 (80)</t>
  </si>
  <si>
    <t>ACCOUNTACNY                             (80)</t>
  </si>
  <si>
    <t>BUSINESS STUDIES                     (80)</t>
  </si>
  <si>
    <t>ECONOMICS                      (80)</t>
  </si>
  <si>
    <t>PHYSICAL EDUCATION                             (70)</t>
  </si>
  <si>
    <t>TOTAL                          (470/460)</t>
  </si>
  <si>
    <t>HALF YEARLY EXAMINATION (2025-26) CLASS - XI-Human</t>
  </si>
  <si>
    <t>PRINCIPAL'S SIGNATURE</t>
  </si>
  <si>
    <t>ENGLISH             (80)</t>
  </si>
  <si>
    <t>HISTORY                        (80)</t>
  </si>
  <si>
    <t>POLITICAL SCIENCE                       (80)</t>
  </si>
  <si>
    <t>GEOGRAPHY                (70)</t>
  </si>
  <si>
    <t>PHYSICAL EDUCATION                (70)</t>
  </si>
  <si>
    <t>HINDI                                   (80)</t>
  </si>
  <si>
    <t>TOTAL                          (460)</t>
  </si>
  <si>
    <t>HINDI/CS/Appl. Maths                   (80/70)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</si>
</sst>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3" borderId="1" xfId="0" applyFill="1" applyBorder="1"/>
    <xf numFmtId="0" fontId="0" fillId="0" borderId="1" xfId="0" applyBorder="1"/>
    <xf numFmtId="1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5-26\Report%20Card\Excel%20File\Report%20Card%20HYPB-I\XI-Comm-RESULTS.xlsx" TargetMode="External"/><Relationship Id="rId1" Type="http://schemas.openxmlformats.org/officeDocument/2006/relationships/externalLinkPath" Target="XI-Comm-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S"/>
      <sheetName val="UT-I(Entry)"/>
      <sheetName val="UT-I "/>
      <sheetName val="Grade(40)"/>
      <sheetName val="HALF YEARLY(Entry)"/>
      <sheetName val="HALF YEARLY"/>
      <sheetName val="Grade 50"/>
      <sheetName val="HY Compile"/>
      <sheetName val="HY Report"/>
      <sheetName val="UT-2(Entry)"/>
      <sheetName val="UT-2"/>
      <sheetName val="Annual(Entry)"/>
      <sheetName val="ANNUAL"/>
      <sheetName val="COMPILE REPORT"/>
      <sheetName val="REORT CARD"/>
    </sheetNames>
    <sheetDataSet>
      <sheetData sheetId="0">
        <row r="1">
          <cell r="A1" t="str">
            <v>STUDENT'S DETAIL</v>
          </cell>
          <cell r="B1"/>
          <cell r="C1"/>
          <cell r="D1"/>
          <cell r="E1"/>
          <cell r="F1"/>
          <cell r="G1"/>
          <cell r="H1"/>
        </row>
        <row r="2">
          <cell r="A2" t="str">
            <v>SR NO</v>
          </cell>
          <cell r="B2" t="str">
            <v xml:space="preserve">NAME </v>
          </cell>
          <cell r="C2" t="str">
            <v>MOTHER'S NAME</v>
          </cell>
          <cell r="D2" t="str">
            <v>FATHER'S NAME</v>
          </cell>
          <cell r="E2" t="str">
            <v>DOB</v>
          </cell>
          <cell r="F2" t="str">
            <v>CLASS &amp; SEC</v>
          </cell>
          <cell r="G2" t="str">
            <v>Elective1</v>
          </cell>
          <cell r="H2" t="str">
            <v>Elective1 Code</v>
          </cell>
        </row>
        <row r="3">
          <cell r="A3">
            <v>688</v>
          </cell>
          <cell r="B3" t="str">
            <v>AMINUDDIN</v>
          </cell>
          <cell r="C3" t="str">
            <v>RAFIYA BANO</v>
          </cell>
          <cell r="D3" t="str">
            <v>ANSAR AHMAD</v>
          </cell>
          <cell r="E3" t="str">
            <v>13.09.2008</v>
          </cell>
          <cell r="F3" t="str">
            <v>XI-COM</v>
          </cell>
          <cell r="G3" t="str">
            <v>HINDI CORE</v>
          </cell>
          <cell r="H3">
            <v>302</v>
          </cell>
          <cell r="K3">
            <v>83</v>
          </cell>
        </row>
        <row r="4">
          <cell r="A4">
            <v>1011</v>
          </cell>
          <cell r="B4" t="str">
            <v>ARPIT VERMA</v>
          </cell>
          <cell r="C4" t="str">
            <v>SUNITA VERMA</v>
          </cell>
          <cell r="D4" t="str">
            <v>MANISH KUMAR VERMA</v>
          </cell>
          <cell r="E4" t="str">
            <v>12.12.2008</v>
          </cell>
          <cell r="F4" t="str">
            <v>XI-COM</v>
          </cell>
          <cell r="G4" t="str">
            <v>COMPUTER SCIENCE</v>
          </cell>
          <cell r="H4">
            <v>83</v>
          </cell>
        </row>
        <row r="5">
          <cell r="A5">
            <v>692</v>
          </cell>
          <cell r="B5" t="str">
            <v>ATUL VERMA</v>
          </cell>
          <cell r="C5" t="str">
            <v>SUSHEELA DEVI</v>
          </cell>
          <cell r="D5" t="str">
            <v>RAVI SHANKAR</v>
          </cell>
          <cell r="E5" t="str">
            <v>31.10.2010</v>
          </cell>
          <cell r="F5" t="str">
            <v>XI-COM</v>
          </cell>
          <cell r="G5" t="str">
            <v>COMPUTER SCIENCE</v>
          </cell>
          <cell r="H5">
            <v>83</v>
          </cell>
        </row>
        <row r="6">
          <cell r="A6">
            <v>1931</v>
          </cell>
          <cell r="B6" t="str">
            <v>GAURAV GAUTAM</v>
          </cell>
          <cell r="C6" t="str">
            <v>SUSHMA GAUTAM</v>
          </cell>
          <cell r="D6" t="str">
            <v>SUNIL KUMAR</v>
          </cell>
          <cell r="E6" t="str">
            <v>09.05.2011</v>
          </cell>
          <cell r="F6" t="str">
            <v>XI-COM</v>
          </cell>
          <cell r="G6" t="str">
            <v>APPLIED MATHEMATICS</v>
          </cell>
          <cell r="H6">
            <v>241</v>
          </cell>
        </row>
        <row r="7">
          <cell r="A7">
            <v>1509</v>
          </cell>
          <cell r="B7" t="str">
            <v>HIMANSHU</v>
          </cell>
          <cell r="C7" t="str">
            <v>ANITA</v>
          </cell>
          <cell r="D7" t="str">
            <v>ANIL KUMAR</v>
          </cell>
          <cell r="E7" t="str">
            <v>06.03.2008</v>
          </cell>
          <cell r="F7" t="str">
            <v>XI-COM</v>
          </cell>
          <cell r="G7" t="str">
            <v>COMPUTER SCIENCE</v>
          </cell>
          <cell r="H7">
            <v>83</v>
          </cell>
        </row>
        <row r="8">
          <cell r="A8">
            <v>694</v>
          </cell>
          <cell r="B8" t="str">
            <v>JYOTIRADITYA DAS</v>
          </cell>
          <cell r="C8" t="str">
            <v>NEELAM  DAS</v>
          </cell>
          <cell r="D8" t="str">
            <v>AJAY BAX DAS</v>
          </cell>
          <cell r="E8" t="str">
            <v>31.08.2009</v>
          </cell>
          <cell r="F8" t="str">
            <v>XI-COM</v>
          </cell>
          <cell r="G8" t="str">
            <v>HINDI CORE</v>
          </cell>
          <cell r="H8">
            <v>302</v>
          </cell>
        </row>
        <row r="9">
          <cell r="A9">
            <v>1873</v>
          </cell>
          <cell r="B9" t="str">
            <v>MASIRA AKHTAR</v>
          </cell>
          <cell r="C9" t="str">
            <v>BABY TABASSUM</v>
          </cell>
          <cell r="D9" t="str">
            <v>SHAMSUL ARFEEN</v>
          </cell>
          <cell r="E9" t="str">
            <v>12.04.2009</v>
          </cell>
          <cell r="F9" t="str">
            <v>XI-COM</v>
          </cell>
          <cell r="G9" t="str">
            <v>COMPUTER SCIENCE</v>
          </cell>
          <cell r="H9">
            <v>83</v>
          </cell>
        </row>
        <row r="10">
          <cell r="A10">
            <v>1491</v>
          </cell>
          <cell r="B10" t="str">
            <v>SIDDHARTH</v>
          </cell>
          <cell r="C10" t="str">
            <v>PUSHPA GAUTAM</v>
          </cell>
          <cell r="D10" t="str">
            <v>JAGDISH KUMAR</v>
          </cell>
          <cell r="E10" t="str">
            <v>19.09.2007</v>
          </cell>
          <cell r="F10" t="str">
            <v>XI-COM</v>
          </cell>
          <cell r="G10" t="str">
            <v>COMPUTER SCIENCE</v>
          </cell>
          <cell r="H10">
            <v>83</v>
          </cell>
        </row>
        <row r="11">
          <cell r="A11">
            <v>701</v>
          </cell>
          <cell r="B11" t="str">
            <v>YASH SONI</v>
          </cell>
          <cell r="C11" t="str">
            <v>ARTI SONI</v>
          </cell>
          <cell r="D11" t="str">
            <v>ASHEESH KUMAR</v>
          </cell>
          <cell r="E11" t="str">
            <v>15.08.2010</v>
          </cell>
          <cell r="F11" t="str">
            <v>XI-COM</v>
          </cell>
          <cell r="G11" t="str">
            <v>HINDI CORE</v>
          </cell>
          <cell r="H11">
            <v>302</v>
          </cell>
        </row>
      </sheetData>
      <sheetData sheetId="1">
        <row r="1">
          <cell r="A1" t="str">
            <v>UNIT TEST-I (2025-26) CLASS - XI-Comm</v>
          </cell>
          <cell r="B1"/>
          <cell r="C1"/>
          <cell r="D1"/>
          <cell r="E1"/>
          <cell r="F1"/>
          <cell r="G1"/>
          <cell r="H1"/>
          <cell r="I1"/>
          <cell r="J1"/>
        </row>
        <row r="2">
          <cell r="A2" t="str">
            <v>SR. NO.</v>
          </cell>
          <cell r="B2" t="str">
            <v>NAME</v>
          </cell>
          <cell r="C2" t="str">
            <v>ENGLISH</v>
          </cell>
          <cell r="D2" t="str">
            <v>HINDI/CS/App. Maths</v>
          </cell>
          <cell r="E2" t="str">
            <v>ACCOUNTACNY</v>
          </cell>
          <cell r="F2" t="str">
            <v>BUSINESS STUDIES</v>
          </cell>
          <cell r="G2" t="str">
            <v>ECONOMICS</v>
          </cell>
          <cell r="H2" t="str">
            <v>PHYSICAL EDUCATION</v>
          </cell>
          <cell r="I2" t="str">
            <v>Attendance</v>
          </cell>
          <cell r="J2"/>
        </row>
        <row r="3">
          <cell r="A3"/>
          <cell r="B3"/>
          <cell r="C3"/>
          <cell r="D3"/>
          <cell r="E3"/>
          <cell r="F3"/>
          <cell r="G3"/>
          <cell r="H3"/>
          <cell r="I3" t="str">
            <v>Present</v>
          </cell>
          <cell r="J3" t="str">
            <v>Working Day</v>
          </cell>
        </row>
        <row r="4">
          <cell r="A4">
            <v>688</v>
          </cell>
          <cell r="B4" t="str">
            <v>AMINUDDIN</v>
          </cell>
          <cell r="C4" t="str">
            <v>AB</v>
          </cell>
          <cell r="D4" t="str">
            <v>AB</v>
          </cell>
          <cell r="E4" t="str">
            <v>AB</v>
          </cell>
          <cell r="F4" t="str">
            <v>AB</v>
          </cell>
          <cell r="G4" t="str">
            <v>AB</v>
          </cell>
          <cell r="H4" t="str">
            <v>AB</v>
          </cell>
          <cell r="I4">
            <v>47</v>
          </cell>
          <cell r="J4">
            <v>71</v>
          </cell>
        </row>
        <row r="5">
          <cell r="A5">
            <v>1011</v>
          </cell>
          <cell r="B5" t="str">
            <v>ARPIT VERMA</v>
          </cell>
          <cell r="C5">
            <v>12</v>
          </cell>
          <cell r="D5">
            <v>12</v>
          </cell>
          <cell r="E5">
            <v>13</v>
          </cell>
          <cell r="F5">
            <v>9</v>
          </cell>
          <cell r="G5">
            <v>2</v>
          </cell>
          <cell r="H5">
            <v>10</v>
          </cell>
          <cell r="I5">
            <v>32</v>
          </cell>
          <cell r="J5">
            <v>71</v>
          </cell>
        </row>
        <row r="6">
          <cell r="A6">
            <v>692</v>
          </cell>
          <cell r="B6" t="str">
            <v>ATUL VERMA</v>
          </cell>
          <cell r="C6">
            <v>26</v>
          </cell>
          <cell r="D6">
            <v>36</v>
          </cell>
          <cell r="E6">
            <v>33</v>
          </cell>
          <cell r="F6">
            <v>38</v>
          </cell>
          <cell r="G6">
            <v>24</v>
          </cell>
          <cell r="H6">
            <v>33</v>
          </cell>
          <cell r="I6">
            <v>65</v>
          </cell>
          <cell r="J6">
            <v>71</v>
          </cell>
        </row>
        <row r="7">
          <cell r="A7">
            <v>1931</v>
          </cell>
          <cell r="B7" t="str">
            <v>GAURAV GAUTAM</v>
          </cell>
          <cell r="C7">
            <v>30</v>
          </cell>
          <cell r="D7">
            <v>40</v>
          </cell>
          <cell r="E7">
            <v>33</v>
          </cell>
          <cell r="F7">
            <v>39</v>
          </cell>
          <cell r="G7">
            <v>25</v>
          </cell>
          <cell r="H7">
            <v>29</v>
          </cell>
          <cell r="I7">
            <v>15</v>
          </cell>
          <cell r="J7">
            <v>18</v>
          </cell>
        </row>
        <row r="8">
          <cell r="A8">
            <v>1509</v>
          </cell>
          <cell r="B8" t="str">
            <v>HIMANSHU</v>
          </cell>
          <cell r="C8">
            <v>26</v>
          </cell>
          <cell r="D8">
            <v>24</v>
          </cell>
          <cell r="E8">
            <v>26</v>
          </cell>
          <cell r="F8">
            <v>32</v>
          </cell>
          <cell r="G8">
            <v>16</v>
          </cell>
          <cell r="H8">
            <v>23</v>
          </cell>
          <cell r="I8">
            <v>43</v>
          </cell>
          <cell r="J8">
            <v>71</v>
          </cell>
        </row>
        <row r="9">
          <cell r="A9">
            <v>694</v>
          </cell>
          <cell r="B9" t="str">
            <v>JYOTIRADITYA DAS</v>
          </cell>
          <cell r="C9">
            <v>17</v>
          </cell>
          <cell r="D9">
            <v>18</v>
          </cell>
          <cell r="E9">
            <v>25</v>
          </cell>
          <cell r="F9">
            <v>26</v>
          </cell>
          <cell r="G9">
            <v>10</v>
          </cell>
          <cell r="H9">
            <v>19</v>
          </cell>
          <cell r="I9">
            <v>33</v>
          </cell>
          <cell r="J9">
            <v>71</v>
          </cell>
        </row>
        <row r="10">
          <cell r="A10">
            <v>1873</v>
          </cell>
          <cell r="B10" t="str">
            <v>MASIRA AKHTAR</v>
          </cell>
          <cell r="C10">
            <v>26</v>
          </cell>
          <cell r="D10">
            <v>32</v>
          </cell>
          <cell r="E10">
            <v>31</v>
          </cell>
          <cell r="F10">
            <v>34</v>
          </cell>
          <cell r="G10">
            <v>28</v>
          </cell>
          <cell r="H10">
            <v>29</v>
          </cell>
          <cell r="I10">
            <v>42</v>
          </cell>
          <cell r="J10">
            <v>33</v>
          </cell>
        </row>
        <row r="11">
          <cell r="A11">
            <v>1491</v>
          </cell>
          <cell r="B11" t="str">
            <v>SIDDHARTH</v>
          </cell>
          <cell r="C11">
            <v>21</v>
          </cell>
          <cell r="D11">
            <v>17</v>
          </cell>
          <cell r="E11">
            <v>22</v>
          </cell>
          <cell r="F11">
            <v>31</v>
          </cell>
          <cell r="G11">
            <v>15</v>
          </cell>
          <cell r="H11">
            <v>26</v>
          </cell>
          <cell r="I11">
            <v>39</v>
          </cell>
          <cell r="J11">
            <v>71</v>
          </cell>
        </row>
        <row r="12">
          <cell r="A12">
            <v>701</v>
          </cell>
          <cell r="B12" t="str">
            <v>YASH SONI</v>
          </cell>
          <cell r="C12" t="str">
            <v>AB</v>
          </cell>
          <cell r="D12" t="str">
            <v>AB</v>
          </cell>
          <cell r="E12" t="str">
            <v>AB</v>
          </cell>
          <cell r="F12" t="str">
            <v>AB</v>
          </cell>
          <cell r="G12" t="str">
            <v>AB</v>
          </cell>
          <cell r="H12" t="str">
            <v>AB</v>
          </cell>
          <cell r="I12">
            <v>21</v>
          </cell>
          <cell r="J12">
            <v>71</v>
          </cell>
        </row>
      </sheetData>
      <sheetData sheetId="2"/>
      <sheetData sheetId="3"/>
      <sheetData sheetId="4">
        <row r="1">
          <cell r="A1" t="str">
            <v>HALF YEARLY EXAMINATION (2025-26) CLASS - XI-Comm</v>
          </cell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</row>
        <row r="2">
          <cell r="A2" t="str">
            <v>SR. NO.</v>
          </cell>
          <cell r="B2" t="str">
            <v>NAME</v>
          </cell>
          <cell r="C2" t="str">
            <v>ENGLISH</v>
          </cell>
          <cell r="D2" t="str">
            <v>HINDI/CS</v>
          </cell>
          <cell r="E2" t="str">
            <v>ACCOUNTACNY</v>
          </cell>
          <cell r="F2" t="str">
            <v>BUSINESS STUDIES</v>
          </cell>
          <cell r="G2" t="str">
            <v>ECONOMICS</v>
          </cell>
          <cell r="H2" t="str">
            <v>PHYSICAL EDUCATION</v>
          </cell>
          <cell r="I2" t="str">
            <v>WORK EDUCATION</v>
          </cell>
          <cell r="J2" t="str">
            <v>ART EDUCATION</v>
          </cell>
          <cell r="K2" t="str">
            <v>HEALTH &amp; PHYSICAL EDUCATION</v>
          </cell>
          <cell r="L2" t="str">
            <v>DISCIPLINE</v>
          </cell>
          <cell r="M2" t="str">
            <v>Total Present</v>
          </cell>
          <cell r="N2" t="str">
            <v>Total Working</v>
          </cell>
          <cell r="O2" t="str">
            <v>Class Teacher's Remark</v>
          </cell>
          <cell r="P2" t="str">
            <v>TOTAL</v>
          </cell>
          <cell r="Q2" t="str">
            <v>Percentage</v>
          </cell>
          <cell r="R2" t="str">
            <v>RANK IN CLASS</v>
          </cell>
        </row>
        <row r="3">
          <cell r="A3">
            <v>688</v>
          </cell>
          <cell r="B3" t="str">
            <v>AMINUDDIN</v>
          </cell>
          <cell r="C3">
            <v>11</v>
          </cell>
          <cell r="D3">
            <v>34</v>
          </cell>
          <cell r="E3">
            <v>9</v>
          </cell>
          <cell r="F3">
            <v>20</v>
          </cell>
          <cell r="G3">
            <v>15</v>
          </cell>
          <cell r="H3">
            <v>23</v>
          </cell>
          <cell r="I3"/>
          <cell r="J3"/>
          <cell r="K3"/>
          <cell r="L3"/>
          <cell r="M3">
            <v>95</v>
          </cell>
          <cell r="N3">
            <v>128</v>
          </cell>
          <cell r="O3"/>
          <cell r="P3">
            <v>112</v>
          </cell>
          <cell r="Q3" t="str">
            <v>23.83 %</v>
          </cell>
          <cell r="R3" t="str">
            <v xml:space="preserve"> </v>
          </cell>
        </row>
        <row r="4">
          <cell r="A4">
            <v>1011</v>
          </cell>
          <cell r="B4" t="str">
            <v>ARPIT VERMA</v>
          </cell>
          <cell r="C4" t="str">
            <v>Ab</v>
          </cell>
          <cell r="D4" t="str">
            <v>Ab</v>
          </cell>
          <cell r="E4" t="str">
            <v>Ab</v>
          </cell>
          <cell r="F4" t="str">
            <v>Ab</v>
          </cell>
          <cell r="G4">
            <v>18</v>
          </cell>
          <cell r="H4" t="str">
            <v>Ab</v>
          </cell>
          <cell r="I4"/>
          <cell r="J4"/>
          <cell r="K4"/>
          <cell r="L4"/>
          <cell r="M4">
            <v>60</v>
          </cell>
          <cell r="N4">
            <v>128</v>
          </cell>
          <cell r="O4"/>
          <cell r="P4">
            <v>18</v>
          </cell>
          <cell r="Q4" t="str">
            <v>3.91 %</v>
          </cell>
          <cell r="R4" t="str">
            <v xml:space="preserve"> </v>
          </cell>
        </row>
        <row r="5">
          <cell r="A5">
            <v>692</v>
          </cell>
          <cell r="B5" t="str">
            <v>ATUL VERMA</v>
          </cell>
          <cell r="C5">
            <v>24</v>
          </cell>
          <cell r="D5">
            <v>39</v>
          </cell>
          <cell r="E5">
            <v>53</v>
          </cell>
          <cell r="F5">
            <v>64</v>
          </cell>
          <cell r="G5">
            <v>50</v>
          </cell>
          <cell r="H5">
            <v>43</v>
          </cell>
          <cell r="I5"/>
          <cell r="J5"/>
          <cell r="K5"/>
          <cell r="L5"/>
          <cell r="M5">
            <v>116</v>
          </cell>
          <cell r="N5">
            <v>128</v>
          </cell>
          <cell r="O5"/>
          <cell r="P5">
            <v>273</v>
          </cell>
          <cell r="Q5" t="str">
            <v>59.35 %</v>
          </cell>
          <cell r="R5" t="str">
            <v xml:space="preserve"> </v>
          </cell>
        </row>
        <row r="6">
          <cell r="A6">
            <v>1931</v>
          </cell>
          <cell r="B6" t="str">
            <v>GAURAV GAUTAM</v>
          </cell>
          <cell r="C6">
            <v>60</v>
          </cell>
          <cell r="D6">
            <v>69</v>
          </cell>
          <cell r="E6">
            <v>61</v>
          </cell>
          <cell r="F6">
            <v>66</v>
          </cell>
          <cell r="G6">
            <v>63</v>
          </cell>
          <cell r="H6">
            <v>62</v>
          </cell>
          <cell r="I6"/>
          <cell r="J6"/>
          <cell r="K6"/>
          <cell r="L6"/>
          <cell r="M6">
            <v>57</v>
          </cell>
          <cell r="N6">
            <v>75</v>
          </cell>
          <cell r="O6"/>
          <cell r="P6">
            <v>381</v>
          </cell>
          <cell r="Q6" t="str">
            <v>81.06 %</v>
          </cell>
          <cell r="R6" t="str">
            <v>I</v>
          </cell>
        </row>
        <row r="7">
          <cell r="A7">
            <v>1509</v>
          </cell>
          <cell r="B7" t="str">
            <v>HIMANSHU</v>
          </cell>
          <cell r="C7">
            <v>48</v>
          </cell>
          <cell r="D7">
            <v>34</v>
          </cell>
          <cell r="E7">
            <v>42</v>
          </cell>
          <cell r="F7">
            <v>50</v>
          </cell>
          <cell r="G7">
            <v>28</v>
          </cell>
          <cell r="H7">
            <v>42</v>
          </cell>
          <cell r="I7"/>
          <cell r="J7"/>
          <cell r="K7"/>
          <cell r="L7"/>
          <cell r="M7">
            <v>91</v>
          </cell>
          <cell r="N7">
            <v>128</v>
          </cell>
          <cell r="O7"/>
          <cell r="P7">
            <v>244</v>
          </cell>
          <cell r="Q7" t="str">
            <v>53.04 %</v>
          </cell>
          <cell r="R7" t="str">
            <v xml:space="preserve"> </v>
          </cell>
        </row>
        <row r="8">
          <cell r="A8">
            <v>694</v>
          </cell>
          <cell r="B8" t="str">
            <v>JYOTIRADITYA DAS</v>
          </cell>
          <cell r="C8">
            <v>27</v>
          </cell>
          <cell r="D8">
            <v>46</v>
          </cell>
          <cell r="E8">
            <v>31</v>
          </cell>
          <cell r="F8">
            <v>37</v>
          </cell>
          <cell r="G8">
            <v>31</v>
          </cell>
          <cell r="H8">
            <v>29</v>
          </cell>
          <cell r="I8"/>
          <cell r="J8"/>
          <cell r="K8"/>
          <cell r="L8"/>
          <cell r="M8">
            <v>69</v>
          </cell>
          <cell r="N8">
            <v>128</v>
          </cell>
          <cell r="O8"/>
          <cell r="P8">
            <v>201</v>
          </cell>
          <cell r="Q8" t="str">
            <v>42.77 %</v>
          </cell>
          <cell r="R8" t="str">
            <v xml:space="preserve"> </v>
          </cell>
        </row>
        <row r="9">
          <cell r="A9">
            <v>1873</v>
          </cell>
          <cell r="B9" t="str">
            <v>MASIRA AKHTAR</v>
          </cell>
          <cell r="C9">
            <v>54</v>
          </cell>
          <cell r="D9">
            <v>43</v>
          </cell>
          <cell r="E9">
            <v>55</v>
          </cell>
          <cell r="F9">
            <v>56</v>
          </cell>
          <cell r="G9">
            <v>45</v>
          </cell>
          <cell r="H9">
            <v>54</v>
          </cell>
          <cell r="I9"/>
          <cell r="J9"/>
          <cell r="K9"/>
          <cell r="L9"/>
          <cell r="M9">
            <v>86</v>
          </cell>
          <cell r="N9">
            <v>112</v>
          </cell>
          <cell r="O9"/>
          <cell r="P9">
            <v>307</v>
          </cell>
          <cell r="Q9" t="str">
            <v>66.74 %</v>
          </cell>
          <cell r="R9" t="str">
            <v>II</v>
          </cell>
        </row>
        <row r="10">
          <cell r="A10">
            <v>1491</v>
          </cell>
          <cell r="B10" t="str">
            <v>SIDDHARTH</v>
          </cell>
          <cell r="C10">
            <v>27</v>
          </cell>
          <cell r="D10">
            <v>25</v>
          </cell>
          <cell r="E10">
            <v>42</v>
          </cell>
          <cell r="F10">
            <v>58</v>
          </cell>
          <cell r="G10">
            <v>36</v>
          </cell>
          <cell r="H10">
            <v>50</v>
          </cell>
          <cell r="I10"/>
          <cell r="J10"/>
          <cell r="K10"/>
          <cell r="L10"/>
          <cell r="M10">
            <v>93</v>
          </cell>
          <cell r="N10">
            <v>128</v>
          </cell>
          <cell r="O10"/>
          <cell r="P10">
            <v>238</v>
          </cell>
          <cell r="Q10" t="str">
            <v>51.74 %</v>
          </cell>
          <cell r="R10" t="str">
            <v xml:space="preserve"> </v>
          </cell>
        </row>
        <row r="11">
          <cell r="A11">
            <v>701</v>
          </cell>
          <cell r="B11" t="str">
            <v>YASH SONI</v>
          </cell>
          <cell r="C11">
            <v>19</v>
          </cell>
          <cell r="D11">
            <v>33</v>
          </cell>
          <cell r="E11">
            <v>21</v>
          </cell>
          <cell r="F11">
            <v>27</v>
          </cell>
          <cell r="G11">
            <v>19</v>
          </cell>
          <cell r="H11">
            <v>32</v>
          </cell>
          <cell r="I11"/>
          <cell r="J11"/>
          <cell r="K11"/>
          <cell r="L11"/>
          <cell r="M11">
            <v>71</v>
          </cell>
          <cell r="N11">
            <v>128</v>
          </cell>
          <cell r="O11"/>
          <cell r="P11">
            <v>151</v>
          </cell>
          <cell r="Q11" t="str">
            <v>32.13 %</v>
          </cell>
          <cell r="R11" t="str">
            <v xml:space="preserve"> 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8D22-6F21-4DB2-8AF0-C9152EBA23DE}">
  <sheetPr>
    <pageSetUpPr fitToPage="1"/>
  </sheetPr>
  <dimension ref="A1:N23"/>
  <sheetViews>
    <sheetView zoomScale="130" zoomScaleNormal="130" workbookViewId="0">
      <selection activeCell="J20" sqref="J20"/>
    </sheetView>
  </sheetViews>
  <sheetFormatPr defaultRowHeight="14.4" x14ac:dyDescent="0.3"/>
  <cols>
    <col min="2" max="2" width="16.44140625" bestFit="1" customWidth="1"/>
    <col min="12" max="12" width="11.77734375" customWidth="1"/>
    <col min="14" max="14" width="11.21875" customWidth="1"/>
  </cols>
  <sheetData>
    <row r="1" spans="1:14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4.4" customHeight="1" x14ac:dyDescent="0.3">
      <c r="A2" s="31" t="s">
        <v>1</v>
      </c>
      <c r="B2" s="31" t="s">
        <v>2</v>
      </c>
      <c r="C2" s="32" t="s">
        <v>3</v>
      </c>
      <c r="D2" s="32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2" t="s">
        <v>9</v>
      </c>
      <c r="J2" s="32" t="s">
        <v>10</v>
      </c>
      <c r="K2" s="32" t="s">
        <v>11</v>
      </c>
      <c r="L2" s="32"/>
      <c r="M2" s="34" t="s">
        <v>12</v>
      </c>
      <c r="N2" s="34" t="s">
        <v>13</v>
      </c>
    </row>
    <row r="3" spans="1:14" x14ac:dyDescent="0.3">
      <c r="A3" s="31"/>
      <c r="B3" s="31"/>
      <c r="C3" s="32"/>
      <c r="D3" s="32"/>
      <c r="E3" s="33"/>
      <c r="F3" s="33"/>
      <c r="G3" s="33"/>
      <c r="H3" s="33"/>
      <c r="I3" s="32"/>
      <c r="J3" s="32"/>
      <c r="K3" s="1" t="s">
        <v>14</v>
      </c>
      <c r="L3" s="1" t="s">
        <v>15</v>
      </c>
      <c r="M3" s="34"/>
      <c r="N3" s="34"/>
    </row>
    <row r="4" spans="1:14" x14ac:dyDescent="0.3">
      <c r="A4" s="5">
        <f>[1]DETAILS!A3</f>
        <v>688</v>
      </c>
      <c r="B4" s="6" t="str">
        <f>[1]DETAILS!B3</f>
        <v>AMINUDDIN</v>
      </c>
      <c r="C4" s="2" t="str">
        <f>IFERROR(ROUND((VLOOKUP(A4,'[1]UT-I(Entry)'!$1:$1048576,3,0))/2,0),VLOOKUP(A4,'[1]UT-I(Entry)'!$1:$1048576,3,0))</f>
        <v>AB</v>
      </c>
      <c r="D4" s="2" t="str">
        <f>IF(VLOOKUP($A4,[1]DETAILS!$1:$1048576,8,0)=[1]DETAILS!$K$3,IFERROR(ROUND((VLOOKUP($A4,'[1]UT-I(Entry)'!$1:$1048576,4,0))/2.5,0),VLOOKUP($A4,'[1]UT-I(Entry)'!$1:$1048576,4,0)),IFERROR(ROUND((VLOOKUP($A4,'[1]UT-I(Entry)'!$1:$1048576,4,0))/2,0),VLOOKUP($A4,'[1]UT-I(Entry)'!$1:$1048576,4,0)))</f>
        <v>AB</v>
      </c>
      <c r="E4" s="2" t="str">
        <f>IFERROR(ROUND((VLOOKUP(A4,'[1]UT-I(Entry)'!$1:$1048576,5,0))/2,0),VLOOKUP(A4,'[1]UT-I(Entry)'!$1:$1048576,5,0))</f>
        <v>AB</v>
      </c>
      <c r="F4" s="2" t="str">
        <f>IFERROR(ROUND((VLOOKUP(A4,'[1]UT-I(Entry)'!$1:$1048576,6,0))/2,0),VLOOKUP(A4,'[1]UT-I(Entry)'!$1:$1048576,6,0))</f>
        <v>AB</v>
      </c>
      <c r="G4" s="2" t="str">
        <f>IFERROR(ROUND((VLOOKUP($A4,'[1]UT-I(Entry)'!$1:$1048576,7,0))/2,0),VLOOKUP($A4,'[1]UT-I(Entry)'!$1:$1048576,7,0))</f>
        <v>AB</v>
      </c>
      <c r="H4" s="2" t="str">
        <f>IFERROR(ROUND((VLOOKUP($A4,'[1]UT-I(Entry)'!$1:$1048576,8,0))/1.75,0),VLOOKUP($A4,'[1]UT-I(Entry)'!$1:$1048576,8,0))</f>
        <v>AB</v>
      </c>
      <c r="I4" s="3">
        <f>SUM(C4:H4)</f>
        <v>0</v>
      </c>
      <c r="J4" s="3" t="str">
        <f>ROUND(I4/1.2,2)&amp;" %"</f>
        <v>0 %</v>
      </c>
      <c r="K4" s="6">
        <f>VLOOKUP(A4,'[1]UT-I(Entry)'!$1:$1048576,9,0)</f>
        <v>47</v>
      </c>
      <c r="L4" s="6">
        <f>VLOOKUP(A4,'[1]UT-I(Entry)'!$1:$1048576,10,0)</f>
        <v>71</v>
      </c>
      <c r="M4" s="3"/>
      <c r="N4" s="6"/>
    </row>
    <row r="5" spans="1:14" x14ac:dyDescent="0.3">
      <c r="A5" s="5">
        <f>[1]DETAILS!A4</f>
        <v>1011</v>
      </c>
      <c r="B5" s="6" t="str">
        <f>[1]DETAILS!B4</f>
        <v>ARPIT VERMA</v>
      </c>
      <c r="C5" s="2">
        <f>IFERROR(ROUND((VLOOKUP(A5,'[1]UT-I(Entry)'!$1:$1048576,3,0))/2,0),VLOOKUP(A5,'[1]UT-I(Entry)'!$1:$1048576,3,0))</f>
        <v>6</v>
      </c>
      <c r="D5" s="2">
        <f>IF(VLOOKUP($A5,[1]DETAILS!$1:$1048576,8,0)=[1]DETAILS!$K$3,IFERROR(ROUND((VLOOKUP($A5,'[1]UT-I(Entry)'!$1:$1048576,4,0))/2.5,0),VLOOKUP($A5,'[1]UT-I(Entry)'!$1:$1048576,4,0)),IFERROR(ROUND((VLOOKUP($A5,'[1]UT-I(Entry)'!$1:$1048576,4,0))/2,0),VLOOKUP($A5,'[1]UT-I(Entry)'!$1:$1048576,4,0)))</f>
        <v>5</v>
      </c>
      <c r="E5" s="2">
        <f>IFERROR(ROUND((VLOOKUP(A5,'[1]UT-I(Entry)'!$1:$1048576,5,0))/2,0),VLOOKUP(A5,'[1]UT-I(Entry)'!$1:$1048576,5,0))</f>
        <v>7</v>
      </c>
      <c r="F5" s="2">
        <f>IFERROR(ROUND((VLOOKUP(A5,'[1]UT-I(Entry)'!$1:$1048576,6,0))/2,0),VLOOKUP(A5,'[1]UT-I(Entry)'!$1:$1048576,6,0))</f>
        <v>5</v>
      </c>
      <c r="G5" s="2">
        <f>IFERROR(ROUND((VLOOKUP($A5,'[1]UT-I(Entry)'!$1:$1048576,7,0))/2,0),VLOOKUP($A5,'[1]UT-I(Entry)'!$1:$1048576,7,0))</f>
        <v>1</v>
      </c>
      <c r="H5" s="2">
        <f>IFERROR(ROUND((VLOOKUP($A5,'[1]UT-I(Entry)'!$1:$1048576,8,0))/1.75,0),VLOOKUP($A5,'[1]UT-I(Entry)'!$1:$1048576,8,0))</f>
        <v>6</v>
      </c>
      <c r="I5" s="3">
        <f t="shared" ref="I5:I12" si="0">SUM(C5:H5)</f>
        <v>30</v>
      </c>
      <c r="J5" s="3" t="str">
        <f t="shared" ref="J5:J12" si="1">ROUND(I5/1.2,2)&amp;" %"</f>
        <v>25 %</v>
      </c>
      <c r="K5" s="6">
        <f>VLOOKUP(A5,'[1]UT-I(Entry)'!$1:$1048576,9,0)</f>
        <v>32</v>
      </c>
      <c r="L5" s="6">
        <f>VLOOKUP(A5,'[1]UT-I(Entry)'!$1:$1048576,10,0)</f>
        <v>71</v>
      </c>
      <c r="M5" s="3"/>
      <c r="N5" s="6"/>
    </row>
    <row r="6" spans="1:14" x14ac:dyDescent="0.3">
      <c r="A6" s="5">
        <f>[1]DETAILS!A5</f>
        <v>692</v>
      </c>
      <c r="B6" s="6" t="str">
        <f>[1]DETAILS!B5</f>
        <v>ATUL VERMA</v>
      </c>
      <c r="C6" s="2">
        <f>IFERROR(ROUND((VLOOKUP(A6,'[1]UT-I(Entry)'!$1:$1048576,3,0))/2,0),VLOOKUP(A6,'[1]UT-I(Entry)'!$1:$1048576,3,0))</f>
        <v>13</v>
      </c>
      <c r="D6" s="2">
        <f>IF(VLOOKUP($A6,[1]DETAILS!$1:$1048576,8,0)=[1]DETAILS!$K$3,IFERROR(ROUND((VLOOKUP($A6,'[1]UT-I(Entry)'!$1:$1048576,4,0))/2.5,0),VLOOKUP($A6,'[1]UT-I(Entry)'!$1:$1048576,4,0)),IFERROR(ROUND((VLOOKUP($A6,'[1]UT-I(Entry)'!$1:$1048576,4,0))/2,0),VLOOKUP($A6,'[1]UT-I(Entry)'!$1:$1048576,4,0)))</f>
        <v>14</v>
      </c>
      <c r="E6" s="2">
        <f>IFERROR(ROUND((VLOOKUP(A6,'[1]UT-I(Entry)'!$1:$1048576,5,0))/2,0),VLOOKUP(A6,'[1]UT-I(Entry)'!$1:$1048576,5,0))</f>
        <v>17</v>
      </c>
      <c r="F6" s="2">
        <f>IFERROR(ROUND((VLOOKUP(A6,'[1]UT-I(Entry)'!$1:$1048576,6,0))/2,0),VLOOKUP(A6,'[1]UT-I(Entry)'!$1:$1048576,6,0))</f>
        <v>19</v>
      </c>
      <c r="G6" s="2">
        <f>IFERROR(ROUND((VLOOKUP($A6,'[1]UT-I(Entry)'!$1:$1048576,7,0))/2,0),VLOOKUP($A6,'[1]UT-I(Entry)'!$1:$1048576,7,0))</f>
        <v>12</v>
      </c>
      <c r="H6" s="2">
        <f>IFERROR(ROUND((VLOOKUP($A6,'[1]UT-I(Entry)'!$1:$1048576,8,0))/1.75,0),VLOOKUP($A6,'[1]UT-I(Entry)'!$1:$1048576,8,0))</f>
        <v>19</v>
      </c>
      <c r="I6" s="3">
        <f t="shared" si="0"/>
        <v>94</v>
      </c>
      <c r="J6" s="3" t="str">
        <f t="shared" si="1"/>
        <v>78.33 %</v>
      </c>
      <c r="K6" s="6">
        <f>VLOOKUP(A6,'[1]UT-I(Entry)'!$1:$1048576,9,0)</f>
        <v>65</v>
      </c>
      <c r="L6" s="6">
        <f>VLOOKUP(A6,'[1]UT-I(Entry)'!$1:$1048576,10,0)</f>
        <v>71</v>
      </c>
      <c r="M6" s="3" t="s">
        <v>17</v>
      </c>
      <c r="N6" s="6"/>
    </row>
    <row r="7" spans="1:14" x14ac:dyDescent="0.3">
      <c r="A7" s="5">
        <f>[1]DETAILS!A6</f>
        <v>1931</v>
      </c>
      <c r="B7" s="6" t="str">
        <f>[1]DETAILS!B6</f>
        <v>GAURAV GAUTAM</v>
      </c>
      <c r="C7" s="2">
        <f>IFERROR(ROUND((VLOOKUP(A7,'[1]UT-I(Entry)'!$1:$1048576,3,0))/2,0),VLOOKUP(A7,'[1]UT-I(Entry)'!$1:$1048576,3,0))</f>
        <v>15</v>
      </c>
      <c r="D7" s="2">
        <f>IF(VLOOKUP($A7,[1]DETAILS!$1:$1048576,8,0)=[1]DETAILS!$K$3,IFERROR(ROUND((VLOOKUP($A7,'[1]UT-I(Entry)'!$1:$1048576,4,0))/2.5,0),VLOOKUP($A7,'[1]UT-I(Entry)'!$1:$1048576,4,0)),IFERROR(ROUND((VLOOKUP($A7,'[1]UT-I(Entry)'!$1:$1048576,4,0))/2,0),VLOOKUP($A7,'[1]UT-I(Entry)'!$1:$1048576,4,0)))</f>
        <v>20</v>
      </c>
      <c r="E7" s="2">
        <f>IFERROR(ROUND((VLOOKUP(A7,'[1]UT-I(Entry)'!$1:$1048576,5,0))/2,0),VLOOKUP(A7,'[1]UT-I(Entry)'!$1:$1048576,5,0))</f>
        <v>17</v>
      </c>
      <c r="F7" s="2">
        <f>IFERROR(ROUND((VLOOKUP(A7,'[1]UT-I(Entry)'!$1:$1048576,6,0))/2,0),VLOOKUP(A7,'[1]UT-I(Entry)'!$1:$1048576,6,0))</f>
        <v>20</v>
      </c>
      <c r="G7" s="2">
        <f>IFERROR(ROUND((VLOOKUP($A7,'[1]UT-I(Entry)'!$1:$1048576,7,0))/2,0),VLOOKUP($A7,'[1]UT-I(Entry)'!$1:$1048576,7,0))</f>
        <v>13</v>
      </c>
      <c r="H7" s="2">
        <f>IFERROR(ROUND((VLOOKUP($A7,'[1]UT-I(Entry)'!$1:$1048576,8,0))/1.75,0),VLOOKUP($A7,'[1]UT-I(Entry)'!$1:$1048576,8,0))</f>
        <v>17</v>
      </c>
      <c r="I7" s="3">
        <f t="shared" si="0"/>
        <v>102</v>
      </c>
      <c r="J7" s="3" t="str">
        <f t="shared" si="1"/>
        <v>85 %</v>
      </c>
      <c r="K7" s="6">
        <f>VLOOKUP(A7,'[1]UT-I(Entry)'!$1:$1048576,9,0)</f>
        <v>15</v>
      </c>
      <c r="L7" s="6">
        <f>VLOOKUP(A7,'[1]UT-I(Entry)'!$1:$1048576,10,0)</f>
        <v>18</v>
      </c>
      <c r="M7" s="3" t="s">
        <v>18</v>
      </c>
      <c r="N7" s="6"/>
    </row>
    <row r="8" spans="1:14" x14ac:dyDescent="0.3">
      <c r="A8" s="5">
        <f>[1]DETAILS!A7</f>
        <v>1509</v>
      </c>
      <c r="B8" s="6" t="str">
        <f>[1]DETAILS!B7</f>
        <v>HIMANSHU</v>
      </c>
      <c r="C8" s="2">
        <f>IFERROR(ROUND((VLOOKUP(A8,'[1]UT-I(Entry)'!$1:$1048576,3,0))/2,0),VLOOKUP(A8,'[1]UT-I(Entry)'!$1:$1048576,3,0))</f>
        <v>13</v>
      </c>
      <c r="D8" s="2">
        <f>IF(VLOOKUP($A8,[1]DETAILS!$1:$1048576,8,0)=[1]DETAILS!$K$3,IFERROR(ROUND((VLOOKUP($A8,'[1]UT-I(Entry)'!$1:$1048576,4,0))/2.5,0),VLOOKUP($A8,'[1]UT-I(Entry)'!$1:$1048576,4,0)),IFERROR(ROUND((VLOOKUP($A8,'[1]UT-I(Entry)'!$1:$1048576,4,0))/2,0),VLOOKUP($A8,'[1]UT-I(Entry)'!$1:$1048576,4,0)))</f>
        <v>10</v>
      </c>
      <c r="E8" s="2">
        <f>IFERROR(ROUND((VLOOKUP(A8,'[1]UT-I(Entry)'!$1:$1048576,5,0))/2,0),VLOOKUP(A8,'[1]UT-I(Entry)'!$1:$1048576,5,0))</f>
        <v>13</v>
      </c>
      <c r="F8" s="2">
        <f>IFERROR(ROUND((VLOOKUP(A8,'[1]UT-I(Entry)'!$1:$1048576,6,0))/2,0),VLOOKUP(A8,'[1]UT-I(Entry)'!$1:$1048576,6,0))</f>
        <v>16</v>
      </c>
      <c r="G8" s="2">
        <f>IFERROR(ROUND((VLOOKUP($A8,'[1]UT-I(Entry)'!$1:$1048576,7,0))/2,0),VLOOKUP($A8,'[1]UT-I(Entry)'!$1:$1048576,7,0))</f>
        <v>8</v>
      </c>
      <c r="H8" s="2">
        <f>IFERROR(ROUND((VLOOKUP($A8,'[1]UT-I(Entry)'!$1:$1048576,8,0))/1.75,0),VLOOKUP($A8,'[1]UT-I(Entry)'!$1:$1048576,8,0))</f>
        <v>13</v>
      </c>
      <c r="I8" s="3">
        <f t="shared" si="0"/>
        <v>73</v>
      </c>
      <c r="J8" s="3" t="str">
        <f t="shared" si="1"/>
        <v>60.83 %</v>
      </c>
      <c r="K8" s="6">
        <f>VLOOKUP(A8,'[1]UT-I(Entry)'!$1:$1048576,9,0)</f>
        <v>43</v>
      </c>
      <c r="L8" s="6">
        <f>VLOOKUP(A8,'[1]UT-I(Entry)'!$1:$1048576,10,0)</f>
        <v>71</v>
      </c>
      <c r="M8" s="3"/>
      <c r="N8" s="6"/>
    </row>
    <row r="9" spans="1:14" x14ac:dyDescent="0.3">
      <c r="A9" s="5">
        <f>[1]DETAILS!A8</f>
        <v>694</v>
      </c>
      <c r="B9" s="6" t="str">
        <f>[1]DETAILS!B8</f>
        <v>JYOTIRADITYA DAS</v>
      </c>
      <c r="C9" s="2">
        <f>IFERROR(ROUND((VLOOKUP(A9,'[1]UT-I(Entry)'!$1:$1048576,3,0))/2,0),VLOOKUP(A9,'[1]UT-I(Entry)'!$1:$1048576,3,0))</f>
        <v>9</v>
      </c>
      <c r="D9" s="2">
        <f>IF(VLOOKUP($A9,[1]DETAILS!$1:$1048576,8,0)=[1]DETAILS!$K$3,IFERROR(ROUND((VLOOKUP($A9,'[1]UT-I(Entry)'!$1:$1048576,4,0))/2.5,0),VLOOKUP($A9,'[1]UT-I(Entry)'!$1:$1048576,4,0)),IFERROR(ROUND((VLOOKUP($A9,'[1]UT-I(Entry)'!$1:$1048576,4,0))/2,0),VLOOKUP($A9,'[1]UT-I(Entry)'!$1:$1048576,4,0)))</f>
        <v>9</v>
      </c>
      <c r="E9" s="2">
        <f>IFERROR(ROUND((VLOOKUP(A9,'[1]UT-I(Entry)'!$1:$1048576,5,0))/2,0),VLOOKUP(A9,'[1]UT-I(Entry)'!$1:$1048576,5,0))</f>
        <v>13</v>
      </c>
      <c r="F9" s="2">
        <f>IFERROR(ROUND((VLOOKUP(A9,'[1]UT-I(Entry)'!$1:$1048576,6,0))/2,0),VLOOKUP(A9,'[1]UT-I(Entry)'!$1:$1048576,6,0))</f>
        <v>13</v>
      </c>
      <c r="G9" s="2">
        <f>IFERROR(ROUND((VLOOKUP($A9,'[1]UT-I(Entry)'!$1:$1048576,7,0))/2,0),VLOOKUP($A9,'[1]UT-I(Entry)'!$1:$1048576,7,0))</f>
        <v>5</v>
      </c>
      <c r="H9" s="2">
        <f>IFERROR(ROUND((VLOOKUP($A9,'[1]UT-I(Entry)'!$1:$1048576,8,0))/1.75,0),VLOOKUP($A9,'[1]UT-I(Entry)'!$1:$1048576,8,0))</f>
        <v>11</v>
      </c>
      <c r="I9" s="3">
        <f t="shared" si="0"/>
        <v>60</v>
      </c>
      <c r="J9" s="3" t="str">
        <f t="shared" si="1"/>
        <v>50 %</v>
      </c>
      <c r="K9" s="6">
        <f>VLOOKUP(A9,'[1]UT-I(Entry)'!$1:$1048576,9,0)</f>
        <v>33</v>
      </c>
      <c r="L9" s="6">
        <f>VLOOKUP(A9,'[1]UT-I(Entry)'!$1:$1048576,10,0)</f>
        <v>71</v>
      </c>
      <c r="M9" s="3"/>
      <c r="N9" s="6"/>
    </row>
    <row r="10" spans="1:14" x14ac:dyDescent="0.3">
      <c r="A10" s="5">
        <f>[1]DETAILS!A9</f>
        <v>1873</v>
      </c>
      <c r="B10" s="6" t="str">
        <f>[1]DETAILS!B9</f>
        <v>MASIRA AKHTAR</v>
      </c>
      <c r="C10" s="2">
        <f>IFERROR(ROUND((VLOOKUP(A10,'[1]UT-I(Entry)'!$1:$1048576,3,0))/2,0),VLOOKUP(A10,'[1]UT-I(Entry)'!$1:$1048576,3,0))</f>
        <v>13</v>
      </c>
      <c r="D10" s="2">
        <f>IF(VLOOKUP($A10,[1]DETAILS!$1:$1048576,8,0)=[1]DETAILS!$K$3,IFERROR(ROUND((VLOOKUP($A10,'[1]UT-I(Entry)'!$1:$1048576,4,0))/2.5,0),VLOOKUP($A10,'[1]UT-I(Entry)'!$1:$1048576,4,0)),IFERROR(ROUND((VLOOKUP($A10,'[1]UT-I(Entry)'!$1:$1048576,4,0))/2,0),VLOOKUP($A10,'[1]UT-I(Entry)'!$1:$1048576,4,0)))</f>
        <v>13</v>
      </c>
      <c r="E10" s="2">
        <f>IFERROR(ROUND((VLOOKUP(A10,'[1]UT-I(Entry)'!$1:$1048576,5,0))/2,0),VLOOKUP(A10,'[1]UT-I(Entry)'!$1:$1048576,5,0))</f>
        <v>16</v>
      </c>
      <c r="F10" s="2">
        <f>IFERROR(ROUND((VLOOKUP(A10,'[1]UT-I(Entry)'!$1:$1048576,6,0))/2,0),VLOOKUP(A10,'[1]UT-I(Entry)'!$1:$1048576,6,0))</f>
        <v>17</v>
      </c>
      <c r="G10" s="2">
        <f>IFERROR(ROUND((VLOOKUP($A10,'[1]UT-I(Entry)'!$1:$1048576,7,0))/2,0),VLOOKUP($A10,'[1]UT-I(Entry)'!$1:$1048576,7,0))</f>
        <v>14</v>
      </c>
      <c r="H10" s="2">
        <f>IFERROR(ROUND((VLOOKUP($A10,'[1]UT-I(Entry)'!$1:$1048576,8,0))/1.75,0),VLOOKUP($A10,'[1]UT-I(Entry)'!$1:$1048576,8,0))</f>
        <v>17</v>
      </c>
      <c r="I10" s="3">
        <f t="shared" si="0"/>
        <v>90</v>
      </c>
      <c r="J10" s="3" t="str">
        <f t="shared" si="1"/>
        <v>75 %</v>
      </c>
      <c r="K10" s="6">
        <f>VLOOKUP(A10,'[1]UT-I(Entry)'!$1:$1048576,9,0)</f>
        <v>42</v>
      </c>
      <c r="L10" s="6">
        <f>VLOOKUP(A10,'[1]UT-I(Entry)'!$1:$1048576,10,0)</f>
        <v>33</v>
      </c>
      <c r="M10" s="3" t="s">
        <v>19</v>
      </c>
      <c r="N10" s="6"/>
    </row>
    <row r="11" spans="1:14" x14ac:dyDescent="0.3">
      <c r="A11" s="5">
        <f>[1]DETAILS!A10</f>
        <v>1491</v>
      </c>
      <c r="B11" s="6" t="str">
        <f>[1]DETAILS!B10</f>
        <v>SIDDHARTH</v>
      </c>
      <c r="C11" s="2">
        <f>IFERROR(ROUND((VLOOKUP(A11,'[1]UT-I(Entry)'!$1:$1048576,3,0))/2,0),VLOOKUP(A11,'[1]UT-I(Entry)'!$1:$1048576,3,0))</f>
        <v>11</v>
      </c>
      <c r="D11" s="2">
        <f>IF(VLOOKUP($A11,[1]DETAILS!$1:$1048576,8,0)=[1]DETAILS!$K$3,IFERROR(ROUND((VLOOKUP($A11,'[1]UT-I(Entry)'!$1:$1048576,4,0))/2.5,0),VLOOKUP($A11,'[1]UT-I(Entry)'!$1:$1048576,4,0)),IFERROR(ROUND((VLOOKUP($A11,'[1]UT-I(Entry)'!$1:$1048576,4,0))/2,0),VLOOKUP($A11,'[1]UT-I(Entry)'!$1:$1048576,4,0)))</f>
        <v>7</v>
      </c>
      <c r="E11" s="2">
        <f>IFERROR(ROUND((VLOOKUP(A11,'[1]UT-I(Entry)'!$1:$1048576,5,0))/2,0),VLOOKUP(A11,'[1]UT-I(Entry)'!$1:$1048576,5,0))</f>
        <v>11</v>
      </c>
      <c r="F11" s="2">
        <f>IFERROR(ROUND((VLOOKUP(A11,'[1]UT-I(Entry)'!$1:$1048576,6,0))/2,0),VLOOKUP(A11,'[1]UT-I(Entry)'!$1:$1048576,6,0))</f>
        <v>16</v>
      </c>
      <c r="G11" s="2">
        <f>IFERROR(ROUND((VLOOKUP($A11,'[1]UT-I(Entry)'!$1:$1048576,7,0))/2,0),VLOOKUP($A11,'[1]UT-I(Entry)'!$1:$1048576,7,0))</f>
        <v>8</v>
      </c>
      <c r="H11" s="2">
        <f>IFERROR(ROUND((VLOOKUP($A11,'[1]UT-I(Entry)'!$1:$1048576,8,0))/1.75,0),VLOOKUP($A11,'[1]UT-I(Entry)'!$1:$1048576,8,0))</f>
        <v>15</v>
      </c>
      <c r="I11" s="3">
        <f t="shared" si="0"/>
        <v>68</v>
      </c>
      <c r="J11" s="3" t="str">
        <f t="shared" si="1"/>
        <v>56.67 %</v>
      </c>
      <c r="K11" s="6">
        <f>VLOOKUP(A11,'[1]UT-I(Entry)'!$1:$1048576,9,0)</f>
        <v>39</v>
      </c>
      <c r="L11" s="6">
        <f>VLOOKUP(A11,'[1]UT-I(Entry)'!$1:$1048576,10,0)</f>
        <v>71</v>
      </c>
      <c r="M11" s="3"/>
      <c r="N11" s="6"/>
    </row>
    <row r="12" spans="1:14" x14ac:dyDescent="0.3">
      <c r="A12" s="5">
        <f>[1]DETAILS!A11</f>
        <v>701</v>
      </c>
      <c r="B12" s="6" t="str">
        <f>[1]DETAILS!B11</f>
        <v>YASH SONI</v>
      </c>
      <c r="C12" s="2" t="str">
        <f>IFERROR(ROUND((VLOOKUP(A12,'[1]UT-I(Entry)'!$1:$1048576,3,0))/2,0),VLOOKUP(A12,'[1]UT-I(Entry)'!$1:$1048576,3,0))</f>
        <v>AB</v>
      </c>
      <c r="D12" s="2" t="str">
        <f>IF(VLOOKUP($A12,[1]DETAILS!$1:$1048576,8,0)=[1]DETAILS!$K$3,IFERROR(ROUND((VLOOKUP($A12,'[1]UT-I(Entry)'!$1:$1048576,4,0))/2.5,0),VLOOKUP($A12,'[1]UT-I(Entry)'!$1:$1048576,4,0)),IFERROR(ROUND((VLOOKUP($A12,'[1]UT-I(Entry)'!$1:$1048576,4,0))/2,0),VLOOKUP($A12,'[1]UT-I(Entry)'!$1:$1048576,4,0)))</f>
        <v>AB</v>
      </c>
      <c r="E12" s="2" t="str">
        <f>IFERROR(ROUND((VLOOKUP(A12,'[1]UT-I(Entry)'!$1:$1048576,5,0))/2,0),VLOOKUP(A12,'[1]UT-I(Entry)'!$1:$1048576,5,0))</f>
        <v>AB</v>
      </c>
      <c r="F12" s="2" t="str">
        <f>IFERROR(ROUND((VLOOKUP(A12,'[1]UT-I(Entry)'!$1:$1048576,6,0))/2,0),VLOOKUP(A12,'[1]UT-I(Entry)'!$1:$1048576,6,0))</f>
        <v>AB</v>
      </c>
      <c r="G12" s="2" t="str">
        <f>IFERROR(ROUND((VLOOKUP($A12,'[1]UT-I(Entry)'!$1:$1048576,7,0))/2,0),VLOOKUP($A12,'[1]UT-I(Entry)'!$1:$1048576,7,0))</f>
        <v>AB</v>
      </c>
      <c r="H12" s="2" t="str">
        <f>IFERROR(ROUND((VLOOKUP($A12,'[1]UT-I(Entry)'!$1:$1048576,8,0))/1.75,0),VLOOKUP($A12,'[1]UT-I(Entry)'!$1:$1048576,8,0))</f>
        <v>AB</v>
      </c>
      <c r="I12" s="3">
        <f t="shared" si="0"/>
        <v>0</v>
      </c>
      <c r="J12" s="3" t="str">
        <f t="shared" si="1"/>
        <v>0 %</v>
      </c>
      <c r="K12" s="6">
        <f>VLOOKUP(A12,'[1]UT-I(Entry)'!$1:$1048576,9,0)</f>
        <v>21</v>
      </c>
      <c r="L12" s="6">
        <f>VLOOKUP(A12,'[1]UT-I(Entry)'!$1:$1048576,10,0)</f>
        <v>71</v>
      </c>
      <c r="M12" s="3"/>
      <c r="N12" s="6"/>
    </row>
    <row r="15" spans="1:14" x14ac:dyDescent="0.3">
      <c r="A15" s="17" t="s">
        <v>20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ht="14.4" customHeight="1" x14ac:dyDescent="0.3">
      <c r="A16" s="28" t="s">
        <v>1</v>
      </c>
      <c r="B16" s="28" t="s">
        <v>2</v>
      </c>
      <c r="C16" s="24" t="s">
        <v>3</v>
      </c>
      <c r="D16" s="24" t="s">
        <v>4</v>
      </c>
      <c r="E16" s="22" t="s">
        <v>21</v>
      </c>
      <c r="F16" s="22" t="s">
        <v>22</v>
      </c>
      <c r="G16" s="22" t="s">
        <v>23</v>
      </c>
      <c r="H16" s="22" t="s">
        <v>8</v>
      </c>
      <c r="I16" s="24" t="s">
        <v>9</v>
      </c>
      <c r="J16" s="22" t="s">
        <v>10</v>
      </c>
      <c r="K16" s="26" t="s">
        <v>11</v>
      </c>
      <c r="L16" s="27"/>
      <c r="M16" s="19" t="s">
        <v>12</v>
      </c>
      <c r="N16" s="19" t="s">
        <v>13</v>
      </c>
    </row>
    <row r="17" spans="1:14" x14ac:dyDescent="0.3">
      <c r="A17" s="29"/>
      <c r="B17" s="29"/>
      <c r="C17" s="25"/>
      <c r="D17" s="25"/>
      <c r="E17" s="23"/>
      <c r="F17" s="23"/>
      <c r="G17" s="23"/>
      <c r="H17" s="23"/>
      <c r="I17" s="25"/>
      <c r="J17" s="23"/>
      <c r="K17" s="1" t="s">
        <v>14</v>
      </c>
      <c r="L17" s="1" t="s">
        <v>15</v>
      </c>
      <c r="M17" s="20"/>
      <c r="N17" s="20"/>
    </row>
    <row r="18" spans="1:14" x14ac:dyDescent="0.3">
      <c r="A18" s="2">
        <v>1925</v>
      </c>
      <c r="B18" s="2" t="s">
        <v>24</v>
      </c>
      <c r="C18" s="2">
        <v>5</v>
      </c>
      <c r="D18" s="2" t="s">
        <v>16</v>
      </c>
      <c r="E18" s="2" t="s">
        <v>16</v>
      </c>
      <c r="F18" s="2" t="s">
        <v>16</v>
      </c>
      <c r="G18" s="2">
        <v>6</v>
      </c>
      <c r="H18" s="2" t="s">
        <v>16</v>
      </c>
      <c r="I18" s="3">
        <v>11</v>
      </c>
      <c r="J18" s="3" t="s">
        <v>25</v>
      </c>
      <c r="K18" s="2">
        <v>11</v>
      </c>
      <c r="L18" s="2">
        <v>22</v>
      </c>
      <c r="M18" s="3"/>
      <c r="N18" s="2"/>
    </row>
    <row r="19" spans="1:14" x14ac:dyDescent="0.3">
      <c r="A19" s="2">
        <v>1918</v>
      </c>
      <c r="B19" s="2" t="s">
        <v>26</v>
      </c>
      <c r="C19" s="2">
        <v>15</v>
      </c>
      <c r="D19" s="2">
        <v>19</v>
      </c>
      <c r="E19" s="2" t="s">
        <v>16</v>
      </c>
      <c r="F19" s="2">
        <v>14</v>
      </c>
      <c r="G19" s="2">
        <v>12</v>
      </c>
      <c r="H19" s="2">
        <v>13</v>
      </c>
      <c r="I19" s="3">
        <v>75</v>
      </c>
      <c r="J19" s="7">
        <v>0.60829999999999995</v>
      </c>
      <c r="K19" s="2">
        <v>25</v>
      </c>
      <c r="L19" s="2">
        <v>33</v>
      </c>
      <c r="M19" s="3" t="s">
        <v>18</v>
      </c>
      <c r="N19" s="2"/>
    </row>
    <row r="23" spans="1:14" x14ac:dyDescent="0.3">
      <c r="A23" s="21" t="s">
        <v>27</v>
      </c>
      <c r="B23" s="21"/>
      <c r="C23" s="21"/>
      <c r="D23" s="21"/>
      <c r="E23" s="4"/>
      <c r="F23" s="4"/>
      <c r="G23" s="4"/>
      <c r="H23" s="4"/>
      <c r="I23" s="4"/>
      <c r="J23" s="21" t="s">
        <v>28</v>
      </c>
      <c r="K23" s="21"/>
      <c r="L23" s="21"/>
      <c r="M23" s="21"/>
    </row>
  </sheetData>
  <mergeCells count="30"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L2"/>
    <mergeCell ref="M2:M3"/>
    <mergeCell ref="N2:N3"/>
    <mergeCell ref="A15:N15"/>
    <mergeCell ref="M16:M17"/>
    <mergeCell ref="N16:N17"/>
    <mergeCell ref="A23:D23"/>
    <mergeCell ref="J23:M23"/>
    <mergeCell ref="F16:F17"/>
    <mergeCell ref="G16:G17"/>
    <mergeCell ref="H16:H17"/>
    <mergeCell ref="I16:I17"/>
    <mergeCell ref="J16:J17"/>
    <mergeCell ref="K16:L16"/>
    <mergeCell ref="A16:A17"/>
    <mergeCell ref="B16:B17"/>
    <mergeCell ref="C16:C17"/>
    <mergeCell ref="D16:D17"/>
    <mergeCell ref="E16:E17"/>
  </mergeCells>
  <pageMargins left="0.4" right="0.2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85CE-96CA-462E-972D-214424DCDB45}">
  <sheetPr>
    <pageSetUpPr fitToPage="1"/>
  </sheetPr>
  <dimension ref="A1:S21"/>
  <sheetViews>
    <sheetView tabSelected="1" workbookViewId="0">
      <selection activeCell="D2" sqref="D2"/>
    </sheetView>
  </sheetViews>
  <sheetFormatPr defaultRowHeight="14.4" x14ac:dyDescent="0.3"/>
  <cols>
    <col min="2" max="2" width="16.44140625" bestFit="1" customWidth="1"/>
    <col min="3" max="8" width="14.5546875" customWidth="1"/>
    <col min="9" max="12" width="0" hidden="1" customWidth="1"/>
    <col min="13" max="13" width="1.6640625" hidden="1" customWidth="1"/>
    <col min="14" max="14" width="10.21875" customWidth="1"/>
    <col min="15" max="15" width="10.77734375" customWidth="1"/>
    <col min="19" max="19" width="13.109375" customWidth="1"/>
  </cols>
  <sheetData>
    <row r="1" spans="1:19" x14ac:dyDescent="0.3">
      <c r="A1" s="35" t="s">
        <v>29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ht="39.6" customHeight="1" x14ac:dyDescent="0.3">
      <c r="A2" s="8" t="s">
        <v>1</v>
      </c>
      <c r="B2" s="8" t="s">
        <v>2</v>
      </c>
      <c r="C2" s="9" t="s">
        <v>39</v>
      </c>
      <c r="D2" s="9" t="s">
        <v>54</v>
      </c>
      <c r="E2" s="8" t="s">
        <v>40</v>
      </c>
      <c r="F2" s="8" t="s">
        <v>41</v>
      </c>
      <c r="G2" s="8" t="s">
        <v>42</v>
      </c>
      <c r="H2" s="9" t="s">
        <v>43</v>
      </c>
      <c r="I2" s="8" t="s">
        <v>30</v>
      </c>
      <c r="J2" s="8" t="s">
        <v>31</v>
      </c>
      <c r="K2" s="8" t="s">
        <v>32</v>
      </c>
      <c r="L2" s="8" t="s">
        <v>33</v>
      </c>
      <c r="M2" s="10" t="s">
        <v>34</v>
      </c>
      <c r="N2" s="10" t="s">
        <v>44</v>
      </c>
      <c r="O2" s="10" t="s">
        <v>35</v>
      </c>
      <c r="P2" s="10" t="s">
        <v>36</v>
      </c>
      <c r="Q2" s="10" t="s">
        <v>37</v>
      </c>
      <c r="R2" s="10" t="s">
        <v>12</v>
      </c>
      <c r="S2" s="10" t="s">
        <v>38</v>
      </c>
    </row>
    <row r="3" spans="1:19" x14ac:dyDescent="0.3">
      <c r="A3" s="5">
        <f>[1]DETAILS!A3</f>
        <v>688</v>
      </c>
      <c r="B3" s="6" t="str">
        <f>[1]DETAILS!B3</f>
        <v>AMINUDDIN</v>
      </c>
      <c r="C3" s="2">
        <f>VLOOKUP($A3,'[1]HALF YEARLY(Entry)'!$1:$1048576,3,0)</f>
        <v>11</v>
      </c>
      <c r="D3" s="2">
        <f>VLOOKUP($A3,'[1]HALF YEARLY(Entry)'!$1:$1048576,4,0)</f>
        <v>34</v>
      </c>
      <c r="E3" s="2">
        <f>VLOOKUP($A3,'[1]HALF YEARLY(Entry)'!$1:$1048576,5,0)</f>
        <v>9</v>
      </c>
      <c r="F3" s="2">
        <f>VLOOKUP($A3,'[1]HALF YEARLY(Entry)'!$1:$1048576,6,0)</f>
        <v>20</v>
      </c>
      <c r="G3" s="2">
        <f>VLOOKUP($A3,'[1]HALF YEARLY(Entry)'!$1:$1048576,7,0)</f>
        <v>15</v>
      </c>
      <c r="H3" s="2">
        <f>VLOOKUP($A3,'[1]HALF YEARLY(Entry)'!$1:$1048576,8,0)</f>
        <v>23</v>
      </c>
      <c r="I3" s="2">
        <f>VLOOKUP($A3,'[1]HALF YEARLY(Entry)'!$1:$1048576,9,0)</f>
        <v>0</v>
      </c>
      <c r="J3" s="2">
        <f>VLOOKUP($A3,'[1]HALF YEARLY(Entry)'!$1:$1048576,10,0)</f>
        <v>0</v>
      </c>
      <c r="K3" s="2">
        <f>VLOOKUP($A3,'[1]HALF YEARLY(Entry)'!$1:$1048576,11,0)</f>
        <v>0</v>
      </c>
      <c r="L3" s="2">
        <f>VLOOKUP($A3,'[1]HALF YEARLY(Entry)'!$1:$1048576,12,0)</f>
        <v>0</v>
      </c>
      <c r="M3" s="11">
        <f>VLOOKUP($A3,'[1]HALF YEARLY(Entry)'!$1:$1048576,15,0)</f>
        <v>0</v>
      </c>
      <c r="N3" s="3">
        <f>SUM(C3:H3)</f>
        <v>112</v>
      </c>
      <c r="O3" s="3" t="str">
        <f>IF(VLOOKUP($A3,[1]DETAILS!$1:$1048576,8,0)=[1]DETAILS!$K$3,ROUND($N3/4.6,2),ROUND($N3/4.7,2))&amp;" %"</f>
        <v>23.83 %</v>
      </c>
      <c r="P3" s="2">
        <f>VLOOKUP($A3,'[1]HALF YEARLY(Entry)'!$1:$1048576,13,0)</f>
        <v>95</v>
      </c>
      <c r="Q3" s="2">
        <f>VLOOKUP($A3,'[1]HALF YEARLY(Entry)'!$1:$1048576,14,0)</f>
        <v>128</v>
      </c>
      <c r="R3" s="3" t="str">
        <f>VLOOKUP($A3,'[1]HALF YEARLY(Entry)'!$1:$1048576,18,0)</f>
        <v xml:space="preserve"> </v>
      </c>
      <c r="S3" s="6"/>
    </row>
    <row r="4" spans="1:19" x14ac:dyDescent="0.3">
      <c r="A4" s="5">
        <f>[1]DETAILS!A4</f>
        <v>1011</v>
      </c>
      <c r="B4" s="6" t="str">
        <f>[1]DETAILS!B4</f>
        <v>ARPIT VERMA</v>
      </c>
      <c r="C4" s="2" t="str">
        <f>VLOOKUP($A4,'[1]HALF YEARLY(Entry)'!$1:$1048576,3,0)</f>
        <v>Ab</v>
      </c>
      <c r="D4" s="2" t="str">
        <f>VLOOKUP($A4,'[1]HALF YEARLY(Entry)'!$1:$1048576,4,0)</f>
        <v>Ab</v>
      </c>
      <c r="E4" s="2" t="str">
        <f>VLOOKUP($A4,'[1]HALF YEARLY(Entry)'!$1:$1048576,5,0)</f>
        <v>Ab</v>
      </c>
      <c r="F4" s="2" t="str">
        <f>VLOOKUP($A4,'[1]HALF YEARLY(Entry)'!$1:$1048576,6,0)</f>
        <v>Ab</v>
      </c>
      <c r="G4" s="2">
        <f>VLOOKUP($A4,'[1]HALF YEARLY(Entry)'!$1:$1048576,7,0)</f>
        <v>18</v>
      </c>
      <c r="H4" s="2" t="str">
        <f>VLOOKUP($A4,'[1]HALF YEARLY(Entry)'!$1:$1048576,8,0)</f>
        <v>Ab</v>
      </c>
      <c r="I4" s="2">
        <f>VLOOKUP($A4,'[1]HALF YEARLY(Entry)'!$1:$1048576,9,0)</f>
        <v>0</v>
      </c>
      <c r="J4" s="2">
        <f>VLOOKUP($A4,'[1]HALF YEARLY(Entry)'!$1:$1048576,10,0)</f>
        <v>0</v>
      </c>
      <c r="K4" s="2">
        <f>VLOOKUP($A4,'[1]HALF YEARLY(Entry)'!$1:$1048576,11,0)</f>
        <v>0</v>
      </c>
      <c r="L4" s="2">
        <f>VLOOKUP($A4,'[1]HALF YEARLY(Entry)'!$1:$1048576,12,0)</f>
        <v>0</v>
      </c>
      <c r="M4" s="11">
        <f>VLOOKUP($A4,'[1]HALF YEARLY(Entry)'!$1:$1048576,15,0)</f>
        <v>0</v>
      </c>
      <c r="N4" s="3">
        <f t="shared" ref="N4:N11" si="0">SUM(C4:H4)</f>
        <v>18</v>
      </c>
      <c r="O4" s="3" t="str">
        <f>IF(VLOOKUP($A4,[1]DETAILS!$1:$1048576,8,0)=[1]DETAILS!$K$3,ROUND($N4/4.6,2),ROUND($N4/4.7,2))&amp;" %"</f>
        <v>3.91 %</v>
      </c>
      <c r="P4" s="2">
        <f>VLOOKUP($A4,'[1]HALF YEARLY(Entry)'!$1:$1048576,13,0)</f>
        <v>60</v>
      </c>
      <c r="Q4" s="2">
        <f>VLOOKUP($A4,'[1]HALF YEARLY(Entry)'!$1:$1048576,14,0)</f>
        <v>128</v>
      </c>
      <c r="R4" s="3" t="str">
        <f>VLOOKUP($A4,'[1]HALF YEARLY(Entry)'!$1:$1048576,18,0)</f>
        <v xml:space="preserve"> </v>
      </c>
      <c r="S4" s="6"/>
    </row>
    <row r="5" spans="1:19" x14ac:dyDescent="0.3">
      <c r="A5" s="5">
        <f>[1]DETAILS!A5</f>
        <v>692</v>
      </c>
      <c r="B5" s="6" t="str">
        <f>[1]DETAILS!B5</f>
        <v>ATUL VERMA</v>
      </c>
      <c r="C5" s="2">
        <f>VLOOKUP($A5,'[1]HALF YEARLY(Entry)'!$1:$1048576,3,0)</f>
        <v>24</v>
      </c>
      <c r="D5" s="2">
        <f>VLOOKUP($A5,'[1]HALF YEARLY(Entry)'!$1:$1048576,4,0)</f>
        <v>39</v>
      </c>
      <c r="E5" s="2">
        <f>VLOOKUP($A5,'[1]HALF YEARLY(Entry)'!$1:$1048576,5,0)</f>
        <v>53</v>
      </c>
      <c r="F5" s="2">
        <f>VLOOKUP($A5,'[1]HALF YEARLY(Entry)'!$1:$1048576,6,0)</f>
        <v>64</v>
      </c>
      <c r="G5" s="2">
        <f>VLOOKUP($A5,'[1]HALF YEARLY(Entry)'!$1:$1048576,7,0)</f>
        <v>50</v>
      </c>
      <c r="H5" s="2">
        <f>VLOOKUP($A5,'[1]HALF YEARLY(Entry)'!$1:$1048576,8,0)</f>
        <v>43</v>
      </c>
      <c r="I5" s="2">
        <f>VLOOKUP($A5,'[1]HALF YEARLY(Entry)'!$1:$1048576,9,0)</f>
        <v>0</v>
      </c>
      <c r="J5" s="2">
        <f>VLOOKUP($A5,'[1]HALF YEARLY(Entry)'!$1:$1048576,10,0)</f>
        <v>0</v>
      </c>
      <c r="K5" s="2">
        <f>VLOOKUP($A5,'[1]HALF YEARLY(Entry)'!$1:$1048576,11,0)</f>
        <v>0</v>
      </c>
      <c r="L5" s="2">
        <f>VLOOKUP($A5,'[1]HALF YEARLY(Entry)'!$1:$1048576,12,0)</f>
        <v>0</v>
      </c>
      <c r="M5" s="11">
        <f>VLOOKUP($A5,'[1]HALF YEARLY(Entry)'!$1:$1048576,15,0)</f>
        <v>0</v>
      </c>
      <c r="N5" s="3">
        <f t="shared" si="0"/>
        <v>273</v>
      </c>
      <c r="O5" s="3" t="str">
        <f>IF(VLOOKUP($A5,[1]DETAILS!$1:$1048576,8,0)=[1]DETAILS!$K$3,ROUND($N5/4.6,2),ROUND($N5/4.7,2))&amp;" %"</f>
        <v>59.35 %</v>
      </c>
      <c r="P5" s="2">
        <f>VLOOKUP($A5,'[1]HALF YEARLY(Entry)'!$1:$1048576,13,0)</f>
        <v>116</v>
      </c>
      <c r="Q5" s="2">
        <f>VLOOKUP($A5,'[1]HALF YEARLY(Entry)'!$1:$1048576,14,0)</f>
        <v>128</v>
      </c>
      <c r="R5" s="3" t="str">
        <f>VLOOKUP($A5,'[1]HALF YEARLY(Entry)'!$1:$1048576,18,0)</f>
        <v xml:space="preserve"> </v>
      </c>
      <c r="S5" s="6"/>
    </row>
    <row r="6" spans="1:19" x14ac:dyDescent="0.3">
      <c r="A6" s="5">
        <f>[1]DETAILS!A6</f>
        <v>1931</v>
      </c>
      <c r="B6" s="6" t="str">
        <f>[1]DETAILS!B6</f>
        <v>GAURAV GAUTAM</v>
      </c>
      <c r="C6" s="2">
        <f>VLOOKUP($A6,'[1]HALF YEARLY(Entry)'!$1:$1048576,3,0)</f>
        <v>60</v>
      </c>
      <c r="D6" s="2">
        <f>VLOOKUP($A6,'[1]HALF YEARLY(Entry)'!$1:$1048576,4,0)</f>
        <v>69</v>
      </c>
      <c r="E6" s="2">
        <f>VLOOKUP($A6,'[1]HALF YEARLY(Entry)'!$1:$1048576,5,0)</f>
        <v>61</v>
      </c>
      <c r="F6" s="2">
        <f>VLOOKUP($A6,'[1]HALF YEARLY(Entry)'!$1:$1048576,6,0)</f>
        <v>66</v>
      </c>
      <c r="G6" s="2">
        <f>VLOOKUP($A6,'[1]HALF YEARLY(Entry)'!$1:$1048576,7,0)</f>
        <v>63</v>
      </c>
      <c r="H6" s="2">
        <f>VLOOKUP($A6,'[1]HALF YEARLY(Entry)'!$1:$1048576,8,0)</f>
        <v>62</v>
      </c>
      <c r="I6" s="2">
        <f>VLOOKUP($A6,'[1]HALF YEARLY(Entry)'!$1:$1048576,9,0)</f>
        <v>0</v>
      </c>
      <c r="J6" s="2">
        <f>VLOOKUP($A6,'[1]HALF YEARLY(Entry)'!$1:$1048576,10,0)</f>
        <v>0</v>
      </c>
      <c r="K6" s="2">
        <f>VLOOKUP($A6,'[1]HALF YEARLY(Entry)'!$1:$1048576,11,0)</f>
        <v>0</v>
      </c>
      <c r="L6" s="2">
        <f>VLOOKUP($A6,'[1]HALF YEARLY(Entry)'!$1:$1048576,12,0)</f>
        <v>0</v>
      </c>
      <c r="M6" s="11">
        <f>VLOOKUP($A6,'[1]HALF YEARLY(Entry)'!$1:$1048576,15,0)</f>
        <v>0</v>
      </c>
      <c r="N6" s="3">
        <f t="shared" si="0"/>
        <v>381</v>
      </c>
      <c r="O6" s="3" t="str">
        <f>IF(VLOOKUP($A6,[1]DETAILS!$1:$1048576,8,0)=[1]DETAILS!$K$3,ROUND($N6/4.6,2),ROUND($N6/4.7,2))&amp;" %"</f>
        <v>81.06 %</v>
      </c>
      <c r="P6" s="2">
        <f>VLOOKUP($A6,'[1]HALF YEARLY(Entry)'!$1:$1048576,13,0)</f>
        <v>57</v>
      </c>
      <c r="Q6" s="2">
        <f>VLOOKUP($A6,'[1]HALF YEARLY(Entry)'!$1:$1048576,14,0)</f>
        <v>75</v>
      </c>
      <c r="R6" s="3" t="str">
        <f>VLOOKUP($A6,'[1]HALF YEARLY(Entry)'!$1:$1048576,18,0)</f>
        <v>I</v>
      </c>
      <c r="S6" s="6"/>
    </row>
    <row r="7" spans="1:19" x14ac:dyDescent="0.3">
      <c r="A7" s="5">
        <f>[1]DETAILS!A7</f>
        <v>1509</v>
      </c>
      <c r="B7" s="6" t="str">
        <f>[1]DETAILS!B7</f>
        <v>HIMANSHU</v>
      </c>
      <c r="C7" s="2">
        <f>VLOOKUP($A7,'[1]HALF YEARLY(Entry)'!$1:$1048576,3,0)</f>
        <v>48</v>
      </c>
      <c r="D7" s="2">
        <f>VLOOKUP($A7,'[1]HALF YEARLY(Entry)'!$1:$1048576,4,0)</f>
        <v>34</v>
      </c>
      <c r="E7" s="2">
        <f>VLOOKUP($A7,'[1]HALF YEARLY(Entry)'!$1:$1048576,5,0)</f>
        <v>42</v>
      </c>
      <c r="F7" s="2">
        <f>VLOOKUP($A7,'[1]HALF YEARLY(Entry)'!$1:$1048576,6,0)</f>
        <v>50</v>
      </c>
      <c r="G7" s="2">
        <f>VLOOKUP($A7,'[1]HALF YEARLY(Entry)'!$1:$1048576,7,0)</f>
        <v>28</v>
      </c>
      <c r="H7" s="2">
        <f>VLOOKUP($A7,'[1]HALF YEARLY(Entry)'!$1:$1048576,8,0)</f>
        <v>42</v>
      </c>
      <c r="I7" s="2">
        <f>VLOOKUP($A7,'[1]HALF YEARLY(Entry)'!$1:$1048576,9,0)</f>
        <v>0</v>
      </c>
      <c r="J7" s="2">
        <f>VLOOKUP($A7,'[1]HALF YEARLY(Entry)'!$1:$1048576,10,0)</f>
        <v>0</v>
      </c>
      <c r="K7" s="2">
        <f>VLOOKUP($A7,'[1]HALF YEARLY(Entry)'!$1:$1048576,11,0)</f>
        <v>0</v>
      </c>
      <c r="L7" s="2">
        <f>VLOOKUP($A7,'[1]HALF YEARLY(Entry)'!$1:$1048576,12,0)</f>
        <v>0</v>
      </c>
      <c r="M7" s="11">
        <f>VLOOKUP($A7,'[1]HALF YEARLY(Entry)'!$1:$1048576,15,0)</f>
        <v>0</v>
      </c>
      <c r="N7" s="3">
        <f t="shared" si="0"/>
        <v>244</v>
      </c>
      <c r="O7" s="3" t="str">
        <f>IF(VLOOKUP($A7,[1]DETAILS!$1:$1048576,8,0)=[1]DETAILS!$K$3,ROUND($N7/4.6,2),ROUND($N7/4.7,2))&amp;" %"</f>
        <v>53.04 %</v>
      </c>
      <c r="P7" s="2">
        <f>VLOOKUP($A7,'[1]HALF YEARLY(Entry)'!$1:$1048576,13,0)</f>
        <v>91</v>
      </c>
      <c r="Q7" s="2">
        <f>VLOOKUP($A7,'[1]HALF YEARLY(Entry)'!$1:$1048576,14,0)</f>
        <v>128</v>
      </c>
      <c r="R7" s="3" t="str">
        <f>VLOOKUP($A7,'[1]HALF YEARLY(Entry)'!$1:$1048576,18,0)</f>
        <v xml:space="preserve"> </v>
      </c>
      <c r="S7" s="6"/>
    </row>
    <row r="8" spans="1:19" x14ac:dyDescent="0.3">
      <c r="A8" s="5">
        <f>[1]DETAILS!A8</f>
        <v>694</v>
      </c>
      <c r="B8" s="6" t="str">
        <f>[1]DETAILS!B8</f>
        <v>JYOTIRADITYA DAS</v>
      </c>
      <c r="C8" s="2">
        <f>VLOOKUP($A8,'[1]HALF YEARLY(Entry)'!$1:$1048576,3,0)</f>
        <v>27</v>
      </c>
      <c r="D8" s="2">
        <f>VLOOKUP($A8,'[1]HALF YEARLY(Entry)'!$1:$1048576,4,0)</f>
        <v>46</v>
      </c>
      <c r="E8" s="2">
        <f>VLOOKUP($A8,'[1]HALF YEARLY(Entry)'!$1:$1048576,5,0)</f>
        <v>31</v>
      </c>
      <c r="F8" s="2">
        <f>VLOOKUP($A8,'[1]HALF YEARLY(Entry)'!$1:$1048576,6,0)</f>
        <v>37</v>
      </c>
      <c r="G8" s="2">
        <f>VLOOKUP($A8,'[1]HALF YEARLY(Entry)'!$1:$1048576,7,0)</f>
        <v>31</v>
      </c>
      <c r="H8" s="2">
        <f>VLOOKUP($A8,'[1]HALF YEARLY(Entry)'!$1:$1048576,8,0)</f>
        <v>29</v>
      </c>
      <c r="I8" s="2">
        <f>VLOOKUP($A8,'[1]HALF YEARLY(Entry)'!$1:$1048576,9,0)</f>
        <v>0</v>
      </c>
      <c r="J8" s="2">
        <f>VLOOKUP($A8,'[1]HALF YEARLY(Entry)'!$1:$1048576,10,0)</f>
        <v>0</v>
      </c>
      <c r="K8" s="2">
        <f>VLOOKUP($A8,'[1]HALF YEARLY(Entry)'!$1:$1048576,11,0)</f>
        <v>0</v>
      </c>
      <c r="L8" s="2">
        <f>VLOOKUP($A8,'[1]HALF YEARLY(Entry)'!$1:$1048576,12,0)</f>
        <v>0</v>
      </c>
      <c r="M8" s="11">
        <f>VLOOKUP($A8,'[1]HALF YEARLY(Entry)'!$1:$1048576,15,0)</f>
        <v>0</v>
      </c>
      <c r="N8" s="3">
        <f t="shared" si="0"/>
        <v>201</v>
      </c>
      <c r="O8" s="3" t="str">
        <f>IF(VLOOKUP($A8,[1]DETAILS!$1:$1048576,8,0)=[1]DETAILS!$K$3,ROUND($N8/4.6,2),ROUND($N8/4.7,2))&amp;" %"</f>
        <v>42.77 %</v>
      </c>
      <c r="P8" s="2">
        <f>VLOOKUP($A8,'[1]HALF YEARLY(Entry)'!$1:$1048576,13,0)</f>
        <v>69</v>
      </c>
      <c r="Q8" s="2">
        <f>VLOOKUP($A8,'[1]HALF YEARLY(Entry)'!$1:$1048576,14,0)</f>
        <v>128</v>
      </c>
      <c r="R8" s="3" t="str">
        <f>VLOOKUP($A8,'[1]HALF YEARLY(Entry)'!$1:$1048576,18,0)</f>
        <v xml:space="preserve"> </v>
      </c>
      <c r="S8" s="6"/>
    </row>
    <row r="9" spans="1:19" x14ac:dyDescent="0.3">
      <c r="A9" s="5">
        <f>[1]DETAILS!A9</f>
        <v>1873</v>
      </c>
      <c r="B9" s="6" t="str">
        <f>[1]DETAILS!B9</f>
        <v>MASIRA AKHTAR</v>
      </c>
      <c r="C9" s="2">
        <f>VLOOKUP($A9,'[1]HALF YEARLY(Entry)'!$1:$1048576,3,0)</f>
        <v>54</v>
      </c>
      <c r="D9" s="2">
        <f>VLOOKUP($A9,'[1]HALF YEARLY(Entry)'!$1:$1048576,4,0)</f>
        <v>43</v>
      </c>
      <c r="E9" s="2">
        <f>VLOOKUP($A9,'[1]HALF YEARLY(Entry)'!$1:$1048576,5,0)</f>
        <v>55</v>
      </c>
      <c r="F9" s="2">
        <f>VLOOKUP($A9,'[1]HALF YEARLY(Entry)'!$1:$1048576,6,0)</f>
        <v>56</v>
      </c>
      <c r="G9" s="2">
        <f>VLOOKUP($A9,'[1]HALF YEARLY(Entry)'!$1:$1048576,7,0)</f>
        <v>45</v>
      </c>
      <c r="H9" s="2">
        <f>VLOOKUP($A9,'[1]HALF YEARLY(Entry)'!$1:$1048576,8,0)</f>
        <v>54</v>
      </c>
      <c r="I9" s="2">
        <f>VLOOKUP($A9,'[1]HALF YEARLY(Entry)'!$1:$1048576,9,0)</f>
        <v>0</v>
      </c>
      <c r="J9" s="2">
        <f>VLOOKUP($A9,'[1]HALF YEARLY(Entry)'!$1:$1048576,10,0)</f>
        <v>0</v>
      </c>
      <c r="K9" s="2">
        <f>VLOOKUP($A9,'[1]HALF YEARLY(Entry)'!$1:$1048576,11,0)</f>
        <v>0</v>
      </c>
      <c r="L9" s="2">
        <f>VLOOKUP($A9,'[1]HALF YEARLY(Entry)'!$1:$1048576,12,0)</f>
        <v>0</v>
      </c>
      <c r="M9" s="11">
        <f>VLOOKUP($A9,'[1]HALF YEARLY(Entry)'!$1:$1048576,15,0)</f>
        <v>0</v>
      </c>
      <c r="N9" s="3">
        <f t="shared" si="0"/>
        <v>307</v>
      </c>
      <c r="O9" s="3" t="str">
        <f>IF(VLOOKUP($A9,[1]DETAILS!$1:$1048576,8,0)=[1]DETAILS!$K$3,ROUND($N9/4.6,2),ROUND($N9/4.7,2))&amp;" %"</f>
        <v>66.74 %</v>
      </c>
      <c r="P9" s="2">
        <f>VLOOKUP($A9,'[1]HALF YEARLY(Entry)'!$1:$1048576,13,0)</f>
        <v>86</v>
      </c>
      <c r="Q9" s="2">
        <f>VLOOKUP($A9,'[1]HALF YEARLY(Entry)'!$1:$1048576,14,0)</f>
        <v>112</v>
      </c>
      <c r="R9" s="3" t="str">
        <f>VLOOKUP($A9,'[1]HALF YEARLY(Entry)'!$1:$1048576,18,0)</f>
        <v>II</v>
      </c>
      <c r="S9" s="6"/>
    </row>
    <row r="10" spans="1:19" x14ac:dyDescent="0.3">
      <c r="A10" s="5">
        <f>[1]DETAILS!A10</f>
        <v>1491</v>
      </c>
      <c r="B10" s="6" t="str">
        <f>[1]DETAILS!B10</f>
        <v>SIDDHARTH</v>
      </c>
      <c r="C10" s="2">
        <f>VLOOKUP($A10,'[1]HALF YEARLY(Entry)'!$1:$1048576,3,0)</f>
        <v>27</v>
      </c>
      <c r="D10" s="2">
        <f>VLOOKUP($A10,'[1]HALF YEARLY(Entry)'!$1:$1048576,4,0)</f>
        <v>25</v>
      </c>
      <c r="E10" s="2">
        <f>VLOOKUP($A10,'[1]HALF YEARLY(Entry)'!$1:$1048576,5,0)</f>
        <v>42</v>
      </c>
      <c r="F10" s="2">
        <f>VLOOKUP($A10,'[1]HALF YEARLY(Entry)'!$1:$1048576,6,0)</f>
        <v>58</v>
      </c>
      <c r="G10" s="2">
        <f>VLOOKUP($A10,'[1]HALF YEARLY(Entry)'!$1:$1048576,7,0)</f>
        <v>36</v>
      </c>
      <c r="H10" s="2">
        <f>VLOOKUP($A10,'[1]HALF YEARLY(Entry)'!$1:$1048576,8,0)</f>
        <v>50</v>
      </c>
      <c r="I10" s="2">
        <f>VLOOKUP($A10,'[1]HALF YEARLY(Entry)'!$1:$1048576,9,0)</f>
        <v>0</v>
      </c>
      <c r="J10" s="2">
        <f>VLOOKUP($A10,'[1]HALF YEARLY(Entry)'!$1:$1048576,10,0)</f>
        <v>0</v>
      </c>
      <c r="K10" s="2">
        <f>VLOOKUP($A10,'[1]HALF YEARLY(Entry)'!$1:$1048576,11,0)</f>
        <v>0</v>
      </c>
      <c r="L10" s="2">
        <f>VLOOKUP($A10,'[1]HALF YEARLY(Entry)'!$1:$1048576,12,0)</f>
        <v>0</v>
      </c>
      <c r="M10" s="11">
        <f>VLOOKUP($A10,'[1]HALF YEARLY(Entry)'!$1:$1048576,15,0)</f>
        <v>0</v>
      </c>
      <c r="N10" s="3">
        <f t="shared" si="0"/>
        <v>238</v>
      </c>
      <c r="O10" s="3" t="str">
        <f>IF(VLOOKUP($A10,[1]DETAILS!$1:$1048576,8,0)=[1]DETAILS!$K$3,ROUND($N10/4.6,2),ROUND($N10/4.7,2))&amp;" %"</f>
        <v>51.74 %</v>
      </c>
      <c r="P10" s="2">
        <f>VLOOKUP($A10,'[1]HALF YEARLY(Entry)'!$1:$1048576,13,0)</f>
        <v>93</v>
      </c>
      <c r="Q10" s="2">
        <f>VLOOKUP($A10,'[1]HALF YEARLY(Entry)'!$1:$1048576,14,0)</f>
        <v>128</v>
      </c>
      <c r="R10" s="3" t="str">
        <f>VLOOKUP($A10,'[1]HALF YEARLY(Entry)'!$1:$1048576,18,0)</f>
        <v xml:space="preserve"> </v>
      </c>
      <c r="S10" s="6"/>
    </row>
    <row r="11" spans="1:19" x14ac:dyDescent="0.3">
      <c r="A11" s="5">
        <f>[1]DETAILS!A11</f>
        <v>701</v>
      </c>
      <c r="B11" s="6" t="str">
        <f>[1]DETAILS!B11</f>
        <v>YASH SONI</v>
      </c>
      <c r="C11" s="2">
        <f>VLOOKUP($A11,'[1]HALF YEARLY(Entry)'!$1:$1048576,3,0)</f>
        <v>19</v>
      </c>
      <c r="D11" s="2">
        <f>VLOOKUP($A11,'[1]HALF YEARLY(Entry)'!$1:$1048576,4,0)</f>
        <v>33</v>
      </c>
      <c r="E11" s="2">
        <f>VLOOKUP($A11,'[1]HALF YEARLY(Entry)'!$1:$1048576,5,0)</f>
        <v>21</v>
      </c>
      <c r="F11" s="2">
        <f>VLOOKUP($A11,'[1]HALF YEARLY(Entry)'!$1:$1048576,6,0)</f>
        <v>27</v>
      </c>
      <c r="G11" s="2">
        <f>VLOOKUP($A11,'[1]HALF YEARLY(Entry)'!$1:$1048576,7,0)</f>
        <v>19</v>
      </c>
      <c r="H11" s="2">
        <f>VLOOKUP($A11,'[1]HALF YEARLY(Entry)'!$1:$1048576,8,0)</f>
        <v>32</v>
      </c>
      <c r="I11" s="2">
        <f>VLOOKUP($A11,'[1]HALF YEARLY(Entry)'!$1:$1048576,9,0)</f>
        <v>0</v>
      </c>
      <c r="J11" s="2">
        <f>VLOOKUP($A11,'[1]HALF YEARLY(Entry)'!$1:$1048576,10,0)</f>
        <v>0</v>
      </c>
      <c r="K11" s="2">
        <f>VLOOKUP($A11,'[1]HALF YEARLY(Entry)'!$1:$1048576,11,0)</f>
        <v>0</v>
      </c>
      <c r="L11" s="2">
        <f>VLOOKUP($A11,'[1]HALF YEARLY(Entry)'!$1:$1048576,12,0)</f>
        <v>0</v>
      </c>
      <c r="M11" s="11">
        <f>VLOOKUP($A11,'[1]HALF YEARLY(Entry)'!$1:$1048576,15,0)</f>
        <v>0</v>
      </c>
      <c r="N11" s="3">
        <f t="shared" si="0"/>
        <v>151</v>
      </c>
      <c r="O11" s="3" t="str">
        <f>IF(VLOOKUP($A11,[1]DETAILS!$1:$1048576,8,0)=[1]DETAILS!$K$3,ROUND($N11/4.6,2),ROUND($N11/4.7,2))&amp;" %"</f>
        <v>32.13 %</v>
      </c>
      <c r="P11" s="2">
        <f>VLOOKUP($A11,'[1]HALF YEARLY(Entry)'!$1:$1048576,13,0)</f>
        <v>71</v>
      </c>
      <c r="Q11" s="2">
        <f>VLOOKUP($A11,'[1]HALF YEARLY(Entry)'!$1:$1048576,14,0)</f>
        <v>128</v>
      </c>
      <c r="R11" s="3" t="str">
        <f>VLOOKUP($A11,'[1]HALF YEARLY(Entry)'!$1:$1048576,18,0)</f>
        <v xml:space="preserve"> </v>
      </c>
      <c r="S11" s="6"/>
    </row>
    <row r="14" spans="1:19" x14ac:dyDescent="0.3">
      <c r="A14" s="35" t="s">
        <v>45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</row>
    <row r="15" spans="1:19" ht="43.2" x14ac:dyDescent="0.3">
      <c r="A15" s="8" t="s">
        <v>1</v>
      </c>
      <c r="B15" s="8" t="s">
        <v>2</v>
      </c>
      <c r="C15" s="8" t="s">
        <v>47</v>
      </c>
      <c r="D15" s="9" t="s">
        <v>52</v>
      </c>
      <c r="E15" s="8" t="s">
        <v>48</v>
      </c>
      <c r="F15" s="8" t="s">
        <v>49</v>
      </c>
      <c r="G15" s="8" t="s">
        <v>50</v>
      </c>
      <c r="H15" s="8" t="s">
        <v>51</v>
      </c>
      <c r="I15" s="8"/>
      <c r="J15" s="8"/>
      <c r="K15" s="8"/>
      <c r="L15" s="8"/>
      <c r="M15" s="10"/>
      <c r="N15" s="10" t="s">
        <v>53</v>
      </c>
      <c r="O15" s="10" t="s">
        <v>35</v>
      </c>
      <c r="P15" s="10" t="s">
        <v>36</v>
      </c>
      <c r="Q15" s="10" t="s">
        <v>37</v>
      </c>
      <c r="R15" s="10" t="s">
        <v>12</v>
      </c>
      <c r="S15" s="10" t="s">
        <v>38</v>
      </c>
    </row>
    <row r="16" spans="1:19" x14ac:dyDescent="0.3">
      <c r="A16" s="5">
        <v>1925</v>
      </c>
      <c r="B16" s="6" t="s">
        <v>24</v>
      </c>
      <c r="C16" s="12" t="s">
        <v>16</v>
      </c>
      <c r="D16" s="13">
        <v>37</v>
      </c>
      <c r="E16" s="12">
        <v>21</v>
      </c>
      <c r="F16" s="12">
        <v>10</v>
      </c>
      <c r="G16" s="14">
        <v>10</v>
      </c>
      <c r="H16" s="14" t="s">
        <v>16</v>
      </c>
      <c r="I16" s="15"/>
      <c r="J16" s="15"/>
      <c r="K16" s="15"/>
      <c r="L16" s="15"/>
      <c r="M16" s="15"/>
      <c r="N16" s="15">
        <v>78</v>
      </c>
      <c r="O16" s="16">
        <v>0.1696</v>
      </c>
      <c r="P16" s="15">
        <v>46</v>
      </c>
      <c r="Q16" s="15">
        <v>79</v>
      </c>
      <c r="R16" s="15"/>
      <c r="S16" s="15"/>
    </row>
    <row r="21" spans="2:19" x14ac:dyDescent="0.3">
      <c r="B21" s="21" t="s">
        <v>27</v>
      </c>
      <c r="C21" s="21"/>
      <c r="D21" s="21"/>
      <c r="P21" s="21" t="s">
        <v>46</v>
      </c>
      <c r="Q21" s="21"/>
      <c r="R21" s="21"/>
      <c r="S21" s="21"/>
    </row>
  </sheetData>
  <mergeCells count="4">
    <mergeCell ref="A1:S1"/>
    <mergeCell ref="A14:S14"/>
    <mergeCell ref="B21:D21"/>
    <mergeCell ref="P21:S21"/>
  </mergeCells>
  <pageMargins left="0.27" right="0.21" top="0.75" bottom="0.75" header="0.3" footer="0.3"/>
  <pageSetup paperSize="9" scale="8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2025-10-15T09:02:41Z</cp:lastPrinted>
  <dcterms:created xsi:type="dcterms:W3CDTF">2025-07-31T07:37:15Z</dcterms:created>
  <dcterms:modified xsi:type="dcterms:W3CDTF">2025-10-15T09:02:44Z</dcterms:modified>
</cp:coreProperties>
</file>