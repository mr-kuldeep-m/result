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4FD474EE-640A-4526-B4C1-82CB290694CC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N3" i="28" l="1"/>
  <c r="I7" i="22"/>
  <c r="F7" i="22"/>
  <c r="L7" i="22"/>
  <c r="M7" i="22"/>
  <c r="G7" i="22"/>
  <c r="H7" i="22"/>
  <c r="E7" i="22"/>
  <c r="I11" i="22"/>
  <c r="F11" i="22"/>
  <c r="H11" i="22"/>
  <c r="E11" i="22"/>
  <c r="G11" i="22"/>
  <c r="L11" i="22"/>
  <c r="M11" i="22"/>
  <c r="I15" i="22"/>
  <c r="F15" i="22"/>
  <c r="L15" i="22"/>
  <c r="G15" i="22"/>
  <c r="M15" i="22"/>
  <c r="H15" i="22"/>
  <c r="E15" i="22"/>
  <c r="I21" i="22"/>
  <c r="F21" i="22"/>
  <c r="E21" i="22"/>
  <c r="L21" i="22"/>
  <c r="G21" i="22"/>
  <c r="M21" i="22"/>
  <c r="H21" i="22"/>
  <c r="I25" i="22"/>
  <c r="F25" i="22"/>
  <c r="M25" i="22"/>
  <c r="G25" i="22"/>
  <c r="L25" i="22"/>
  <c r="H25" i="22"/>
  <c r="E25" i="22"/>
  <c r="I29" i="22"/>
  <c r="F29" i="22"/>
  <c r="E29" i="22"/>
  <c r="L29" i="22"/>
  <c r="H29" i="22"/>
  <c r="G29" i="22"/>
  <c r="M29" i="22"/>
  <c r="I33" i="22"/>
  <c r="F33" i="22"/>
  <c r="M33" i="22"/>
  <c r="H33" i="22"/>
  <c r="E33" i="22"/>
  <c r="G33" i="22"/>
  <c r="L33" i="22"/>
  <c r="I37" i="22"/>
  <c r="F37" i="22"/>
  <c r="E37" i="22"/>
  <c r="L37" i="22"/>
  <c r="G37" i="22"/>
  <c r="H37" i="22"/>
  <c r="M37" i="22"/>
  <c r="I39" i="22"/>
  <c r="F39" i="22"/>
  <c r="L39" i="22"/>
  <c r="E39" i="22"/>
  <c r="M39" i="22"/>
  <c r="H39" i="22"/>
  <c r="G39" i="22"/>
  <c r="I5" i="22"/>
  <c r="H5" i="22"/>
  <c r="F5" i="22"/>
  <c r="E5" i="22"/>
  <c r="L5" i="22"/>
  <c r="G5" i="22"/>
  <c r="M5" i="22"/>
  <c r="I9" i="22"/>
  <c r="F9" i="22"/>
  <c r="H9" i="22"/>
  <c r="M9" i="22"/>
  <c r="G9" i="22"/>
  <c r="L9" i="22"/>
  <c r="E9" i="22"/>
  <c r="I13" i="22"/>
  <c r="H13" i="22"/>
  <c r="F13" i="22"/>
  <c r="E13" i="22"/>
  <c r="L13" i="22"/>
  <c r="G13" i="22"/>
  <c r="M13" i="22"/>
  <c r="I19" i="22"/>
  <c r="F19" i="22"/>
  <c r="H19" i="22"/>
  <c r="G19" i="22"/>
  <c r="E19" i="22"/>
  <c r="M19" i="22"/>
  <c r="L19" i="22"/>
  <c r="I23" i="22"/>
  <c r="F23" i="22"/>
  <c r="L23" i="22"/>
  <c r="E23" i="22"/>
  <c r="M23" i="22"/>
  <c r="H23" i="22"/>
  <c r="G23" i="22"/>
  <c r="I27" i="22"/>
  <c r="F27" i="22"/>
  <c r="H27" i="22"/>
  <c r="E27" i="22"/>
  <c r="G27" i="22"/>
  <c r="L27" i="22"/>
  <c r="M27" i="22"/>
  <c r="I35" i="22"/>
  <c r="F35" i="22"/>
  <c r="H35" i="22"/>
  <c r="M35" i="22"/>
  <c r="G35" i="22"/>
  <c r="E35" i="22"/>
  <c r="L35" i="22"/>
  <c r="I41" i="22"/>
  <c r="F41" i="22"/>
  <c r="M41" i="22"/>
  <c r="G41" i="22"/>
  <c r="H41" i="22"/>
  <c r="L41" i="22"/>
  <c r="E41" i="22"/>
  <c r="I17" i="22"/>
  <c r="F17" i="22"/>
  <c r="M17" i="22"/>
  <c r="L17" i="22"/>
  <c r="H17" i="22"/>
  <c r="E17" i="22"/>
  <c r="G17" i="22"/>
  <c r="I31" i="22"/>
  <c r="F31" i="22"/>
  <c r="L31" i="22"/>
  <c r="G31" i="22"/>
  <c r="E31" i="22"/>
  <c r="M31" i="22"/>
  <c r="H31" i="22"/>
  <c r="H4" i="22"/>
  <c r="I4" i="22"/>
  <c r="L4" i="22"/>
  <c r="G4" i="22"/>
  <c r="M4" i="22"/>
  <c r="H6" i="22"/>
  <c r="I6" i="22"/>
  <c r="M6" i="22"/>
  <c r="G6" i="22"/>
  <c r="E6" i="22"/>
  <c r="F6" i="22"/>
  <c r="L6" i="22"/>
  <c r="H8" i="22"/>
  <c r="I8" i="22"/>
  <c r="M8" i="22"/>
  <c r="E8" i="22"/>
  <c r="F8" i="22"/>
  <c r="L8" i="22"/>
  <c r="G8" i="22"/>
  <c r="H10" i="22"/>
  <c r="I10" i="22"/>
  <c r="M10" i="22"/>
  <c r="G10" i="22"/>
  <c r="F10" i="22"/>
  <c r="L10" i="22"/>
  <c r="E10" i="22"/>
  <c r="H12" i="22"/>
  <c r="I12" i="22"/>
  <c r="M12" i="22"/>
  <c r="L12" i="22"/>
  <c r="F12" i="22"/>
  <c r="E12" i="22"/>
  <c r="G12" i="22"/>
  <c r="H14" i="22"/>
  <c r="I14" i="22"/>
  <c r="M14" i="22"/>
  <c r="G14" i="22"/>
  <c r="E14" i="22"/>
  <c r="F14" i="22"/>
  <c r="L14" i="22"/>
  <c r="H16" i="22"/>
  <c r="I16" i="22"/>
  <c r="M16" i="22"/>
  <c r="E16" i="22"/>
  <c r="F16" i="22"/>
  <c r="G16" i="22"/>
  <c r="L16" i="22"/>
  <c r="H18" i="22"/>
  <c r="I18" i="22"/>
  <c r="M18" i="22"/>
  <c r="G18" i="22"/>
  <c r="F18" i="22"/>
  <c r="L18" i="22"/>
  <c r="E18" i="22"/>
  <c r="M20" i="22"/>
  <c r="L20" i="22"/>
  <c r="G20" i="22"/>
  <c r="H20" i="22"/>
  <c r="I20" i="22"/>
  <c r="E20" i="22"/>
  <c r="F20" i="22"/>
  <c r="M22" i="22"/>
  <c r="G22" i="22"/>
  <c r="H22" i="22"/>
  <c r="I22" i="22"/>
  <c r="E22" i="22"/>
  <c r="F22" i="22"/>
  <c r="L22" i="22"/>
  <c r="M24" i="22"/>
  <c r="I24" i="22"/>
  <c r="E24" i="22"/>
  <c r="F24" i="22"/>
  <c r="H24" i="22"/>
  <c r="L24" i="22"/>
  <c r="G24" i="22"/>
  <c r="M26" i="22"/>
  <c r="G26" i="22"/>
  <c r="F26" i="22"/>
  <c r="L26" i="22"/>
  <c r="E26" i="22"/>
  <c r="H26" i="22"/>
  <c r="I26" i="22"/>
  <c r="M28" i="22"/>
  <c r="L28" i="22"/>
  <c r="H28" i="22"/>
  <c r="I28" i="22"/>
  <c r="E28" i="22"/>
  <c r="G28" i="22"/>
  <c r="F28" i="22"/>
  <c r="M30" i="22"/>
  <c r="G30" i="22"/>
  <c r="H30" i="22"/>
  <c r="I30" i="22"/>
  <c r="E30" i="22"/>
  <c r="L30" i="22"/>
  <c r="F30" i="22"/>
  <c r="M32" i="22"/>
  <c r="I32" i="22"/>
  <c r="E32" i="22"/>
  <c r="H32" i="22"/>
  <c r="F32" i="22"/>
  <c r="G32" i="22"/>
  <c r="L32" i="22"/>
  <c r="M34" i="22"/>
  <c r="G34" i="22"/>
  <c r="F34" i="22"/>
  <c r="L34" i="22"/>
  <c r="E34" i="22"/>
  <c r="H34" i="22"/>
  <c r="I34" i="22"/>
  <c r="M36" i="22"/>
  <c r="L36" i="22"/>
  <c r="G36" i="22"/>
  <c r="H36" i="22"/>
  <c r="I36" i="22"/>
  <c r="E36" i="22"/>
  <c r="F36" i="22"/>
  <c r="M38" i="22"/>
  <c r="G38" i="22"/>
  <c r="H38" i="22"/>
  <c r="I38" i="22"/>
  <c r="E38" i="22"/>
  <c r="F38" i="22"/>
  <c r="L38" i="22"/>
  <c r="M40" i="22"/>
  <c r="I40" i="22"/>
  <c r="E40" i="22"/>
  <c r="F40" i="22"/>
  <c r="G40" i="22"/>
  <c r="L40" i="22"/>
  <c r="H40" i="22"/>
  <c r="M42" i="22"/>
  <c r="G42" i="22"/>
  <c r="F42" i="22"/>
  <c r="L42" i="22"/>
  <c r="I42" i="22"/>
  <c r="E42" i="22"/>
  <c r="H42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J5" i="28"/>
  <c r="J9" i="28"/>
  <c r="J13" i="28"/>
  <c r="J17" i="28"/>
  <c r="J21" i="28"/>
  <c r="J25" i="28"/>
  <c r="J29" i="28"/>
  <c r="J33" i="28"/>
  <c r="J37" i="28"/>
  <c r="J41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J6" i="28"/>
  <c r="J14" i="28"/>
  <c r="J22" i="28"/>
  <c r="J30" i="28"/>
  <c r="J38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J10" i="28"/>
  <c r="J18" i="28"/>
  <c r="J26" i="28"/>
  <c r="J34" i="28"/>
  <c r="J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J7" i="28"/>
  <c r="J15" i="28"/>
  <c r="J23" i="28"/>
  <c r="J31" i="28"/>
  <c r="J39" i="28"/>
  <c r="M21" i="28"/>
  <c r="O35" i="28"/>
  <c r="K39" i="28"/>
  <c r="J16" i="28"/>
  <c r="J32" i="28"/>
  <c r="J40" i="28"/>
  <c r="L6" i="28"/>
  <c r="O15" i="28"/>
  <c r="M20" i="28"/>
  <c r="N23" i="28"/>
  <c r="O26" i="28"/>
  <c r="K30" i="28"/>
  <c r="L33" i="28"/>
  <c r="O34" i="28"/>
  <c r="N39" i="28"/>
  <c r="K3" i="28"/>
  <c r="J11" i="28"/>
  <c r="J27" i="28"/>
  <c r="L10" i="28"/>
  <c r="M13" i="28"/>
  <c r="N20" i="28"/>
  <c r="L22" i="28"/>
  <c r="K27" i="28"/>
  <c r="N28" i="28"/>
  <c r="M33" i="28"/>
  <c r="N36" i="28"/>
  <c r="O39" i="28"/>
  <c r="J4" i="28"/>
  <c r="J20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J8" i="28"/>
  <c r="J24" i="28"/>
  <c r="M9" i="28"/>
  <c r="N12" i="28"/>
  <c r="O18" i="28"/>
  <c r="K22" i="28"/>
  <c r="L25" i="28"/>
  <c r="M28" i="28"/>
  <c r="N31" i="28"/>
  <c r="M36" i="28"/>
  <c r="K38" i="28"/>
  <c r="L41" i="28"/>
  <c r="J19" i="28"/>
  <c r="J35" i="28"/>
  <c r="K7" i="28"/>
  <c r="N16" i="28"/>
  <c r="K19" i="28"/>
  <c r="O23" i="28"/>
  <c r="M25" i="28"/>
  <c r="L30" i="28"/>
  <c r="O31" i="28"/>
  <c r="K35" i="28"/>
  <c r="L38" i="28"/>
  <c r="M41" i="28"/>
  <c r="J12" i="28"/>
  <c r="J28" i="28"/>
  <c r="J36" i="28"/>
  <c r="H4" i="28"/>
  <c r="G4" i="28"/>
  <c r="I4" i="28"/>
  <c r="H10" i="28"/>
  <c r="G10" i="28"/>
  <c r="I10" i="28"/>
  <c r="G14" i="28"/>
  <c r="I14" i="28"/>
  <c r="H14" i="28"/>
  <c r="H20" i="28"/>
  <c r="G20" i="28"/>
  <c r="I20" i="28"/>
  <c r="H26" i="28"/>
  <c r="I26" i="28"/>
  <c r="G26" i="28"/>
  <c r="G30" i="28"/>
  <c r="I30" i="28"/>
  <c r="H30" i="28"/>
  <c r="H32" i="28"/>
  <c r="I32" i="28"/>
  <c r="G32" i="28"/>
  <c r="H40" i="28"/>
  <c r="I40" i="28"/>
  <c r="G40" i="28"/>
  <c r="H8" i="28"/>
  <c r="G8" i="28"/>
  <c r="I8" i="28"/>
  <c r="H16" i="28"/>
  <c r="I16" i="28"/>
  <c r="G16" i="28"/>
  <c r="H24" i="28"/>
  <c r="G24" i="28"/>
  <c r="I24" i="28"/>
  <c r="I38" i="28"/>
  <c r="G38" i="28"/>
  <c r="H38" i="28"/>
  <c r="H3" i="28"/>
  <c r="G3" i="28"/>
  <c r="I3" i="28"/>
  <c r="G5" i="28"/>
  <c r="H5" i="28"/>
  <c r="I5" i="28"/>
  <c r="I7" i="28"/>
  <c r="H7" i="28"/>
  <c r="G7" i="28"/>
  <c r="G9" i="28"/>
  <c r="H9" i="28"/>
  <c r="I9" i="28"/>
  <c r="I11" i="28"/>
  <c r="H11" i="28"/>
  <c r="G11" i="28"/>
  <c r="G13" i="28"/>
  <c r="I13" i="28"/>
  <c r="H13" i="28"/>
  <c r="I15" i="28"/>
  <c r="H15" i="28"/>
  <c r="G15" i="28"/>
  <c r="G17" i="28"/>
  <c r="I17" i="28"/>
  <c r="H17" i="28"/>
  <c r="I19" i="28"/>
  <c r="G19" i="28"/>
  <c r="H19" i="28"/>
  <c r="G21" i="28"/>
  <c r="H21" i="28"/>
  <c r="I21" i="28"/>
  <c r="I23" i="28"/>
  <c r="H23" i="28"/>
  <c r="G23" i="28"/>
  <c r="G25" i="28"/>
  <c r="H25" i="28"/>
  <c r="I25" i="28"/>
  <c r="I27" i="28"/>
  <c r="H27" i="28"/>
  <c r="G27" i="28"/>
  <c r="G29" i="28"/>
  <c r="I29" i="28"/>
  <c r="H29" i="28"/>
  <c r="I31" i="28"/>
  <c r="H31" i="28"/>
  <c r="G31" i="28"/>
  <c r="I33" i="28"/>
  <c r="H33" i="28"/>
  <c r="G33" i="28"/>
  <c r="I35" i="28"/>
  <c r="H35" i="28"/>
  <c r="G35" i="28"/>
  <c r="H37" i="28"/>
  <c r="G37" i="28"/>
  <c r="I37" i="28"/>
  <c r="I39" i="28"/>
  <c r="G39" i="28"/>
  <c r="H39" i="28"/>
  <c r="H41" i="28"/>
  <c r="I41" i="28"/>
  <c r="G41" i="28"/>
  <c r="I6" i="28"/>
  <c r="H6" i="28"/>
  <c r="G6" i="28"/>
  <c r="H12" i="28"/>
  <c r="I12" i="28"/>
  <c r="G12" i="28"/>
  <c r="I18" i="28"/>
  <c r="G18" i="28"/>
  <c r="H18" i="28"/>
  <c r="I22" i="28"/>
  <c r="H22" i="28"/>
  <c r="G22" i="28"/>
  <c r="H28" i="28"/>
  <c r="I28" i="28"/>
  <c r="G28" i="28"/>
  <c r="G34" i="28"/>
  <c r="I34" i="28"/>
  <c r="H34" i="28"/>
  <c r="H36" i="28"/>
  <c r="I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C7" i="19" l="1"/>
  <c r="C7" i="24" s="1"/>
  <c r="G7" i="19"/>
  <c r="W7" i="24" s="1"/>
  <c r="L7" i="19"/>
  <c r="E7" i="19"/>
  <c r="M7" i="24" s="1"/>
  <c r="F7" i="19"/>
  <c r="R7" i="24" s="1"/>
  <c r="I7" i="19"/>
  <c r="H7" i="19"/>
  <c r="D7" i="19"/>
  <c r="H7" i="24" s="1"/>
  <c r="M7" i="19"/>
  <c r="C19" i="19"/>
  <c r="G19" i="19"/>
  <c r="L19" i="19"/>
  <c r="F19" i="19"/>
  <c r="H19" i="19"/>
  <c r="M19" i="19"/>
  <c r="D19" i="19"/>
  <c r="I19" i="19"/>
  <c r="E19" i="19"/>
  <c r="E5" i="19"/>
  <c r="M5" i="24" s="1"/>
  <c r="I5" i="19"/>
  <c r="L5" i="19"/>
  <c r="C5" i="19"/>
  <c r="C5" i="24" s="1"/>
  <c r="H5" i="19"/>
  <c r="M5" i="19"/>
  <c r="D5" i="19"/>
  <c r="F5" i="19"/>
  <c r="R5" i="24" s="1"/>
  <c r="G5" i="19"/>
  <c r="W5" i="24" s="1"/>
  <c r="E13" i="19"/>
  <c r="I13" i="19"/>
  <c r="L13" i="19"/>
  <c r="F13" i="19"/>
  <c r="M13" i="19"/>
  <c r="G13" i="19"/>
  <c r="C13" i="19"/>
  <c r="H13" i="19"/>
  <c r="D13" i="19"/>
  <c r="E21" i="19"/>
  <c r="I21" i="19"/>
  <c r="L21" i="19"/>
  <c r="C21" i="19"/>
  <c r="H21" i="19"/>
  <c r="M21" i="19"/>
  <c r="D21" i="19"/>
  <c r="G21" i="19"/>
  <c r="F21" i="19"/>
  <c r="C27" i="19"/>
  <c r="G27" i="19"/>
  <c r="D27" i="19"/>
  <c r="I27" i="19"/>
  <c r="E27" i="19"/>
  <c r="L27" i="19"/>
  <c r="M27" i="19"/>
  <c r="F27" i="19"/>
  <c r="H27" i="19"/>
  <c r="E9" i="19"/>
  <c r="M9" i="24" s="1"/>
  <c r="I9" i="19"/>
  <c r="L9" i="19"/>
  <c r="G9" i="19"/>
  <c r="F9" i="19"/>
  <c r="R9" i="24" s="1"/>
  <c r="C9" i="19"/>
  <c r="C9" i="24" s="1"/>
  <c r="H9" i="19"/>
  <c r="D9" i="19"/>
  <c r="M9" i="19"/>
  <c r="C11" i="19"/>
  <c r="C11" i="24" s="1"/>
  <c r="G11" i="19"/>
  <c r="W11" i="24" s="1"/>
  <c r="L11" i="19"/>
  <c r="D11" i="19"/>
  <c r="H11" i="24" s="1"/>
  <c r="I11" i="19"/>
  <c r="H11" i="19"/>
  <c r="E11" i="19"/>
  <c r="M11" i="24" s="1"/>
  <c r="M11" i="19"/>
  <c r="F11" i="19"/>
  <c r="R11" i="24" s="1"/>
  <c r="C15" i="19"/>
  <c r="G15" i="19"/>
  <c r="L15" i="19"/>
  <c r="H15" i="19"/>
  <c r="F15" i="19"/>
  <c r="D15" i="19"/>
  <c r="I15" i="19"/>
  <c r="E15" i="19"/>
  <c r="M15" i="24" s="1"/>
  <c r="M15" i="19"/>
  <c r="E17" i="19"/>
  <c r="I17" i="19"/>
  <c r="L17" i="19"/>
  <c r="D17" i="19"/>
  <c r="M17" i="19"/>
  <c r="H17" i="19"/>
  <c r="F17" i="19"/>
  <c r="C17" i="19"/>
  <c r="G17" i="19"/>
  <c r="C23" i="19"/>
  <c r="G23" i="19"/>
  <c r="L23" i="19"/>
  <c r="E23" i="19"/>
  <c r="D23" i="19"/>
  <c r="F23" i="19"/>
  <c r="I23" i="19"/>
  <c r="H23" i="19"/>
  <c r="M23" i="19"/>
  <c r="E25" i="19"/>
  <c r="I25" i="19"/>
  <c r="L25" i="19"/>
  <c r="G25" i="19"/>
  <c r="D25" i="19"/>
  <c r="M25" i="19"/>
  <c r="F25" i="19"/>
  <c r="C25" i="19"/>
  <c r="H25" i="19"/>
  <c r="E29" i="19"/>
  <c r="I29" i="19"/>
  <c r="F29" i="19"/>
  <c r="D29" i="19"/>
  <c r="G29" i="19"/>
  <c r="L29" i="19"/>
  <c r="C29" i="19"/>
  <c r="H29" i="19"/>
  <c r="M29" i="19"/>
  <c r="H4" i="19"/>
  <c r="C4" i="19"/>
  <c r="C4" i="24" s="1"/>
  <c r="L4" i="19"/>
  <c r="M4" i="19"/>
  <c r="G4" i="19"/>
  <c r="W4" i="24" s="1"/>
  <c r="D4" i="19"/>
  <c r="H4" i="24" s="1"/>
  <c r="F4" i="19"/>
  <c r="R4" i="24" s="1"/>
  <c r="I4" i="19"/>
  <c r="E4" i="19"/>
  <c r="M4" i="24" s="1"/>
  <c r="F6" i="19"/>
  <c r="R6" i="24" s="1"/>
  <c r="G6" i="19"/>
  <c r="W6" i="24" s="1"/>
  <c r="E6" i="19"/>
  <c r="M6" i="24" s="1"/>
  <c r="C6" i="19"/>
  <c r="C6" i="24" s="1"/>
  <c r="H6" i="19"/>
  <c r="L6" i="19"/>
  <c r="M6" i="19"/>
  <c r="D6" i="19"/>
  <c r="I6" i="19"/>
  <c r="D8" i="19"/>
  <c r="H8" i="24" s="1"/>
  <c r="H8" i="19"/>
  <c r="C8" i="19"/>
  <c r="C8" i="24" s="1"/>
  <c r="I8" i="19"/>
  <c r="L8" i="19"/>
  <c r="G8" i="19"/>
  <c r="W8" i="24" s="1"/>
  <c r="E8" i="19"/>
  <c r="M8" i="24" s="1"/>
  <c r="M8" i="19"/>
  <c r="F8" i="19"/>
  <c r="R8" i="24" s="1"/>
  <c r="F10" i="19"/>
  <c r="R10" i="24" s="1"/>
  <c r="E10" i="19"/>
  <c r="M10" i="24" s="1"/>
  <c r="M10" i="19"/>
  <c r="G10" i="19"/>
  <c r="W10" i="24" s="1"/>
  <c r="D10" i="19"/>
  <c r="H10" i="24" s="1"/>
  <c r="C10" i="19"/>
  <c r="C10" i="24" s="1"/>
  <c r="H10" i="19"/>
  <c r="I10" i="19"/>
  <c r="L10" i="19"/>
  <c r="D12" i="19"/>
  <c r="H12" i="19"/>
  <c r="G12" i="19"/>
  <c r="L12" i="19"/>
  <c r="C12" i="19"/>
  <c r="I12" i="19"/>
  <c r="F12" i="19"/>
  <c r="R15" i="24" s="1"/>
  <c r="E12" i="19"/>
  <c r="M12" i="19"/>
  <c r="F14" i="19"/>
  <c r="D14" i="19"/>
  <c r="I14" i="19"/>
  <c r="C14" i="19"/>
  <c r="E14" i="19"/>
  <c r="L14" i="19"/>
  <c r="M14" i="19"/>
  <c r="H14" i="19"/>
  <c r="G14" i="19"/>
  <c r="D16" i="19"/>
  <c r="H16" i="19"/>
  <c r="F16" i="19"/>
  <c r="L16" i="19"/>
  <c r="G16" i="19"/>
  <c r="W16" i="24" s="1"/>
  <c r="M16" i="19"/>
  <c r="C16" i="19"/>
  <c r="I16" i="19"/>
  <c r="E16" i="19"/>
  <c r="F18" i="19"/>
  <c r="C18" i="19"/>
  <c r="H18" i="19"/>
  <c r="M18" i="19"/>
  <c r="D18" i="19"/>
  <c r="I18" i="19"/>
  <c r="G18" i="19"/>
  <c r="E18" i="19"/>
  <c r="L18" i="19"/>
  <c r="D20" i="19"/>
  <c r="H20" i="19"/>
  <c r="E20" i="19"/>
  <c r="C20" i="19"/>
  <c r="F20" i="19"/>
  <c r="G20" i="19"/>
  <c r="W20" i="24" s="1"/>
  <c r="L20" i="19"/>
  <c r="I20" i="19"/>
  <c r="M20" i="19"/>
  <c r="F22" i="19"/>
  <c r="G22" i="19"/>
  <c r="C22" i="19"/>
  <c r="H22" i="19"/>
  <c r="L22" i="19"/>
  <c r="M22" i="19"/>
  <c r="D22" i="19"/>
  <c r="I22" i="19"/>
  <c r="E22" i="19"/>
  <c r="D24" i="19"/>
  <c r="H24" i="19"/>
  <c r="C24" i="19"/>
  <c r="I24" i="19"/>
  <c r="L24" i="19"/>
  <c r="E24" i="19"/>
  <c r="M24" i="24" s="1"/>
  <c r="M24" i="19"/>
  <c r="F24" i="19"/>
  <c r="G24" i="19"/>
  <c r="W24" i="24" s="1"/>
  <c r="F26" i="19"/>
  <c r="R26" i="24" s="1"/>
  <c r="E26" i="19"/>
  <c r="M26" i="19"/>
  <c r="I26" i="19"/>
  <c r="G26" i="19"/>
  <c r="D26" i="19"/>
  <c r="C26" i="19"/>
  <c r="H26" i="19"/>
  <c r="L26" i="19"/>
  <c r="D28" i="19"/>
  <c r="H28" i="19"/>
  <c r="G28" i="19"/>
  <c r="W28" i="24" s="1"/>
  <c r="M28" i="19"/>
  <c r="C28" i="19"/>
  <c r="I28" i="19"/>
  <c r="F28" i="19"/>
  <c r="E28" i="19"/>
  <c r="M28" i="24" s="1"/>
  <c r="L28" i="19"/>
  <c r="M23" i="24"/>
  <c r="W9" i="24"/>
  <c r="W17" i="24"/>
  <c r="R20" i="24"/>
  <c r="P19" i="28"/>
  <c r="Q19" i="28" s="1"/>
  <c r="P33" i="28"/>
  <c r="Q33" i="28" s="1"/>
  <c r="P23" i="28"/>
  <c r="Q23" i="28" s="1"/>
  <c r="P17" i="28"/>
  <c r="Q17" i="28" s="1"/>
  <c r="P14" i="28"/>
  <c r="Q14" i="28" s="1"/>
  <c r="P11" i="28"/>
  <c r="Q11" i="28" s="1"/>
  <c r="P29" i="28"/>
  <c r="Q29" i="28" s="1"/>
  <c r="P22" i="28"/>
  <c r="Q22" i="28" s="1"/>
  <c r="P18" i="28"/>
  <c r="Q18" i="28" s="1"/>
  <c r="P3" i="28"/>
  <c r="Q3" i="28" s="1"/>
  <c r="P9" i="28"/>
  <c r="Q9" i="28" s="1"/>
  <c r="P37" i="28"/>
  <c r="Q37" i="28" s="1"/>
  <c r="P38" i="28"/>
  <c r="Q38" i="28" s="1"/>
  <c r="P32" i="28"/>
  <c r="Q32" i="28" s="1"/>
  <c r="P41" i="28"/>
  <c r="Q41" i="28" s="1"/>
  <c r="P34" i="28"/>
  <c r="Q34" i="28" s="1"/>
  <c r="P35" i="28"/>
  <c r="Q35" i="28" s="1"/>
  <c r="J27" i="22"/>
  <c r="K27" i="22" s="1"/>
  <c r="P25" i="28"/>
  <c r="Q25" i="28" s="1"/>
  <c r="P10" i="28"/>
  <c r="Q10" i="28" s="1"/>
  <c r="P27" i="28"/>
  <c r="Q27" i="28" s="1"/>
  <c r="P20" i="28"/>
  <c r="Q20" i="28" s="1"/>
  <c r="P6" i="28"/>
  <c r="Q6" i="28" s="1"/>
  <c r="P24" i="28"/>
  <c r="Q24" i="28" s="1"/>
  <c r="P5" i="28"/>
  <c r="Q5" i="28" s="1"/>
  <c r="J6" i="22"/>
  <c r="K6" i="22" s="1"/>
  <c r="J19" i="22"/>
  <c r="K19" i="22" s="1"/>
  <c r="J13" i="22"/>
  <c r="K13" i="22" s="1"/>
  <c r="P16" i="28"/>
  <c r="Q16" i="28" s="1"/>
  <c r="P40" i="28"/>
  <c r="Q40" i="28" s="1"/>
  <c r="P39" i="28"/>
  <c r="Q39" i="28" s="1"/>
  <c r="P8" i="28"/>
  <c r="Q8" i="28" s="1"/>
  <c r="P26" i="28"/>
  <c r="Q26" i="28" s="1"/>
  <c r="P15" i="28"/>
  <c r="Q15" i="28" s="1"/>
  <c r="P21" i="28"/>
  <c r="Q21" i="28" s="1"/>
  <c r="P36" i="28"/>
  <c r="Q36" i="28" s="1"/>
  <c r="P30" i="28"/>
  <c r="Q30" i="28" s="1"/>
  <c r="P28" i="28"/>
  <c r="Q28" i="28" s="1"/>
  <c r="P31" i="28"/>
  <c r="Q31" i="28" s="1"/>
  <c r="P13" i="28"/>
  <c r="Q13" i="28" s="1"/>
  <c r="P12" i="28"/>
  <c r="Q12" i="28" s="1"/>
  <c r="P7" i="28"/>
  <c r="Q7" i="28" s="1"/>
  <c r="P4" i="28"/>
  <c r="Q4" i="28" s="1"/>
  <c r="J26" i="22"/>
  <c r="K26" i="22" s="1"/>
  <c r="J12" i="22"/>
  <c r="K12" i="22" s="1"/>
  <c r="J15" i="22"/>
  <c r="K15" i="22" s="1"/>
  <c r="J11" i="22"/>
  <c r="K11" i="22" s="1"/>
  <c r="J23" i="22"/>
  <c r="K23" i="22" s="1"/>
  <c r="J10" i="22"/>
  <c r="K10" i="22" s="1"/>
  <c r="J14" i="22"/>
  <c r="K14" i="22" s="1"/>
  <c r="J5" i="22"/>
  <c r="K5" i="22" s="1"/>
  <c r="J21" i="22"/>
  <c r="K21" i="22" s="1"/>
  <c r="J32" i="22"/>
  <c r="K32" i="22" s="1"/>
  <c r="J33" i="22"/>
  <c r="K33" i="22" s="1"/>
  <c r="J4" i="22"/>
  <c r="K4" i="22" s="1"/>
  <c r="J18" i="22"/>
  <c r="K18" i="22" s="1"/>
  <c r="J29" i="22"/>
  <c r="K29" i="22" s="1"/>
  <c r="J31" i="22"/>
  <c r="K31" i="22" s="1"/>
  <c r="J38" i="22"/>
  <c r="K38" i="22" s="1"/>
  <c r="J40" i="22"/>
  <c r="K40" i="22" s="1"/>
  <c r="J35" i="22"/>
  <c r="K35" i="22" s="1"/>
  <c r="J37" i="22"/>
  <c r="K37" i="22" s="1"/>
  <c r="J16" i="22"/>
  <c r="K16" i="22" s="1"/>
  <c r="J36" i="22"/>
  <c r="K36" i="22" s="1"/>
  <c r="J39" i="22"/>
  <c r="K39" i="22" s="1"/>
  <c r="J41" i="22"/>
  <c r="K41" i="22" s="1"/>
  <c r="J34" i="22"/>
  <c r="K34" i="22" s="1"/>
  <c r="J8" i="22"/>
  <c r="K8" i="22" s="1"/>
  <c r="J24" i="22"/>
  <c r="K24" i="22" s="1"/>
  <c r="J17" i="22"/>
  <c r="K17" i="22" s="1"/>
  <c r="J7" i="22"/>
  <c r="K7" i="22" s="1"/>
  <c r="J20" i="22"/>
  <c r="K20" i="22" s="1"/>
  <c r="J25" i="22"/>
  <c r="K25" i="22" s="1"/>
  <c r="J28" i="22"/>
  <c r="K28" i="22" s="1"/>
  <c r="J30" i="22"/>
  <c r="K30" i="22" s="1"/>
  <c r="J9" i="22"/>
  <c r="K9" i="22" s="1"/>
  <c r="J22" i="22"/>
  <c r="K22" i="22" s="1"/>
  <c r="J42" i="22"/>
  <c r="K42" i="22" s="1"/>
  <c r="H6" i="24"/>
  <c r="H9" i="24"/>
  <c r="H5" i="24"/>
  <c r="A40" i="18"/>
  <c r="H40" i="18" s="1"/>
  <c r="B40" i="18"/>
  <c r="A41" i="18"/>
  <c r="B41" i="18"/>
  <c r="A42" i="18"/>
  <c r="BD42" i="18" s="1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G39" i="16"/>
  <c r="A40" i="16"/>
  <c r="B40" i="16"/>
  <c r="G40" i="16"/>
  <c r="A41" i="16"/>
  <c r="B41" i="16"/>
  <c r="G41" i="16"/>
  <c r="A39" i="15"/>
  <c r="B39" i="15"/>
  <c r="G39" i="15"/>
  <c r="A40" i="15"/>
  <c r="B40" i="15"/>
  <c r="G40" i="15"/>
  <c r="A41" i="15"/>
  <c r="B41" i="15"/>
  <c r="G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C17" i="24" l="1"/>
  <c r="W25" i="24"/>
  <c r="M13" i="24"/>
  <c r="M19" i="24"/>
  <c r="W13" i="24"/>
  <c r="W12" i="24"/>
  <c r="W23" i="24"/>
  <c r="R17" i="24"/>
  <c r="R21" i="24"/>
  <c r="M17" i="24"/>
  <c r="M16" i="24"/>
  <c r="R13" i="24"/>
  <c r="R28" i="24"/>
  <c r="W18" i="24"/>
  <c r="R25" i="24"/>
  <c r="BA40" i="18"/>
  <c r="AL41" i="18"/>
  <c r="AB41" i="18"/>
  <c r="AV41" i="18"/>
  <c r="BG41" i="18"/>
  <c r="BA41" i="18"/>
  <c r="BD41" i="18"/>
  <c r="AB42" i="18"/>
  <c r="AL42" i="18"/>
  <c r="AV42" i="18"/>
  <c r="H42" i="18"/>
  <c r="BC42" i="18"/>
  <c r="BB42" i="18"/>
  <c r="BH42" i="18"/>
  <c r="BE42" i="18"/>
  <c r="BF41" i="18"/>
  <c r="BG42" i="18"/>
  <c r="BA42" i="18"/>
  <c r="BH41" i="18"/>
  <c r="BC40" i="18"/>
  <c r="BG40" i="18"/>
  <c r="C14" i="24"/>
  <c r="C27" i="24"/>
  <c r="C26" i="24"/>
  <c r="C23" i="24"/>
  <c r="C12" i="24"/>
  <c r="C20" i="24"/>
  <c r="C16" i="24"/>
  <c r="C15" i="24"/>
  <c r="C24" i="24"/>
  <c r="C13" i="24"/>
  <c r="C22" i="24"/>
  <c r="C25" i="24"/>
  <c r="C18" i="24"/>
  <c r="C29" i="24"/>
  <c r="C28" i="24"/>
  <c r="BB41" i="18"/>
  <c r="BE41" i="18"/>
  <c r="BF42" i="18"/>
  <c r="BD40" i="18"/>
  <c r="BB40" i="18"/>
  <c r="BC41" i="18"/>
  <c r="R42" i="18"/>
  <c r="R41" i="18"/>
  <c r="R40" i="18"/>
  <c r="H41" i="18"/>
  <c r="C19" i="24"/>
  <c r="AV40" i="18"/>
  <c r="AL40" i="18"/>
  <c r="AB40" i="18"/>
  <c r="BE40" i="18"/>
  <c r="BF40" i="18"/>
  <c r="BH40" i="18"/>
  <c r="C21" i="24"/>
  <c r="M12" i="24"/>
  <c r="M26" i="24"/>
  <c r="M27" i="24"/>
  <c r="M18" i="24"/>
  <c r="M25" i="24"/>
  <c r="M29" i="24"/>
  <c r="M22" i="24"/>
  <c r="R14" i="24"/>
  <c r="R22" i="24"/>
  <c r="R27" i="24"/>
  <c r="R23" i="24"/>
  <c r="R16" i="24"/>
  <c r="R19" i="24"/>
  <c r="W27" i="24"/>
  <c r="W14" i="24"/>
  <c r="W19" i="24"/>
  <c r="W22" i="24"/>
  <c r="W15" i="24"/>
  <c r="R29" i="24"/>
  <c r="M20" i="24"/>
  <c r="R12" i="24"/>
  <c r="W29" i="24"/>
  <c r="R18" i="24"/>
  <c r="R24" i="24"/>
  <c r="M14" i="24"/>
  <c r="W26" i="24"/>
  <c r="M21" i="24"/>
  <c r="W21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9" i="23"/>
  <c r="C16" i="23"/>
  <c r="C17" i="23"/>
  <c r="C18" i="23"/>
  <c r="C15" i="23"/>
  <c r="S41" i="18"/>
  <c r="AC41" i="18"/>
  <c r="AM41" i="18"/>
  <c r="I41" i="18"/>
  <c r="AW41" i="18"/>
  <c r="K41" i="18"/>
  <c r="U41" i="18"/>
  <c r="AY41" i="18"/>
  <c r="AO41" i="18"/>
  <c r="AE41" i="18"/>
  <c r="AM42" i="18"/>
  <c r="I42" i="18"/>
  <c r="AW42" i="18"/>
  <c r="S42" i="18"/>
  <c r="AC42" i="18"/>
  <c r="AY42" i="18"/>
  <c r="AE42" i="18"/>
  <c r="U42" i="18"/>
  <c r="K42" i="18"/>
  <c r="AO42" i="18"/>
  <c r="AM40" i="18"/>
  <c r="I40" i="18"/>
  <c r="AW40" i="18"/>
  <c r="S40" i="18"/>
  <c r="AC40" i="18"/>
  <c r="AE40" i="18"/>
  <c r="K40" i="18"/>
  <c r="AY40" i="18"/>
  <c r="U40" i="18"/>
  <c r="AO40" i="18"/>
  <c r="J23" i="19"/>
  <c r="K23" i="19" s="1"/>
  <c r="J6" i="19"/>
  <c r="K6" i="19" s="1"/>
  <c r="J22" i="19"/>
  <c r="K22" i="19" s="1"/>
  <c r="J11" i="19"/>
  <c r="K11" i="19" s="1"/>
  <c r="J21" i="19"/>
  <c r="K21" i="19" s="1"/>
  <c r="J5" i="19"/>
  <c r="K5" i="19" s="1"/>
  <c r="J28" i="19"/>
  <c r="K28" i="19" s="1"/>
  <c r="J12" i="19"/>
  <c r="K12" i="19" s="1"/>
  <c r="J25" i="19"/>
  <c r="K25" i="19" s="1"/>
  <c r="J16" i="19"/>
  <c r="K16" i="19" s="1"/>
  <c r="J4" i="19"/>
  <c r="K4" i="19" s="1"/>
  <c r="J10" i="19"/>
  <c r="K10" i="19" s="1"/>
  <c r="J26" i="19"/>
  <c r="K26" i="19" s="1"/>
  <c r="J27" i="19"/>
  <c r="K27" i="19" s="1"/>
  <c r="J17" i="19"/>
  <c r="K17" i="19" s="1"/>
  <c r="J24" i="19"/>
  <c r="K24" i="19" s="1"/>
  <c r="J8" i="19"/>
  <c r="K8" i="19" s="1"/>
  <c r="J19" i="19"/>
  <c r="K19" i="19" s="1"/>
  <c r="J18" i="19"/>
  <c r="K18" i="19" s="1"/>
  <c r="J9" i="19"/>
  <c r="K9" i="19" s="1"/>
  <c r="J15" i="19"/>
  <c r="K15" i="19" s="1"/>
  <c r="J14" i="19"/>
  <c r="K14" i="19" s="1"/>
  <c r="J7" i="19"/>
  <c r="K7" i="19" s="1"/>
  <c r="J29" i="19"/>
  <c r="K29" i="19" s="1"/>
  <c r="J13" i="19"/>
  <c r="K13" i="19" s="1"/>
  <c r="J20" i="19"/>
  <c r="K20" i="19" s="1"/>
  <c r="K11" i="3"/>
  <c r="K10" i="3"/>
  <c r="C11" i="3"/>
  <c r="C10" i="3"/>
  <c r="C9" i="3"/>
  <c r="A39" i="18" l="1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V37" i="18" l="1"/>
  <c r="AL37" i="18"/>
  <c r="AB37" i="18"/>
  <c r="BG37" i="18"/>
  <c r="BH37" i="18"/>
  <c r="BA37" i="18"/>
  <c r="H37" i="18"/>
  <c r="R37" i="18"/>
  <c r="BC37" i="18"/>
  <c r="BE37" i="18"/>
  <c r="BD37" i="18"/>
  <c r="BF37" i="18"/>
  <c r="BB37" i="18"/>
  <c r="AB31" i="18"/>
  <c r="AL31" i="18"/>
  <c r="AV31" i="18"/>
  <c r="R31" i="18"/>
  <c r="BG31" i="18"/>
  <c r="BH31" i="18"/>
  <c r="H31" i="18"/>
  <c r="BC31" i="18"/>
  <c r="BE31" i="18"/>
  <c r="BF31" i="18"/>
  <c r="BA31" i="18"/>
  <c r="BD31" i="18"/>
  <c r="BB31" i="18"/>
  <c r="AL25" i="18"/>
  <c r="AB25" i="18"/>
  <c r="AV25" i="18"/>
  <c r="BG25" i="18"/>
  <c r="BH25" i="18"/>
  <c r="BA25" i="18"/>
  <c r="BC25" i="18"/>
  <c r="BD25" i="18"/>
  <c r="BF25" i="18"/>
  <c r="BB25" i="18"/>
  <c r="H25" i="18"/>
  <c r="R25" i="18"/>
  <c r="BE25" i="18"/>
  <c r="AV23" i="18"/>
  <c r="AB23" i="18"/>
  <c r="AL23" i="18"/>
  <c r="R23" i="18"/>
  <c r="BG23" i="18"/>
  <c r="BH23" i="18"/>
  <c r="BC23" i="18"/>
  <c r="BE23" i="18"/>
  <c r="BA23" i="18"/>
  <c r="H23" i="18"/>
  <c r="BD23" i="18"/>
  <c r="BF23" i="18"/>
  <c r="BB23" i="18"/>
  <c r="AV21" i="18"/>
  <c r="AL21" i="18"/>
  <c r="AB21" i="18"/>
  <c r="BG21" i="18"/>
  <c r="BC21" i="18"/>
  <c r="BH21" i="18"/>
  <c r="BA21" i="18"/>
  <c r="H21" i="18"/>
  <c r="R21" i="18"/>
  <c r="BF21" i="18"/>
  <c r="BB21" i="18"/>
  <c r="BE21" i="18"/>
  <c r="BD21" i="18"/>
  <c r="AL19" i="18"/>
  <c r="AV19" i="18"/>
  <c r="AB19" i="18"/>
  <c r="BD19" i="18"/>
  <c r="H19" i="18"/>
  <c r="BG19" i="18"/>
  <c r="BC19" i="18"/>
  <c r="BH19" i="18"/>
  <c r="BA19" i="18"/>
  <c r="BB19" i="18"/>
  <c r="R19" i="18"/>
  <c r="BE19" i="18"/>
  <c r="BF19" i="18"/>
  <c r="AV17" i="18"/>
  <c r="AL17" i="18"/>
  <c r="AB17" i="18"/>
  <c r="BG17" i="18"/>
  <c r="BH17" i="18"/>
  <c r="BA17" i="18"/>
  <c r="H17" i="18"/>
  <c r="BD17" i="18"/>
  <c r="BE17" i="18"/>
  <c r="BF17" i="18"/>
  <c r="R17" i="18"/>
  <c r="BB17" i="18"/>
  <c r="BC17" i="18"/>
  <c r="AL15" i="18"/>
  <c r="AV15" i="18"/>
  <c r="AB15" i="18"/>
  <c r="R15" i="18"/>
  <c r="BC15" i="18"/>
  <c r="BG15" i="18"/>
  <c r="BH15" i="18"/>
  <c r="BA15" i="18"/>
  <c r="BE15" i="18"/>
  <c r="BF15" i="18"/>
  <c r="BB15" i="18"/>
  <c r="H15" i="18"/>
  <c r="BD15" i="18"/>
  <c r="AL13" i="18"/>
  <c r="AB13" i="18"/>
  <c r="H13" i="18"/>
  <c r="R13" i="18"/>
  <c r="BG13" i="18"/>
  <c r="BH13" i="18"/>
  <c r="BA13" i="18"/>
  <c r="AV13" i="18"/>
  <c r="BE13" i="18"/>
  <c r="BC13" i="18"/>
  <c r="BB13" i="18"/>
  <c r="BD13" i="18"/>
  <c r="BF13" i="18"/>
  <c r="BB11" i="18"/>
  <c r="AB11" i="18"/>
  <c r="BF11" i="18"/>
  <c r="AV11" i="18"/>
  <c r="BC11" i="18"/>
  <c r="AL11" i="18"/>
  <c r="BA11" i="18"/>
  <c r="BG11" i="18"/>
  <c r="BE11" i="18"/>
  <c r="BD11" i="18"/>
  <c r="H11" i="18"/>
  <c r="BH11" i="18"/>
  <c r="R11" i="18"/>
  <c r="H9" i="18"/>
  <c r="BF9" i="18"/>
  <c r="BC9" i="18"/>
  <c r="BE9" i="18"/>
  <c r="BH9" i="18"/>
  <c r="AL9" i="18"/>
  <c r="R9" i="18"/>
  <c r="BA9" i="18"/>
  <c r="AV9" i="18"/>
  <c r="AB9" i="18"/>
  <c r="BD9" i="18"/>
  <c r="BB9" i="18"/>
  <c r="BG9" i="18"/>
  <c r="AB7" i="18"/>
  <c r="BC7" i="18"/>
  <c r="BB7" i="18"/>
  <c r="H7" i="18"/>
  <c r="BG7" i="18"/>
  <c r="BD7" i="18"/>
  <c r="R7" i="18"/>
  <c r="AV7" i="18"/>
  <c r="BH7" i="18"/>
  <c r="AL7" i="18"/>
  <c r="BF7" i="18"/>
  <c r="BA7" i="18"/>
  <c r="BE7" i="18"/>
  <c r="R5" i="18"/>
  <c r="BE5" i="18"/>
  <c r="BH5" i="18"/>
  <c r="BB5" i="18"/>
  <c r="H5" i="18"/>
  <c r="BC5" i="18"/>
  <c r="BF5" i="18"/>
  <c r="BD5" i="18"/>
  <c r="AL5" i="18"/>
  <c r="BA5" i="18"/>
  <c r="BG5" i="18"/>
  <c r="AB5" i="18"/>
  <c r="AV5" i="18"/>
  <c r="BG4" i="18"/>
  <c r="D21" i="3" s="1"/>
  <c r="BC4" i="18"/>
  <c r="K28" i="3" s="1"/>
  <c r="BE4" i="18"/>
  <c r="K30" i="3" s="1"/>
  <c r="BA4" i="18"/>
  <c r="K26" i="3" s="1"/>
  <c r="BH4" i="18"/>
  <c r="B36" i="3" s="1"/>
  <c r="BD4" i="18"/>
  <c r="K29" i="3" s="1"/>
  <c r="AL4" i="18"/>
  <c r="BB4" i="18"/>
  <c r="K27" i="3" s="1"/>
  <c r="AB4" i="18"/>
  <c r="H17" i="3" s="1"/>
  <c r="AV4" i="18"/>
  <c r="H4" i="18"/>
  <c r="H15" i="3" s="1"/>
  <c r="R4" i="18"/>
  <c r="BF4" i="18"/>
  <c r="C21" i="3" s="1"/>
  <c r="AL35" i="18"/>
  <c r="AV35" i="18"/>
  <c r="AB35" i="18"/>
  <c r="H35" i="18"/>
  <c r="BG35" i="18"/>
  <c r="BH35" i="18"/>
  <c r="BF35" i="18"/>
  <c r="BC35" i="18"/>
  <c r="BB35" i="18"/>
  <c r="BE35" i="18"/>
  <c r="R35" i="18"/>
  <c r="BD35" i="18"/>
  <c r="BA35" i="18"/>
  <c r="AV29" i="18"/>
  <c r="AL29" i="18"/>
  <c r="AB29" i="18"/>
  <c r="H29" i="18"/>
  <c r="R29" i="18"/>
  <c r="BG29" i="18"/>
  <c r="BC29" i="18"/>
  <c r="BH29" i="18"/>
  <c r="BA29" i="18"/>
  <c r="BB29" i="18"/>
  <c r="BD29" i="18"/>
  <c r="BF29" i="18"/>
  <c r="BE29" i="18"/>
  <c r="AV33" i="18"/>
  <c r="AL33" i="18"/>
  <c r="AB33" i="18"/>
  <c r="BG33" i="18"/>
  <c r="BC33" i="18"/>
  <c r="BH33" i="18"/>
  <c r="BA33" i="18"/>
  <c r="BD33" i="18"/>
  <c r="H33" i="18"/>
  <c r="R33" i="18"/>
  <c r="BF33" i="18"/>
  <c r="BB33" i="18"/>
  <c r="BE33" i="18"/>
  <c r="AB27" i="18"/>
  <c r="AL27" i="18"/>
  <c r="AV27" i="18"/>
  <c r="H27" i="18"/>
  <c r="BD27" i="18"/>
  <c r="BG27" i="18"/>
  <c r="BH27" i="18"/>
  <c r="BC27" i="18"/>
  <c r="BF27" i="18"/>
  <c r="R27" i="18"/>
  <c r="BE27" i="18"/>
  <c r="BB27" i="18"/>
  <c r="BA27" i="18"/>
  <c r="AB38" i="18"/>
  <c r="AL38" i="18"/>
  <c r="AV38" i="18"/>
  <c r="BB38" i="18"/>
  <c r="R38" i="18"/>
  <c r="BE38" i="18"/>
  <c r="BA38" i="18"/>
  <c r="BG38" i="18"/>
  <c r="H38" i="18"/>
  <c r="BF38" i="18"/>
  <c r="BC38" i="18"/>
  <c r="BH38" i="18"/>
  <c r="BD38" i="18"/>
  <c r="AB36" i="18"/>
  <c r="AV36" i="18"/>
  <c r="AL36" i="18"/>
  <c r="BC36" i="18"/>
  <c r="BE36" i="18"/>
  <c r="BD36" i="18"/>
  <c r="BF36" i="18"/>
  <c r="H36" i="18"/>
  <c r="R36" i="18"/>
  <c r="BG36" i="18"/>
  <c r="BH36" i="18"/>
  <c r="BA36" i="18"/>
  <c r="BB36" i="18"/>
  <c r="AV34" i="18"/>
  <c r="AB34" i="18"/>
  <c r="AL34" i="18"/>
  <c r="BB34" i="18"/>
  <c r="H34" i="18"/>
  <c r="BE34" i="18"/>
  <c r="R34" i="18"/>
  <c r="BG34" i="18"/>
  <c r="BA34" i="18"/>
  <c r="BC34" i="18"/>
  <c r="BD34" i="18"/>
  <c r="BF34" i="18"/>
  <c r="BH34" i="18"/>
  <c r="AB32" i="18"/>
  <c r="AV32" i="18"/>
  <c r="AL32" i="18"/>
  <c r="BE32" i="18"/>
  <c r="BF32" i="18"/>
  <c r="BC32" i="18"/>
  <c r="H32" i="18"/>
  <c r="R32" i="18"/>
  <c r="BD32" i="18"/>
  <c r="BG32" i="18"/>
  <c r="BH32" i="18"/>
  <c r="BB32" i="18"/>
  <c r="BA32" i="18"/>
  <c r="AV30" i="18"/>
  <c r="AB30" i="18"/>
  <c r="AL30" i="18"/>
  <c r="R30" i="18"/>
  <c r="BB30" i="18"/>
  <c r="BE30" i="18"/>
  <c r="H30" i="18"/>
  <c r="BG30" i="18"/>
  <c r="BA30" i="18"/>
  <c r="BC30" i="18"/>
  <c r="BF30" i="18"/>
  <c r="BH30" i="18"/>
  <c r="BD30" i="18"/>
  <c r="AB28" i="18"/>
  <c r="AV28" i="18"/>
  <c r="AL28" i="18"/>
  <c r="H28" i="18"/>
  <c r="R28" i="18"/>
  <c r="BE28" i="18"/>
  <c r="BF28" i="18"/>
  <c r="BC28" i="18"/>
  <c r="BB28" i="18"/>
  <c r="BG28" i="18"/>
  <c r="BH28" i="18"/>
  <c r="BA28" i="18"/>
  <c r="BD28" i="18"/>
  <c r="AB26" i="18"/>
  <c r="AL26" i="18"/>
  <c r="AV26" i="18"/>
  <c r="H26" i="18"/>
  <c r="BB26" i="18"/>
  <c r="BD26" i="18"/>
  <c r="BE26" i="18"/>
  <c r="BC26" i="18"/>
  <c r="BH26" i="18"/>
  <c r="BF26" i="18"/>
  <c r="R26" i="18"/>
  <c r="BA26" i="18"/>
  <c r="BG26" i="18"/>
  <c r="AV24" i="18"/>
  <c r="AL24" i="18"/>
  <c r="AB24" i="18"/>
  <c r="BC24" i="18"/>
  <c r="BE24" i="18"/>
  <c r="BF24" i="18"/>
  <c r="BD24" i="18"/>
  <c r="BB24" i="18"/>
  <c r="H24" i="18"/>
  <c r="R24" i="18"/>
  <c r="BG24" i="18"/>
  <c r="BH24" i="18"/>
  <c r="BA24" i="18"/>
  <c r="AB22" i="18"/>
  <c r="AL22" i="18"/>
  <c r="AV22" i="18"/>
  <c r="BB22" i="18"/>
  <c r="R22" i="18"/>
  <c r="BE22" i="18"/>
  <c r="BA22" i="18"/>
  <c r="BH22" i="18"/>
  <c r="BF22" i="18"/>
  <c r="BG22" i="18"/>
  <c r="H22" i="18"/>
  <c r="BC22" i="18"/>
  <c r="BD22" i="18"/>
  <c r="AB20" i="18"/>
  <c r="AV20" i="18"/>
  <c r="AL20" i="18"/>
  <c r="BE20" i="18"/>
  <c r="BF20" i="18"/>
  <c r="H20" i="18"/>
  <c r="R20" i="18"/>
  <c r="BG20" i="18"/>
  <c r="BH20" i="18"/>
  <c r="BD20" i="18"/>
  <c r="BC20" i="18"/>
  <c r="BA20" i="18"/>
  <c r="BB20" i="18"/>
  <c r="AV18" i="18"/>
  <c r="AB18" i="18"/>
  <c r="AL18" i="18"/>
  <c r="BB18" i="18"/>
  <c r="BD18" i="18"/>
  <c r="H18" i="18"/>
  <c r="BC18" i="18"/>
  <c r="BE18" i="18"/>
  <c r="BG18" i="18"/>
  <c r="BA18" i="18"/>
  <c r="BF18" i="18"/>
  <c r="BH18" i="18"/>
  <c r="R18" i="18"/>
  <c r="AB16" i="18"/>
  <c r="AV16" i="18"/>
  <c r="AL16" i="18"/>
  <c r="BE16" i="18"/>
  <c r="BF16" i="18"/>
  <c r="BA16" i="18"/>
  <c r="BD16" i="18"/>
  <c r="R16" i="18"/>
  <c r="BC16" i="18"/>
  <c r="H16" i="18"/>
  <c r="BG16" i="18"/>
  <c r="BH16" i="18"/>
  <c r="BB16" i="18"/>
  <c r="AV14" i="18"/>
  <c r="AB14" i="18"/>
  <c r="AL14" i="18"/>
  <c r="R14" i="18"/>
  <c r="BC14" i="18"/>
  <c r="BB14" i="18"/>
  <c r="BE14" i="18"/>
  <c r="BF14" i="18"/>
  <c r="BG14" i="18"/>
  <c r="BH14" i="18"/>
  <c r="H14" i="18"/>
  <c r="BA14" i="18"/>
  <c r="BD14" i="18"/>
  <c r="AB12" i="18"/>
  <c r="AV12" i="18"/>
  <c r="AL12" i="18"/>
  <c r="H12" i="18"/>
  <c r="R12" i="18"/>
  <c r="BE12" i="18"/>
  <c r="BF12" i="18"/>
  <c r="BC12" i="18"/>
  <c r="BG12" i="18"/>
  <c r="BH12" i="18"/>
  <c r="BA12" i="18"/>
  <c r="BD12" i="18"/>
  <c r="BB12" i="18"/>
  <c r="R10" i="18"/>
  <c r="BB10" i="18"/>
  <c r="BF10" i="18"/>
  <c r="BA10" i="18"/>
  <c r="BC10" i="18"/>
  <c r="BG10" i="18"/>
  <c r="H10" i="18"/>
  <c r="AB10" i="18"/>
  <c r="AV10" i="18"/>
  <c r="BH10" i="18"/>
  <c r="AL10" i="18"/>
  <c r="BE10" i="18"/>
  <c r="BD10" i="18"/>
  <c r="BG8" i="18"/>
  <c r="BC8" i="18"/>
  <c r="R8" i="18"/>
  <c r="BA8" i="18"/>
  <c r="AV8" i="18"/>
  <c r="H8" i="18"/>
  <c r="AB8" i="18"/>
  <c r="BF8" i="18"/>
  <c r="BB8" i="18"/>
  <c r="BE8" i="18"/>
  <c r="BD8" i="18"/>
  <c r="BH8" i="18"/>
  <c r="AL8" i="18"/>
  <c r="H6" i="18"/>
  <c r="AV6" i="18"/>
  <c r="BB6" i="18"/>
  <c r="BA6" i="18"/>
  <c r="BF6" i="18"/>
  <c r="BE6" i="18"/>
  <c r="BC6" i="18"/>
  <c r="BH6" i="18"/>
  <c r="R6" i="18"/>
  <c r="AL6" i="18"/>
  <c r="BD6" i="18"/>
  <c r="AB6" i="18"/>
  <c r="BG6" i="18"/>
  <c r="AV39" i="18"/>
  <c r="AB39" i="18"/>
  <c r="AL39" i="18"/>
  <c r="R39" i="18"/>
  <c r="BG39" i="18"/>
  <c r="BC39" i="18"/>
  <c r="BB39" i="18"/>
  <c r="H39" i="18"/>
  <c r="BE39" i="18"/>
  <c r="BA39" i="18"/>
  <c r="BD39" i="18"/>
  <c r="BH39" i="18"/>
  <c r="BF39" i="18"/>
  <c r="AM38" i="18"/>
  <c r="I38" i="18"/>
  <c r="AW38" i="18"/>
  <c r="S38" i="18"/>
  <c r="AC38" i="18"/>
  <c r="K38" i="18"/>
  <c r="U38" i="18"/>
  <c r="AE38" i="18"/>
  <c r="AY38" i="18"/>
  <c r="AO38" i="18"/>
  <c r="AM36" i="18"/>
  <c r="I36" i="18"/>
  <c r="AW36" i="18"/>
  <c r="S36" i="18"/>
  <c r="AC36" i="18"/>
  <c r="U36" i="18"/>
  <c r="AE36" i="18"/>
  <c r="AY36" i="18"/>
  <c r="AO36" i="18"/>
  <c r="K36" i="18"/>
  <c r="AM34" i="18"/>
  <c r="I34" i="18"/>
  <c r="AW34" i="18"/>
  <c r="S34" i="18"/>
  <c r="AC34" i="18"/>
  <c r="K34" i="18"/>
  <c r="AY34" i="18"/>
  <c r="U34" i="18"/>
  <c r="AO34" i="18"/>
  <c r="AE34" i="18"/>
  <c r="I32" i="18"/>
  <c r="AW32" i="18"/>
  <c r="S32" i="18"/>
  <c r="AC32" i="18"/>
  <c r="AM32" i="18"/>
  <c r="AE32" i="18"/>
  <c r="K32" i="18"/>
  <c r="AO32" i="18"/>
  <c r="U32" i="18"/>
  <c r="AY32" i="18"/>
  <c r="I30" i="18"/>
  <c r="AW30" i="18"/>
  <c r="S30" i="18"/>
  <c r="AC30" i="18"/>
  <c r="AM30" i="18"/>
  <c r="AE30" i="18"/>
  <c r="AO30" i="18"/>
  <c r="K30" i="18"/>
  <c r="AY30" i="18"/>
  <c r="U30" i="18"/>
  <c r="I28" i="18"/>
  <c r="AG28" i="18"/>
  <c r="AW28" i="18"/>
  <c r="C28" i="18"/>
  <c r="S28" i="18"/>
  <c r="AQ28" i="18"/>
  <c r="M28" i="18"/>
  <c r="AC28" i="18"/>
  <c r="W28" i="18"/>
  <c r="AM28" i="18"/>
  <c r="K28" i="18"/>
  <c r="U28" i="18"/>
  <c r="AY28" i="18"/>
  <c r="AE28" i="18"/>
  <c r="AO28" i="18"/>
  <c r="I26" i="18"/>
  <c r="AG26" i="18"/>
  <c r="AW26" i="18"/>
  <c r="C26" i="18"/>
  <c r="S26" i="18"/>
  <c r="AQ26" i="18"/>
  <c r="M26" i="18"/>
  <c r="AC26" i="18"/>
  <c r="W26" i="18"/>
  <c r="AM26" i="18"/>
  <c r="K26" i="18"/>
  <c r="U26" i="18"/>
  <c r="AY26" i="18"/>
  <c r="AO26" i="18"/>
  <c r="AE26" i="18"/>
  <c r="I24" i="18"/>
  <c r="AG24" i="18"/>
  <c r="AW24" i="18"/>
  <c r="C24" i="18"/>
  <c r="S24" i="18"/>
  <c r="AQ24" i="18"/>
  <c r="M24" i="18"/>
  <c r="AC24" i="18"/>
  <c r="W24" i="18"/>
  <c r="AM24" i="18"/>
  <c r="AO24" i="18"/>
  <c r="U24" i="18"/>
  <c r="K24" i="18"/>
  <c r="AY24" i="18"/>
  <c r="AE24" i="18"/>
  <c r="I22" i="18"/>
  <c r="AG22" i="18"/>
  <c r="AW22" i="18"/>
  <c r="C22" i="18"/>
  <c r="S22" i="18"/>
  <c r="AQ22" i="18"/>
  <c r="M22" i="18"/>
  <c r="AC22" i="18"/>
  <c r="W22" i="18"/>
  <c r="AM22" i="18"/>
  <c r="AO22" i="18"/>
  <c r="K22" i="18"/>
  <c r="AE22" i="18"/>
  <c r="U22" i="18"/>
  <c r="AY22" i="18"/>
  <c r="M20" i="18"/>
  <c r="W20" i="18"/>
  <c r="AM20" i="18"/>
  <c r="I20" i="18"/>
  <c r="AG20" i="18"/>
  <c r="AW20" i="18"/>
  <c r="C20" i="18"/>
  <c r="S20" i="18"/>
  <c r="AQ20" i="18"/>
  <c r="AC20" i="18"/>
  <c r="AE20" i="18"/>
  <c r="AO20" i="18"/>
  <c r="K20" i="18"/>
  <c r="U20" i="18"/>
  <c r="AY20" i="18"/>
  <c r="M18" i="18"/>
  <c r="AC18" i="18"/>
  <c r="W18" i="18"/>
  <c r="AM18" i="18"/>
  <c r="I18" i="18"/>
  <c r="AG18" i="18"/>
  <c r="AW18" i="18"/>
  <c r="C18" i="18"/>
  <c r="S18" i="18"/>
  <c r="AQ18" i="18"/>
  <c r="U18" i="18"/>
  <c r="AE18" i="18"/>
  <c r="AY18" i="18"/>
  <c r="AO18" i="18"/>
  <c r="K18" i="18"/>
  <c r="I16" i="18"/>
  <c r="M16" i="18"/>
  <c r="AC16" i="18"/>
  <c r="C16" i="18"/>
  <c r="W16" i="18"/>
  <c r="AM16" i="18"/>
  <c r="AG16" i="18"/>
  <c r="AW16" i="18"/>
  <c r="S16" i="18"/>
  <c r="AQ16" i="18"/>
  <c r="AO16" i="18"/>
  <c r="AY16" i="18"/>
  <c r="AE16" i="18"/>
  <c r="U16" i="18"/>
  <c r="K16" i="18"/>
  <c r="W14" i="18"/>
  <c r="AM14" i="18"/>
  <c r="I14" i="18"/>
  <c r="AG14" i="18"/>
  <c r="AW14" i="18"/>
  <c r="AQ14" i="18"/>
  <c r="M14" i="18"/>
  <c r="AC14" i="18"/>
  <c r="C14" i="18"/>
  <c r="S14" i="18"/>
  <c r="AO14" i="18"/>
  <c r="AY14" i="18"/>
  <c r="K14" i="18"/>
  <c r="U14" i="18"/>
  <c r="AE14" i="18"/>
  <c r="W12" i="18"/>
  <c r="AM12" i="18"/>
  <c r="I12" i="18"/>
  <c r="AG12" i="18"/>
  <c r="AW12" i="18"/>
  <c r="M12" i="18"/>
  <c r="AC12" i="18"/>
  <c r="C12" i="18"/>
  <c r="S12" i="18"/>
  <c r="AQ12" i="18"/>
  <c r="K12" i="18"/>
  <c r="AO12" i="18"/>
  <c r="U12" i="18"/>
  <c r="AE12" i="18"/>
  <c r="AY12" i="18"/>
  <c r="W10" i="18"/>
  <c r="AM10" i="18"/>
  <c r="I10" i="18"/>
  <c r="AG10" i="18"/>
  <c r="AW10" i="18"/>
  <c r="AQ10" i="18"/>
  <c r="M10" i="18"/>
  <c r="AC10" i="18"/>
  <c r="C10" i="18"/>
  <c r="S10" i="18"/>
  <c r="K10" i="18"/>
  <c r="AO10" i="18"/>
  <c r="AY10" i="18"/>
  <c r="AE10" i="18"/>
  <c r="U10" i="18"/>
  <c r="W8" i="18"/>
  <c r="AM8" i="18"/>
  <c r="I8" i="18"/>
  <c r="AG8" i="18"/>
  <c r="AW8" i="18"/>
  <c r="M8" i="18"/>
  <c r="AC8" i="18"/>
  <c r="C8" i="18"/>
  <c r="S8" i="18"/>
  <c r="AQ8" i="18"/>
  <c r="AY8" i="18"/>
  <c r="AO8" i="18"/>
  <c r="U8" i="18"/>
  <c r="AE8" i="18"/>
  <c r="K8" i="18"/>
  <c r="W6" i="18"/>
  <c r="AM6" i="18"/>
  <c r="I6" i="18"/>
  <c r="AG6" i="18"/>
  <c r="AW6" i="18"/>
  <c r="AQ6" i="18"/>
  <c r="M6" i="18"/>
  <c r="AC6" i="18"/>
  <c r="C6" i="18"/>
  <c r="S6" i="18"/>
  <c r="AE6" i="18"/>
  <c r="K6" i="18"/>
  <c r="AO6" i="18"/>
  <c r="AY6" i="18"/>
  <c r="U6" i="18"/>
  <c r="S39" i="18"/>
  <c r="AC39" i="18"/>
  <c r="AM39" i="18"/>
  <c r="I39" i="18"/>
  <c r="AW39" i="18"/>
  <c r="AO39" i="18"/>
  <c r="K39" i="18"/>
  <c r="AY39" i="18"/>
  <c r="U39" i="18"/>
  <c r="AE39" i="18"/>
  <c r="S4" i="18"/>
  <c r="AG4" i="18"/>
  <c r="M4" i="18"/>
  <c r="AW4" i="18"/>
  <c r="AC4" i="18"/>
  <c r="I4" i="18"/>
  <c r="C4" i="18"/>
  <c r="AQ4" i="18"/>
  <c r="W4" i="18"/>
  <c r="AM4" i="18"/>
  <c r="AE4" i="18"/>
  <c r="K4" i="18"/>
  <c r="AO4" i="18"/>
  <c r="AY4" i="18"/>
  <c r="U4" i="18"/>
  <c r="S37" i="18"/>
  <c r="AC37" i="18"/>
  <c r="AM37" i="18"/>
  <c r="I37" i="18"/>
  <c r="AW37" i="18"/>
  <c r="AO37" i="18"/>
  <c r="K37" i="18"/>
  <c r="U37" i="18"/>
  <c r="AE37" i="18"/>
  <c r="AY37" i="18"/>
  <c r="S35" i="18"/>
  <c r="AC35" i="18"/>
  <c r="AM35" i="18"/>
  <c r="I35" i="18"/>
  <c r="AW35" i="18"/>
  <c r="AY35" i="18"/>
  <c r="AO35" i="18"/>
  <c r="AE35" i="18"/>
  <c r="U35" i="18"/>
  <c r="K35" i="18"/>
  <c r="S33" i="18"/>
  <c r="AC33" i="18"/>
  <c r="AM33" i="18"/>
  <c r="I33" i="18"/>
  <c r="AW33" i="18"/>
  <c r="U33" i="18"/>
  <c r="AE33" i="18"/>
  <c r="AY33" i="18"/>
  <c r="AO33" i="18"/>
  <c r="K33" i="18"/>
  <c r="AC31" i="18"/>
  <c r="AM31" i="18"/>
  <c r="I31" i="18"/>
  <c r="AW31" i="18"/>
  <c r="S31" i="18"/>
  <c r="K31" i="18"/>
  <c r="AY31" i="18"/>
  <c r="U31" i="18"/>
  <c r="AE31" i="18"/>
  <c r="AO31" i="18"/>
  <c r="M29" i="18"/>
  <c r="AC29" i="18"/>
  <c r="W29" i="18"/>
  <c r="AM29" i="18"/>
  <c r="I29" i="18"/>
  <c r="AG29" i="18"/>
  <c r="AW29" i="18"/>
  <c r="C29" i="18"/>
  <c r="S29" i="18"/>
  <c r="AQ29" i="18"/>
  <c r="AE29" i="18"/>
  <c r="U29" i="18"/>
  <c r="AO29" i="18"/>
  <c r="AY29" i="18"/>
  <c r="K29" i="18"/>
  <c r="M27" i="18"/>
  <c r="AC27" i="18"/>
  <c r="W27" i="18"/>
  <c r="AM27" i="18"/>
  <c r="I27" i="18"/>
  <c r="AG27" i="18"/>
  <c r="AW27" i="18"/>
  <c r="C27" i="18"/>
  <c r="S27" i="18"/>
  <c r="AQ27" i="18"/>
  <c r="U27" i="18"/>
  <c r="AE27" i="18"/>
  <c r="AO27" i="18"/>
  <c r="AY27" i="18"/>
  <c r="K27" i="18"/>
  <c r="M25" i="18"/>
  <c r="AC25" i="18"/>
  <c r="W25" i="18"/>
  <c r="AM25" i="18"/>
  <c r="I25" i="18"/>
  <c r="AG25" i="18"/>
  <c r="AW25" i="18"/>
  <c r="C25" i="18"/>
  <c r="S25" i="18"/>
  <c r="AQ25" i="18"/>
  <c r="U25" i="18"/>
  <c r="K25" i="18"/>
  <c r="AO25" i="18"/>
  <c r="AY25" i="18"/>
  <c r="AE25" i="18"/>
  <c r="M23" i="18"/>
  <c r="AC23" i="18"/>
  <c r="W23" i="18"/>
  <c r="AM23" i="18"/>
  <c r="I23" i="18"/>
  <c r="AG23" i="18"/>
  <c r="AW23" i="18"/>
  <c r="C23" i="18"/>
  <c r="S23" i="18"/>
  <c r="AQ23" i="18"/>
  <c r="AY23" i="18"/>
  <c r="U23" i="18"/>
  <c r="AO23" i="18"/>
  <c r="AE23" i="18"/>
  <c r="K23" i="18"/>
  <c r="C21" i="18"/>
  <c r="S21" i="18"/>
  <c r="AQ21" i="18"/>
  <c r="M21" i="18"/>
  <c r="AC21" i="18"/>
  <c r="W21" i="18"/>
  <c r="AM21" i="18"/>
  <c r="AG21" i="18"/>
  <c r="I21" i="18"/>
  <c r="AW21" i="18"/>
  <c r="AY21" i="18"/>
  <c r="AE21" i="18"/>
  <c r="U21" i="18"/>
  <c r="K21" i="18"/>
  <c r="AO21" i="18"/>
  <c r="I19" i="18"/>
  <c r="AG19" i="18"/>
  <c r="AW19" i="18"/>
  <c r="C19" i="18"/>
  <c r="S19" i="18"/>
  <c r="AQ19" i="18"/>
  <c r="M19" i="18"/>
  <c r="AC19" i="18"/>
  <c r="W19" i="18"/>
  <c r="AM19" i="18"/>
  <c r="I18" i="3" s="1"/>
  <c r="K19" i="18"/>
  <c r="AY19" i="18"/>
  <c r="U19" i="18"/>
  <c r="AO19" i="18"/>
  <c r="AE19" i="18"/>
  <c r="I17" i="18"/>
  <c r="AG17" i="18"/>
  <c r="AW17" i="18"/>
  <c r="C17" i="18"/>
  <c r="S17" i="18"/>
  <c r="AQ17" i="18"/>
  <c r="M17" i="18"/>
  <c r="AC17" i="18"/>
  <c r="W17" i="18"/>
  <c r="AM17" i="18"/>
  <c r="U17" i="18"/>
  <c r="K17" i="18"/>
  <c r="AY17" i="18"/>
  <c r="AO17" i="18"/>
  <c r="AE17" i="18"/>
  <c r="C15" i="18"/>
  <c r="S15" i="18"/>
  <c r="AQ15" i="18"/>
  <c r="M15" i="18"/>
  <c r="AC15" i="18"/>
  <c r="I15" i="18"/>
  <c r="AG15" i="18"/>
  <c r="AW15" i="18"/>
  <c r="W15" i="18"/>
  <c r="AM15" i="18"/>
  <c r="K15" i="18"/>
  <c r="AO15" i="18"/>
  <c r="AE15" i="18"/>
  <c r="AY15" i="18"/>
  <c r="U15" i="18"/>
  <c r="C13" i="18"/>
  <c r="S13" i="18"/>
  <c r="AQ13" i="18"/>
  <c r="M13" i="18"/>
  <c r="AC13" i="18"/>
  <c r="AG13" i="18"/>
  <c r="AW13" i="18"/>
  <c r="W13" i="18"/>
  <c r="AM13" i="18"/>
  <c r="I13" i="18"/>
  <c r="K13" i="18"/>
  <c r="AE13" i="18"/>
  <c r="AO13" i="18"/>
  <c r="AY13" i="18"/>
  <c r="U13" i="18"/>
  <c r="C11" i="18"/>
  <c r="S11" i="18"/>
  <c r="AQ11" i="18"/>
  <c r="M11" i="18"/>
  <c r="AC11" i="18"/>
  <c r="I11" i="18"/>
  <c r="AG11" i="18"/>
  <c r="AW11" i="18"/>
  <c r="W11" i="18"/>
  <c r="AM11" i="18"/>
  <c r="AE11" i="18"/>
  <c r="AO11" i="18"/>
  <c r="K11" i="18"/>
  <c r="U11" i="18"/>
  <c r="AY11" i="18"/>
  <c r="C9" i="18"/>
  <c r="S9" i="18"/>
  <c r="AQ9" i="18"/>
  <c r="M9" i="18"/>
  <c r="AC9" i="18"/>
  <c r="AG9" i="18"/>
  <c r="AW9" i="18"/>
  <c r="W9" i="18"/>
  <c r="AM9" i="18"/>
  <c r="I9" i="18"/>
  <c r="K9" i="18"/>
  <c r="AE9" i="18"/>
  <c r="AO9" i="18"/>
  <c r="U9" i="18"/>
  <c r="AY9" i="18"/>
  <c r="C7" i="18"/>
  <c r="S7" i="18"/>
  <c r="AQ7" i="18"/>
  <c r="M7" i="18"/>
  <c r="AC7" i="18"/>
  <c r="I7" i="18"/>
  <c r="AG7" i="18"/>
  <c r="AW7" i="18"/>
  <c r="W7" i="18"/>
  <c r="AM7" i="18"/>
  <c r="AE7" i="18"/>
  <c r="U7" i="18"/>
  <c r="AY7" i="18"/>
  <c r="AO7" i="18"/>
  <c r="K7" i="18"/>
  <c r="C5" i="18"/>
  <c r="S5" i="18"/>
  <c r="AQ5" i="18"/>
  <c r="M5" i="18"/>
  <c r="AC5" i="18"/>
  <c r="AG5" i="18"/>
  <c r="AW5" i="18"/>
  <c r="W5" i="18"/>
  <c r="AM5" i="18"/>
  <c r="I5" i="18"/>
  <c r="AO5" i="18"/>
  <c r="AY5" i="18"/>
  <c r="U5" i="18"/>
  <c r="K5" i="18"/>
  <c r="AE5" i="18"/>
  <c r="G28" i="16"/>
  <c r="G29" i="16"/>
  <c r="G30" i="16"/>
  <c r="G31" i="16"/>
  <c r="G32" i="16"/>
  <c r="G33" i="16"/>
  <c r="G34" i="16"/>
  <c r="G35" i="16"/>
  <c r="G36" i="16"/>
  <c r="G37" i="16"/>
  <c r="G38" i="16"/>
  <c r="G28" i="15"/>
  <c r="G29" i="15"/>
  <c r="G30" i="15"/>
  <c r="G31" i="15"/>
  <c r="G32" i="15"/>
  <c r="G33" i="15"/>
  <c r="G34" i="15"/>
  <c r="G35" i="15"/>
  <c r="G36" i="15"/>
  <c r="G37" i="15"/>
  <c r="G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I16" i="3" l="1"/>
  <c r="I17" i="3"/>
  <c r="I19" i="3"/>
  <c r="K15" i="3"/>
  <c r="K16" i="3"/>
  <c r="K19" i="3"/>
  <c r="K17" i="3"/>
  <c r="K18" i="3"/>
  <c r="I15" i="3"/>
  <c r="T5" i="18"/>
  <c r="V5" i="18" s="1"/>
  <c r="T13" i="18"/>
  <c r="V13" i="18" s="1"/>
  <c r="AX17" i="18"/>
  <c r="AZ17" i="18" s="1"/>
  <c r="C15" i="3"/>
  <c r="AN27" i="18"/>
  <c r="AP27" i="18" s="1"/>
  <c r="AX33" i="18"/>
  <c r="AZ33" i="18" s="1"/>
  <c r="AD35" i="18"/>
  <c r="AF35" i="18" s="1"/>
  <c r="T4" i="18"/>
  <c r="AN4" i="18"/>
  <c r="AP4" i="18" s="1"/>
  <c r="AN8" i="18"/>
  <c r="AP8" i="18" s="1"/>
  <c r="AX12" i="18"/>
  <c r="AZ12" i="18" s="1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T17" i="18"/>
  <c r="V17" i="18" s="1"/>
  <c r="AD27" i="18"/>
  <c r="AF27" i="18" s="1"/>
  <c r="AX29" i="18"/>
  <c r="AZ29" i="18" s="1"/>
  <c r="AN35" i="18"/>
  <c r="J6" i="18"/>
  <c r="L6" i="18" s="1"/>
  <c r="T16" i="18"/>
  <c r="V16" i="18" s="1"/>
  <c r="J20" i="18"/>
  <c r="L20" i="18" s="1"/>
  <c r="AD20" i="18"/>
  <c r="AF20" i="18" s="1"/>
  <c r="AX26" i="18"/>
  <c r="AZ26" i="18" s="1"/>
  <c r="AN5" i="18"/>
  <c r="AP5" i="18" s="1"/>
  <c r="J5" i="18"/>
  <c r="L5" i="18" s="1"/>
  <c r="AX7" i="18"/>
  <c r="AZ7" i="18" s="1"/>
  <c r="AN17" i="18"/>
  <c r="AP17" i="18" s="1"/>
  <c r="T27" i="18"/>
  <c r="V27" i="18" s="1"/>
  <c r="AD29" i="18"/>
  <c r="AF29" i="18" s="1"/>
  <c r="AN37" i="18"/>
  <c r="AD37" i="18"/>
  <c r="AF37" i="18" s="1"/>
  <c r="H18" i="3"/>
  <c r="AX6" i="18"/>
  <c r="AZ6" i="18" s="1"/>
  <c r="J8" i="18"/>
  <c r="L8" i="18" s="1"/>
  <c r="T10" i="18"/>
  <c r="V10" i="18" s="1"/>
  <c r="AN10" i="18"/>
  <c r="AP10" i="18" s="1"/>
  <c r="AD10" i="18"/>
  <c r="AF10" i="18" s="1"/>
  <c r="AX14" i="18"/>
  <c r="AZ14" i="18" s="1"/>
  <c r="AX18" i="18"/>
  <c r="AZ18" i="18" s="1"/>
  <c r="AD22" i="18"/>
  <c r="AF22" i="18" s="1"/>
  <c r="J26" i="18"/>
  <c r="L26" i="18" s="1"/>
  <c r="AN26" i="18"/>
  <c r="AP26" i="18" s="1"/>
  <c r="T28" i="18"/>
  <c r="V28" i="18" s="1"/>
  <c r="AX28" i="18"/>
  <c r="AZ28" i="18" s="1"/>
  <c r="AD30" i="18"/>
  <c r="AF30" i="18" s="1"/>
  <c r="AD32" i="18"/>
  <c r="AF32" i="18" s="1"/>
  <c r="J32" i="18"/>
  <c r="L32" i="18" s="1"/>
  <c r="T34" i="18"/>
  <c r="V34" i="18" s="1"/>
  <c r="AX34" i="18"/>
  <c r="AZ34" i="18" s="1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AX42" i="18"/>
  <c r="AZ42" i="18" s="1"/>
  <c r="T42" i="18"/>
  <c r="V42" i="18" s="1"/>
  <c r="AD40" i="18"/>
  <c r="AF40" i="18" s="1"/>
  <c r="AN40" i="18"/>
  <c r="AP40" i="18" s="1"/>
  <c r="J40" i="18"/>
  <c r="L40" i="18" s="1"/>
  <c r="AX41" i="18"/>
  <c r="AZ41" i="18" s="1"/>
  <c r="T41" i="18"/>
  <c r="V41" i="18" s="1"/>
  <c r="AX40" i="18"/>
  <c r="AZ40" i="18" s="1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X4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X10" i="24"/>
  <c r="I34" i="24"/>
  <c r="S18" i="24"/>
  <c r="I18" i="24"/>
  <c r="D8" i="24"/>
  <c r="N20" i="24"/>
  <c r="X40" i="24"/>
  <c r="I32" i="24"/>
  <c r="S32" i="24"/>
  <c r="S16" i="24"/>
  <c r="X12" i="24"/>
  <c r="D6" i="24"/>
  <c r="I6" i="24"/>
  <c r="X26" i="24"/>
  <c r="N38" i="24"/>
  <c r="S30" i="24"/>
  <c r="D14" i="24"/>
  <c r="I14" i="24"/>
  <c r="D10" i="24"/>
  <c r="I10" i="24"/>
  <c r="X22" i="24"/>
  <c r="N27" i="24"/>
  <c r="N11" i="24"/>
  <c r="X29" i="24"/>
  <c r="X5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X28" i="24"/>
  <c r="S22" i="24"/>
  <c r="I16" i="24"/>
  <c r="D16" i="24"/>
  <c r="N6" i="24"/>
  <c r="X25" i="24"/>
  <c r="X17" i="24"/>
  <c r="D30" i="24"/>
  <c r="I24" i="24"/>
  <c r="S24" i="24"/>
  <c r="X20" i="24"/>
  <c r="N14" i="24"/>
  <c r="N10" i="24"/>
  <c r="N28" i="24"/>
  <c r="X6" i="24"/>
  <c r="N39" i="24"/>
  <c r="N23" i="24"/>
  <c r="X41" i="24"/>
  <c r="X21" i="24"/>
  <c r="D27" i="24"/>
  <c r="D11" i="24"/>
  <c r="I37" i="24"/>
  <c r="I21" i="24"/>
  <c r="I5" i="24"/>
  <c r="S27" i="24"/>
  <c r="S11" i="24"/>
  <c r="X14" i="24"/>
  <c r="S34" i="24"/>
  <c r="D26" i="24"/>
  <c r="I8" i="24"/>
  <c r="D40" i="24"/>
  <c r="D36" i="24"/>
  <c r="X32" i="24"/>
  <c r="I28" i="24"/>
  <c r="S28" i="24"/>
  <c r="D22" i="24"/>
  <c r="I22" i="24"/>
  <c r="X16" i="24"/>
  <c r="I12" i="24"/>
  <c r="S12" i="24"/>
  <c r="N40" i="24"/>
  <c r="N7" i="24"/>
  <c r="N32" i="24"/>
  <c r="S38" i="24"/>
  <c r="X24" i="24"/>
  <c r="D24" i="24"/>
  <c r="S20" i="24"/>
  <c r="N24" i="24"/>
  <c r="N12" i="24"/>
  <c r="N35" i="24"/>
  <c r="N19" i="24"/>
  <c r="X37" i="24"/>
  <c r="X13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X38" i="24"/>
  <c r="I4" i="24"/>
  <c r="X9" i="24"/>
  <c r="N4" i="24"/>
  <c r="S19" i="24"/>
  <c r="N41" i="24"/>
  <c r="N25" i="24"/>
  <c r="N9" i="24"/>
  <c r="X31" i="24"/>
  <c r="X15" i="24"/>
  <c r="X30" i="24"/>
  <c r="X34" i="24"/>
  <c r="N16" i="24"/>
  <c r="I38" i="24"/>
  <c r="I30" i="24"/>
  <c r="S14" i="24"/>
  <c r="S10" i="24"/>
  <c r="X18" i="24"/>
  <c r="N31" i="24"/>
  <c r="I29" i="24"/>
  <c r="N37" i="24"/>
  <c r="N21" i="24"/>
  <c r="N5" i="24"/>
  <c r="X27" i="24"/>
  <c r="X11" i="24"/>
  <c r="D34" i="24"/>
  <c r="I40" i="24"/>
  <c r="N22" i="24"/>
  <c r="D12" i="24"/>
  <c r="I20" i="24"/>
  <c r="N15" i="24"/>
  <c r="D35" i="24"/>
  <c r="I13" i="24"/>
  <c r="D4" i="24"/>
  <c r="N33" i="24"/>
  <c r="N17" i="24"/>
  <c r="X39" i="24"/>
  <c r="X23" i="24"/>
  <c r="X7" i="24"/>
  <c r="X36" i="24"/>
  <c r="D28" i="24"/>
  <c r="D19" i="24"/>
  <c r="N29" i="24"/>
  <c r="N26" i="24"/>
  <c r="X19" i="24"/>
  <c r="N18" i="24"/>
  <c r="S35" i="24"/>
  <c r="N13" i="24"/>
  <c r="X8" i="24"/>
  <c r="D38" i="24"/>
  <c r="X33" i="24"/>
  <c r="X35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AX23" i="18"/>
  <c r="AZ23" i="18" s="1"/>
  <c r="J29" i="18"/>
  <c r="L29" i="18" s="1"/>
  <c r="AN29" i="18"/>
  <c r="AP29" i="18" s="1"/>
  <c r="AD5" i="18"/>
  <c r="AD7" i="18"/>
  <c r="AF7" i="18" s="1"/>
  <c r="J7" i="18"/>
  <c r="L7" i="18" s="1"/>
  <c r="T9" i="18"/>
  <c r="V9" i="18" s="1"/>
  <c r="AX9" i="18"/>
  <c r="AZ9" i="18" s="1"/>
  <c r="L11" i="18"/>
  <c r="AD13" i="18"/>
  <c r="AF13" i="18" s="1"/>
  <c r="AN15" i="18"/>
  <c r="AP15" i="18" s="1"/>
  <c r="T15" i="18"/>
  <c r="V15" i="18" s="1"/>
  <c r="AX15" i="18"/>
  <c r="AZ15" i="18" s="1"/>
  <c r="C17" i="3"/>
  <c r="C22" i="3"/>
  <c r="T19" i="18"/>
  <c r="AX19" i="18"/>
  <c r="AD21" i="18"/>
  <c r="AF21" i="18" s="1"/>
  <c r="AX21" i="18"/>
  <c r="AZ21" i="18" s="1"/>
  <c r="J23" i="18"/>
  <c r="L23" i="18" s="1"/>
  <c r="AN23" i="18"/>
  <c r="AP23" i="18" s="1"/>
  <c r="AD23" i="18"/>
  <c r="AF23" i="18" s="1"/>
  <c r="AX25" i="18"/>
  <c r="AZ25" i="18" s="1"/>
  <c r="T29" i="18"/>
  <c r="V29" i="18" s="1"/>
  <c r="J31" i="18"/>
  <c r="AN31" i="18"/>
  <c r="AP31" i="18" s="1"/>
  <c r="AD31" i="18"/>
  <c r="AF31" i="18" s="1"/>
  <c r="AP35" i="18"/>
  <c r="J35" i="18"/>
  <c r="AP37" i="18"/>
  <c r="T37" i="18"/>
  <c r="V37" i="18" s="1"/>
  <c r="AX37" i="18"/>
  <c r="AZ37" i="18" s="1"/>
  <c r="V4" i="18"/>
  <c r="D22" i="3"/>
  <c r="AD4" i="18"/>
  <c r="AF4" i="18" s="1"/>
  <c r="AN39" i="18"/>
  <c r="AD39" i="18"/>
  <c r="AF39" i="18" s="1"/>
  <c r="AX8" i="18"/>
  <c r="AZ8" i="18" s="1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AX22" i="18"/>
  <c r="AZ22" i="18" s="1"/>
  <c r="AD24" i="18"/>
  <c r="AF24" i="18" s="1"/>
  <c r="J28" i="18"/>
  <c r="L28" i="18" s="1"/>
  <c r="AN28" i="18"/>
  <c r="AP28" i="18" s="1"/>
  <c r="T30" i="18"/>
  <c r="V30" i="18" s="1"/>
  <c r="AX30" i="18"/>
  <c r="AZ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AX36" i="18"/>
  <c r="AZ36" i="18" s="1"/>
  <c r="Y9" i="24"/>
  <c r="J7" i="24"/>
  <c r="J15" i="24"/>
  <c r="J23" i="24"/>
  <c r="J31" i="24"/>
  <c r="J39" i="24"/>
  <c r="T5" i="24"/>
  <c r="T13" i="24"/>
  <c r="T21" i="24"/>
  <c r="T29" i="24"/>
  <c r="T41" i="24"/>
  <c r="Y41" i="24"/>
  <c r="O4" i="24"/>
  <c r="Y4" i="18" s="1"/>
  <c r="J34" i="24"/>
  <c r="J26" i="24"/>
  <c r="O18" i="24"/>
  <c r="O8" i="24"/>
  <c r="J36" i="24"/>
  <c r="O36" i="24"/>
  <c r="Y32" i="24"/>
  <c r="Y22" i="24"/>
  <c r="Y16" i="24"/>
  <c r="J12" i="24"/>
  <c r="T12" i="24"/>
  <c r="T35" i="24"/>
  <c r="T19" i="24"/>
  <c r="E38" i="24"/>
  <c r="J20" i="24"/>
  <c r="T20" i="24"/>
  <c r="E20" i="24"/>
  <c r="Y14" i="24"/>
  <c r="O14" i="24"/>
  <c r="Y10" i="24"/>
  <c r="T11" i="24"/>
  <c r="E33" i="24"/>
  <c r="O31" i="24"/>
  <c r="Y31" i="24"/>
  <c r="E29" i="24"/>
  <c r="Y27" i="24"/>
  <c r="Y21" i="24"/>
  <c r="O21" i="24"/>
  <c r="Y15" i="24"/>
  <c r="E13" i="24"/>
  <c r="Y11" i="24"/>
  <c r="E11" i="24"/>
  <c r="E9" i="24"/>
  <c r="Y4" i="24"/>
  <c r="AS4" i="18" s="1"/>
  <c r="T17" i="24"/>
  <c r="J19" i="24"/>
  <c r="O26" i="24"/>
  <c r="T8" i="24"/>
  <c r="Y40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Y38" i="24"/>
  <c r="Y30" i="24"/>
  <c r="O30" i="24"/>
  <c r="Y24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Y23" i="24"/>
  <c r="E21" i="24"/>
  <c r="Y19" i="24"/>
  <c r="E19" i="24"/>
  <c r="O17" i="24"/>
  <c r="O9" i="24"/>
  <c r="Y7" i="24"/>
  <c r="Y5" i="24"/>
  <c r="AS5" i="18" s="1"/>
  <c r="O5" i="24"/>
  <c r="Y5" i="18" s="1"/>
  <c r="T39" i="24"/>
  <c r="T9" i="24"/>
  <c r="J11" i="24"/>
  <c r="O34" i="24"/>
  <c r="E26" i="24"/>
  <c r="Y18" i="24"/>
  <c r="T18" i="24"/>
  <c r="E18" i="24"/>
  <c r="Y8" i="24"/>
  <c r="J8" i="24"/>
  <c r="E8" i="24"/>
  <c r="J40" i="24"/>
  <c r="O40" i="24"/>
  <c r="T32" i="24"/>
  <c r="Y28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Y37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Y17" i="24"/>
  <c r="J18" i="24"/>
  <c r="Y12" i="24"/>
  <c r="Y6" i="24"/>
  <c r="AS6" i="18" s="1"/>
  <c r="O6" i="24"/>
  <c r="Y6" i="18" s="1"/>
  <c r="Y33" i="24"/>
  <c r="E41" i="24"/>
  <c r="O39" i="24"/>
  <c r="E37" i="24"/>
  <c r="Y35" i="24"/>
  <c r="E7" i="24"/>
  <c r="E4" i="24"/>
  <c r="E4" i="18" s="1"/>
  <c r="T37" i="24"/>
  <c r="T7" i="24"/>
  <c r="J17" i="24"/>
  <c r="Y34" i="24"/>
  <c r="Y26" i="24"/>
  <c r="O16" i="24"/>
  <c r="E30" i="24"/>
  <c r="T24" i="24"/>
  <c r="O10" i="24"/>
  <c r="Y10" i="18" s="1"/>
  <c r="T27" i="24"/>
  <c r="Y39" i="24"/>
  <c r="Y29" i="24"/>
  <c r="O19" i="24"/>
  <c r="E17" i="24"/>
  <c r="O15" i="24"/>
  <c r="T31" i="24"/>
  <c r="J41" i="24"/>
  <c r="J9" i="24"/>
  <c r="J13" i="24"/>
  <c r="E10" i="24"/>
  <c r="O29" i="24"/>
  <c r="Y13" i="24"/>
  <c r="J4" i="24"/>
  <c r="O4" i="18" s="1"/>
  <c r="J33" i="24"/>
  <c r="Y20" i="24"/>
  <c r="E27" i="24"/>
  <c r="J28" i="24"/>
  <c r="J6" i="24"/>
  <c r="E23" i="24"/>
  <c r="Y25" i="24"/>
  <c r="T23" i="24"/>
  <c r="AI23" i="18" s="1"/>
  <c r="E40" i="24"/>
  <c r="O32" i="24"/>
  <c r="E12" i="24"/>
  <c r="O25" i="24"/>
  <c r="T25" i="24"/>
  <c r="Y36" i="24"/>
  <c r="AX5" i="18"/>
  <c r="AZ5" i="18" s="1"/>
  <c r="AX13" i="18"/>
  <c r="AZ13" i="18" s="1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J17" i="3" s="1"/>
  <c r="AX31" i="18"/>
  <c r="AZ31" i="18" s="1"/>
  <c r="J33" i="18"/>
  <c r="L33" i="18" s="1"/>
  <c r="L35" i="18"/>
  <c r="T35" i="18"/>
  <c r="V35" i="18" s="1"/>
  <c r="AX35" i="18"/>
  <c r="AZ35" i="18" s="1"/>
  <c r="J4" i="18"/>
  <c r="L4" i="18" s="1"/>
  <c r="AF5" i="18"/>
  <c r="AN9" i="18"/>
  <c r="AP9" i="18" s="1"/>
  <c r="J9" i="18"/>
  <c r="L9" i="18" s="1"/>
  <c r="AN11" i="18"/>
  <c r="AP11" i="18" s="1"/>
  <c r="T11" i="18"/>
  <c r="V11" i="18" s="1"/>
  <c r="AX11" i="18"/>
  <c r="AZ11" i="18" s="1"/>
  <c r="AD15" i="18"/>
  <c r="AF15" i="18" s="1"/>
  <c r="J15" i="18"/>
  <c r="L15" i="18" s="1"/>
  <c r="AD17" i="18"/>
  <c r="AF17" i="18" s="1"/>
  <c r="C16" i="3"/>
  <c r="C19" i="3"/>
  <c r="J19" i="18"/>
  <c r="J15" i="3" s="1"/>
  <c r="AN19" i="18"/>
  <c r="J18" i="3" s="1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AX27" i="18"/>
  <c r="AZ27" i="18" s="1"/>
  <c r="L31" i="18"/>
  <c r="T31" i="18"/>
  <c r="V31" i="18" s="1"/>
  <c r="AN33" i="18"/>
  <c r="AP33" i="18" s="1"/>
  <c r="AD33" i="18"/>
  <c r="AF33" i="18" s="1"/>
  <c r="J37" i="18"/>
  <c r="L37" i="18" s="1"/>
  <c r="AX4" i="18"/>
  <c r="AZ4" i="18" s="1"/>
  <c r="H16" i="3"/>
  <c r="H19" i="3"/>
  <c r="AP39" i="18"/>
  <c r="T39" i="18"/>
  <c r="V39" i="18" s="1"/>
  <c r="AX39" i="18"/>
  <c r="AZ39" i="18" s="1"/>
  <c r="T6" i="18"/>
  <c r="V6" i="18" s="1"/>
  <c r="AN6" i="18"/>
  <c r="AP6" i="18" s="1"/>
  <c r="AD6" i="18"/>
  <c r="AF6" i="18" s="1"/>
  <c r="AX10" i="18"/>
  <c r="AZ10" i="18" s="1"/>
  <c r="J12" i="18"/>
  <c r="L12" i="18" s="1"/>
  <c r="T14" i="18"/>
  <c r="V14" i="18" s="1"/>
  <c r="AN14" i="18"/>
  <c r="AP14" i="18" s="1"/>
  <c r="AD14" i="18"/>
  <c r="AF14" i="18" s="1"/>
  <c r="AX16" i="18"/>
  <c r="AZ16" i="18" s="1"/>
  <c r="AN16" i="18"/>
  <c r="AP16" i="18" s="1"/>
  <c r="AD16" i="18"/>
  <c r="AF16" i="18" s="1"/>
  <c r="T18" i="18"/>
  <c r="V18" i="18" s="1"/>
  <c r="AX20" i="18"/>
  <c r="AZ20" i="18" s="1"/>
  <c r="J22" i="18"/>
  <c r="L22" i="18" s="1"/>
  <c r="AN22" i="18"/>
  <c r="AP22" i="18" s="1"/>
  <c r="T24" i="18"/>
  <c r="V24" i="18" s="1"/>
  <c r="AX24" i="18"/>
  <c r="AZ24" i="18" s="1"/>
  <c r="AD26" i="18"/>
  <c r="AF26" i="18" s="1"/>
  <c r="J30" i="18"/>
  <c r="L30" i="18" s="1"/>
  <c r="AN30" i="18"/>
  <c r="AP30" i="18" s="1"/>
  <c r="AX32" i="18"/>
  <c r="AZ32" i="18" s="1"/>
  <c r="J36" i="18"/>
  <c r="L36" i="18" s="1"/>
  <c r="AN36" i="18"/>
  <c r="AP36" i="18" s="1"/>
  <c r="AD36" i="18"/>
  <c r="AF36" i="18" s="1"/>
  <c r="T38" i="18"/>
  <c r="V38" i="18" s="1"/>
  <c r="AX38" i="18"/>
  <c r="AZ38" i="18" s="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G35" i="19" l="1"/>
  <c r="W35" i="24" s="1"/>
  <c r="L35" i="19"/>
  <c r="E33" i="19"/>
  <c r="M33" i="24" s="1"/>
  <c r="H33" i="19"/>
  <c r="C33" i="19"/>
  <c r="C33" i="24" s="1"/>
  <c r="H39" i="19"/>
  <c r="D39" i="19"/>
  <c r="H39" i="24" s="1"/>
  <c r="M31" i="19"/>
  <c r="L31" i="19"/>
  <c r="C37" i="19"/>
  <c r="C37" i="24" s="1"/>
  <c r="G37" i="19"/>
  <c r="W37" i="24" s="1"/>
  <c r="I41" i="19"/>
  <c r="L41" i="19"/>
  <c r="M30" i="19"/>
  <c r="C30" i="19"/>
  <c r="C30" i="24" s="1"/>
  <c r="F32" i="19"/>
  <c r="R32" i="24" s="1"/>
  <c r="I32" i="19"/>
  <c r="C34" i="19"/>
  <c r="C34" i="24" s="1"/>
  <c r="I34" i="19"/>
  <c r="D36" i="19"/>
  <c r="H36" i="24" s="1"/>
  <c r="F36" i="19"/>
  <c r="R36" i="24" s="1"/>
  <c r="I36" i="19"/>
  <c r="C38" i="19"/>
  <c r="C38" i="24" s="1"/>
  <c r="E38" i="19"/>
  <c r="M38" i="24" s="1"/>
  <c r="C40" i="19"/>
  <c r="C40" i="24" s="1"/>
  <c r="F40" i="19"/>
  <c r="R40" i="24" s="1"/>
  <c r="E42" i="19"/>
  <c r="H42" i="19"/>
  <c r="F35" i="19"/>
  <c r="R35" i="24" s="1"/>
  <c r="D35" i="19"/>
  <c r="H35" i="24" s="1"/>
  <c r="I33" i="19"/>
  <c r="F33" i="19"/>
  <c r="R33" i="24" s="1"/>
  <c r="C39" i="19"/>
  <c r="C39" i="24" s="1"/>
  <c r="F39" i="19"/>
  <c r="R39" i="24" s="1"/>
  <c r="I39" i="19"/>
  <c r="C31" i="19"/>
  <c r="C31" i="24" s="1"/>
  <c r="F31" i="19"/>
  <c r="R31" i="24" s="1"/>
  <c r="E31" i="19"/>
  <c r="M31" i="24" s="1"/>
  <c r="H37" i="19"/>
  <c r="D37" i="19"/>
  <c r="H37" i="24" s="1"/>
  <c r="G41" i="19"/>
  <c r="W41" i="24" s="1"/>
  <c r="M41" i="19"/>
  <c r="F30" i="19"/>
  <c r="R30" i="24" s="1"/>
  <c r="E30" i="19"/>
  <c r="M30" i="24" s="1"/>
  <c r="L30" i="19"/>
  <c r="M32" i="19"/>
  <c r="E32" i="19"/>
  <c r="M32" i="24" s="1"/>
  <c r="H34" i="19"/>
  <c r="E34" i="19"/>
  <c r="M34" i="24" s="1"/>
  <c r="H36" i="19"/>
  <c r="G36" i="19"/>
  <c r="W36" i="24" s="1"/>
  <c r="F38" i="19"/>
  <c r="R38" i="24" s="1"/>
  <c r="H38" i="19"/>
  <c r="L38" i="19"/>
  <c r="I40" i="19"/>
  <c r="G40" i="19"/>
  <c r="W40" i="24" s="1"/>
  <c r="M42" i="19"/>
  <c r="I42" i="19"/>
  <c r="E41" i="19"/>
  <c r="M41" i="24" s="1"/>
  <c r="H32" i="19"/>
  <c r="D34" i="19"/>
  <c r="H34" i="24" s="1"/>
  <c r="L36" i="19"/>
  <c r="H40" i="19"/>
  <c r="G42" i="19"/>
  <c r="E35" i="19"/>
  <c r="M35" i="24" s="1"/>
  <c r="M35" i="19"/>
  <c r="D33" i="19"/>
  <c r="H33" i="24" s="1"/>
  <c r="L33" i="19"/>
  <c r="G39" i="19"/>
  <c r="W39" i="24" s="1"/>
  <c r="L39" i="19"/>
  <c r="G31" i="19"/>
  <c r="W31" i="24" s="1"/>
  <c r="D31" i="19"/>
  <c r="H31" i="24" s="1"/>
  <c r="E37" i="19"/>
  <c r="M37" i="24" s="1"/>
  <c r="F37" i="19"/>
  <c r="R37" i="24" s="1"/>
  <c r="L37" i="19"/>
  <c r="C41" i="19"/>
  <c r="C41" i="24" s="1"/>
  <c r="D41" i="19"/>
  <c r="H41" i="24" s="1"/>
  <c r="D30" i="19"/>
  <c r="H30" i="24" s="1"/>
  <c r="H30" i="19"/>
  <c r="D32" i="19"/>
  <c r="H32" i="24" s="1"/>
  <c r="G32" i="19"/>
  <c r="W32" i="24" s="1"/>
  <c r="L32" i="19"/>
  <c r="M34" i="19"/>
  <c r="G34" i="19"/>
  <c r="W34" i="24" s="1"/>
  <c r="E36" i="19"/>
  <c r="M36" i="24" s="1"/>
  <c r="C36" i="19"/>
  <c r="C36" i="24" s="1"/>
  <c r="G38" i="19"/>
  <c r="W38" i="24" s="1"/>
  <c r="D38" i="19"/>
  <c r="H38" i="24" s="1"/>
  <c r="D40" i="19"/>
  <c r="H40" i="24" s="1"/>
  <c r="M40" i="19"/>
  <c r="L40" i="19"/>
  <c r="C42" i="19"/>
  <c r="L42" i="19"/>
  <c r="G33" i="19"/>
  <c r="W33" i="24" s="1"/>
  <c r="I31" i="19"/>
  <c r="M37" i="19"/>
  <c r="F41" i="19"/>
  <c r="R41" i="24" s="1"/>
  <c r="I30" i="19"/>
  <c r="C32" i="19"/>
  <c r="C32" i="24" s="1"/>
  <c r="L34" i="19"/>
  <c r="M38" i="19"/>
  <c r="E40" i="19"/>
  <c r="M40" i="24" s="1"/>
  <c r="D42" i="19"/>
  <c r="C35" i="19"/>
  <c r="C35" i="24" s="1"/>
  <c r="H35" i="19"/>
  <c r="I35" i="19"/>
  <c r="M33" i="19"/>
  <c r="E39" i="19"/>
  <c r="M39" i="24" s="1"/>
  <c r="M39" i="19"/>
  <c r="H31" i="19"/>
  <c r="I37" i="19"/>
  <c r="H41" i="19"/>
  <c r="G30" i="19"/>
  <c r="W30" i="24" s="1"/>
  <c r="F34" i="19"/>
  <c r="R34" i="24" s="1"/>
  <c r="M36" i="19"/>
  <c r="I38" i="19"/>
  <c r="F42" i="19"/>
  <c r="I5" i="25"/>
  <c r="I21" i="25"/>
  <c r="I33" i="25"/>
  <c r="I3" i="25"/>
  <c r="I15" i="25"/>
  <c r="I39" i="25"/>
  <c r="I6" i="25"/>
  <c r="AC7" i="24" s="1"/>
  <c r="I14" i="25"/>
  <c r="I22" i="25"/>
  <c r="I30" i="25"/>
  <c r="I38" i="25"/>
  <c r="I31" i="25"/>
  <c r="I12" i="25"/>
  <c r="I36" i="25"/>
  <c r="I9" i="25"/>
  <c r="I23" i="25"/>
  <c r="I35" i="25"/>
  <c r="J3" i="25"/>
  <c r="I19" i="25"/>
  <c r="I8" i="25"/>
  <c r="I16" i="25"/>
  <c r="I24" i="25"/>
  <c r="I32" i="25"/>
  <c r="I40" i="25"/>
  <c r="I41" i="25"/>
  <c r="I29" i="25"/>
  <c r="I4" i="25"/>
  <c r="I20" i="25"/>
  <c r="I13" i="25"/>
  <c r="I27" i="25"/>
  <c r="I37" i="25"/>
  <c r="I7" i="25"/>
  <c r="I25" i="25"/>
  <c r="I10" i="25"/>
  <c r="I18" i="25"/>
  <c r="I26" i="25"/>
  <c r="I34" i="25"/>
  <c r="I17" i="25"/>
  <c r="I11" i="25"/>
  <c r="I28" i="25"/>
  <c r="L15" i="3"/>
  <c r="L17" i="3"/>
  <c r="J16" i="3"/>
  <c r="J19" i="3"/>
  <c r="L19" i="3" s="1"/>
  <c r="Y29" i="18"/>
  <c r="AI27" i="18"/>
  <c r="AS20" i="18"/>
  <c r="AS26" i="18"/>
  <c r="AS17" i="18"/>
  <c r="AI25" i="18"/>
  <c r="AS29" i="18"/>
  <c r="AI24" i="18"/>
  <c r="AI26" i="18"/>
  <c r="AS25" i="18"/>
  <c r="AS13" i="18"/>
  <c r="Y16" i="18"/>
  <c r="AI7" i="18"/>
  <c r="AI10" i="18"/>
  <c r="AS28" i="18"/>
  <c r="AI18" i="18"/>
  <c r="Y27" i="18"/>
  <c r="AS18" i="18"/>
  <c r="AI9" i="18"/>
  <c r="AS7" i="18"/>
  <c r="AI14" i="18"/>
  <c r="Y13" i="18"/>
  <c r="Y7" i="18"/>
  <c r="Y20" i="18"/>
  <c r="AI16" i="18"/>
  <c r="AS8" i="18"/>
  <c r="Y25" i="18"/>
  <c r="O28" i="18"/>
  <c r="Y15" i="18"/>
  <c r="AS12" i="18"/>
  <c r="AI15" i="18"/>
  <c r="Y24" i="18"/>
  <c r="AI28" i="18"/>
  <c r="Y11" i="18"/>
  <c r="Y26" i="18"/>
  <c r="J4" i="25"/>
  <c r="AD5" i="24" s="1"/>
  <c r="J8" i="25"/>
  <c r="AD9" i="24" s="1"/>
  <c r="J12" i="25"/>
  <c r="J16" i="25"/>
  <c r="J20" i="25"/>
  <c r="J24" i="25"/>
  <c r="J28" i="25"/>
  <c r="J32" i="25"/>
  <c r="J36" i="25"/>
  <c r="J40" i="25"/>
  <c r="M4" i="25"/>
  <c r="AG5" i="24" s="1"/>
  <c r="M5" i="25"/>
  <c r="AG6" i="24" s="1"/>
  <c r="M6" i="25"/>
  <c r="AG7" i="24" s="1"/>
  <c r="M7" i="25"/>
  <c r="AG8" i="24" s="1"/>
  <c r="M8" i="25"/>
  <c r="AG9" i="24" s="1"/>
  <c r="M9" i="25"/>
  <c r="AG10" i="24" s="1"/>
  <c r="M10" i="25"/>
  <c r="AG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J7" i="25"/>
  <c r="AD8" i="24" s="1"/>
  <c r="J19" i="25"/>
  <c r="J35" i="25"/>
  <c r="L4" i="25"/>
  <c r="AF5" i="24" s="1"/>
  <c r="L7" i="25"/>
  <c r="AF8" i="24" s="1"/>
  <c r="L10" i="25"/>
  <c r="AF11" i="24" s="1"/>
  <c r="L13" i="25"/>
  <c r="L15" i="25"/>
  <c r="L18" i="25"/>
  <c r="L21" i="25"/>
  <c r="L24" i="25"/>
  <c r="L25" i="25"/>
  <c r="L29" i="25"/>
  <c r="L32" i="25"/>
  <c r="L35" i="25"/>
  <c r="L37" i="25"/>
  <c r="L39" i="25"/>
  <c r="J5" i="25"/>
  <c r="AD6" i="24" s="1"/>
  <c r="J9" i="25"/>
  <c r="AD10" i="24" s="1"/>
  <c r="J13" i="25"/>
  <c r="J17" i="25"/>
  <c r="J21" i="25"/>
  <c r="J25" i="25"/>
  <c r="J29" i="25"/>
  <c r="J33" i="25"/>
  <c r="J37" i="25"/>
  <c r="J41" i="25"/>
  <c r="N4" i="25"/>
  <c r="AH5" i="24" s="1"/>
  <c r="N5" i="25"/>
  <c r="AH6" i="24" s="1"/>
  <c r="N6" i="25"/>
  <c r="AH7" i="24" s="1"/>
  <c r="N7" i="25"/>
  <c r="AH8" i="24" s="1"/>
  <c r="N8" i="25"/>
  <c r="AH9" i="24" s="1"/>
  <c r="N9" i="25"/>
  <c r="AH10" i="24" s="1"/>
  <c r="N10" i="25"/>
  <c r="AH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J11" i="25"/>
  <c r="J27" i="25"/>
  <c r="L5" i="25"/>
  <c r="AF6" i="24" s="1"/>
  <c r="L8" i="25"/>
  <c r="AF9" i="24" s="1"/>
  <c r="L11" i="25"/>
  <c r="L16" i="25"/>
  <c r="L19" i="25"/>
  <c r="L22" i="25"/>
  <c r="L27" i="25"/>
  <c r="L30" i="25"/>
  <c r="L33" i="25"/>
  <c r="L36" i="25"/>
  <c r="L41" i="25"/>
  <c r="J6" i="25"/>
  <c r="AD7" i="24" s="1"/>
  <c r="J10" i="25"/>
  <c r="AD11" i="24" s="1"/>
  <c r="J14" i="25"/>
  <c r="J18" i="25"/>
  <c r="J22" i="25"/>
  <c r="J26" i="25"/>
  <c r="J30" i="25"/>
  <c r="J34" i="25"/>
  <c r="J38" i="25"/>
  <c r="O4" i="25"/>
  <c r="AI5" i="24" s="1"/>
  <c r="O5" i="25"/>
  <c r="AI6" i="24" s="1"/>
  <c r="O6" i="25"/>
  <c r="AI7" i="24" s="1"/>
  <c r="O7" i="25"/>
  <c r="AI8" i="24" s="1"/>
  <c r="O8" i="25"/>
  <c r="AI9" i="24" s="1"/>
  <c r="O9" i="25"/>
  <c r="AI10" i="24" s="1"/>
  <c r="O10" i="25"/>
  <c r="AI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J15" i="25"/>
  <c r="J23" i="25"/>
  <c r="J31" i="25"/>
  <c r="J39" i="25"/>
  <c r="L6" i="25"/>
  <c r="AF7" i="24" s="1"/>
  <c r="L9" i="25"/>
  <c r="AF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AG4" i="24" s="1"/>
  <c r="C21" i="23" s="1"/>
  <c r="L3" i="25"/>
  <c r="AF4" i="24" s="1"/>
  <c r="K30" i="23" s="1"/>
  <c r="AD4" i="24"/>
  <c r="K28" i="23" s="1"/>
  <c r="N3" i="25"/>
  <c r="AH4" i="24" s="1"/>
  <c r="D21" i="23" s="1"/>
  <c r="O3" i="25"/>
  <c r="AI4" i="24" s="1"/>
  <c r="B36" i="23" s="1"/>
  <c r="E10" i="18"/>
  <c r="Y9" i="18"/>
  <c r="Y28" i="18"/>
  <c r="Y21" i="18"/>
  <c r="Y8" i="18"/>
  <c r="AZ19" i="18"/>
  <c r="Y17" i="18"/>
  <c r="AS23" i="18"/>
  <c r="AS24" i="18"/>
  <c r="Y22" i="18"/>
  <c r="Y14" i="18"/>
  <c r="Y18" i="18"/>
  <c r="E12" i="18"/>
  <c r="E27" i="18"/>
  <c r="Y23" i="18"/>
  <c r="Y12" i="18"/>
  <c r="H4" i="25"/>
  <c r="AB5" i="24" s="1"/>
  <c r="H6" i="25"/>
  <c r="AB7" i="24" s="1"/>
  <c r="H8" i="25"/>
  <c r="AB9" i="24" s="1"/>
  <c r="H10" i="25"/>
  <c r="AB11" i="24" s="1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AB6" i="24" s="1"/>
  <c r="H7" i="25"/>
  <c r="AB8" i="24" s="1"/>
  <c r="H9" i="25"/>
  <c r="AB10" i="24" s="1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AC9" i="24"/>
  <c r="AC11" i="24"/>
  <c r="K16" i="25"/>
  <c r="K3" i="25"/>
  <c r="AE4" i="24" s="1"/>
  <c r="K29" i="23" s="1"/>
  <c r="AC6" i="24"/>
  <c r="K25" i="25"/>
  <c r="AC5" i="24"/>
  <c r="K22" i="25"/>
  <c r="K28" i="25"/>
  <c r="K34" i="25"/>
  <c r="K40" i="25"/>
  <c r="AC4" i="24"/>
  <c r="K27" i="23" s="1"/>
  <c r="AC8" i="24"/>
  <c r="K9" i="25"/>
  <c r="AE10" i="24" s="1"/>
  <c r="K13" i="25"/>
  <c r="K15" i="25"/>
  <c r="K19" i="25"/>
  <c r="K31" i="25"/>
  <c r="K35" i="25"/>
  <c r="K37" i="25"/>
  <c r="K4" i="25"/>
  <c r="AE5" i="24" s="1"/>
  <c r="K6" i="25"/>
  <c r="AE7" i="24" s="1"/>
  <c r="K8" i="25"/>
  <c r="AE9" i="24" s="1"/>
  <c r="K10" i="25"/>
  <c r="AE11" i="24" s="1"/>
  <c r="K12" i="25"/>
  <c r="K14" i="25"/>
  <c r="K18" i="25"/>
  <c r="K20" i="25"/>
  <c r="K24" i="25"/>
  <c r="K26" i="25"/>
  <c r="K30" i="25"/>
  <c r="K32" i="25"/>
  <c r="K36" i="25"/>
  <c r="K38" i="25"/>
  <c r="H3" i="25"/>
  <c r="AB4" i="24" s="1"/>
  <c r="K5" i="25"/>
  <c r="AE6" i="24" s="1"/>
  <c r="K7" i="25"/>
  <c r="AE8" i="24" s="1"/>
  <c r="AC10" i="24"/>
  <c r="K11" i="25"/>
  <c r="K17" i="25"/>
  <c r="K21" i="25"/>
  <c r="K23" i="25"/>
  <c r="K27" i="25"/>
  <c r="K29" i="25"/>
  <c r="K33" i="25"/>
  <c r="K39" i="25"/>
  <c r="K41" i="25"/>
  <c r="AI8" i="18"/>
  <c r="E23" i="18"/>
  <c r="O9" i="18"/>
  <c r="O17" i="18"/>
  <c r="E7" i="18"/>
  <c r="O25" i="18"/>
  <c r="E5" i="18"/>
  <c r="E8" i="18"/>
  <c r="E25" i="18"/>
  <c r="E24" i="18"/>
  <c r="O22" i="18"/>
  <c r="E13" i="18"/>
  <c r="AS21" i="18"/>
  <c r="AI11" i="18"/>
  <c r="AS14" i="18"/>
  <c r="AI12" i="18"/>
  <c r="AS2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AS15" i="18"/>
  <c r="AS27" i="18"/>
  <c r="E20" i="18"/>
  <c r="O12" i="18"/>
  <c r="AI21" i="18"/>
  <c r="AS9" i="18"/>
  <c r="O18" i="18"/>
  <c r="E22" i="18"/>
  <c r="O21" i="18"/>
  <c r="O29" i="18"/>
  <c r="O14" i="18"/>
  <c r="O16" i="18"/>
  <c r="E11" i="18"/>
  <c r="E29" i="18"/>
  <c r="AS10" i="18"/>
  <c r="AI20" i="18"/>
  <c r="AS16" i="18"/>
  <c r="AI13" i="18"/>
  <c r="O23" i="18"/>
  <c r="O13" i="18"/>
  <c r="O27" i="18"/>
  <c r="O5" i="18"/>
  <c r="O24" i="18"/>
  <c r="E28" i="18"/>
  <c r="E18" i="18"/>
  <c r="E26" i="18"/>
  <c r="E6" i="18"/>
  <c r="AS11" i="18"/>
  <c r="O20" i="18"/>
  <c r="AI5" i="18"/>
  <c r="O15" i="18"/>
  <c r="L16" i="3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AR24" i="18"/>
  <c r="X7" i="18"/>
  <c r="N22" i="18"/>
  <c r="N28" i="18"/>
  <c r="AH27" i="18"/>
  <c r="D11" i="18"/>
  <c r="X23" i="18"/>
  <c r="X10" i="18"/>
  <c r="N24" i="18"/>
  <c r="AR25" i="18"/>
  <c r="AH22" i="18"/>
  <c r="D15" i="18"/>
  <c r="X27" i="18"/>
  <c r="D10" i="18"/>
  <c r="X20" i="18"/>
  <c r="D9" i="18"/>
  <c r="AH9" i="18"/>
  <c r="N11" i="18"/>
  <c r="D25" i="18"/>
  <c r="D29" i="18"/>
  <c r="N7" i="18"/>
  <c r="L18" i="3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E19" i="23"/>
  <c r="AR19" i="18"/>
  <c r="D28" i="18"/>
  <c r="AR7" i="18"/>
  <c r="X15" i="18"/>
  <c r="AR11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AR15" i="18"/>
  <c r="AR9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AR14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AR28" i="18"/>
  <c r="N9" i="18"/>
  <c r="AR5" i="18"/>
  <c r="N14" i="18"/>
  <c r="AR26" i="18"/>
  <c r="D6" i="18"/>
  <c r="D8" i="18"/>
  <c r="N15" i="18"/>
  <c r="D17" i="18"/>
  <c r="N19" i="18"/>
  <c r="E16" i="23"/>
  <c r="D13" i="18"/>
  <c r="AP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39" i="25"/>
  <c r="C30" i="25"/>
  <c r="C4" i="25"/>
  <c r="D8" i="25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E20" i="25"/>
  <c r="C38" i="25"/>
  <c r="F17" i="25"/>
  <c r="F35" i="25"/>
  <c r="F4" i="25"/>
  <c r="G4" i="25"/>
  <c r="C8" i="25"/>
  <c r="D10" i="25"/>
  <c r="E10" i="25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G34" i="25"/>
  <c r="D27" i="25"/>
  <c r="D31" i="25"/>
  <c r="G22" i="25"/>
  <c r="D14" i="25"/>
  <c r="C6" i="25"/>
  <c r="C5" i="25"/>
  <c r="C7" i="25"/>
  <c r="G9" i="25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Z4" i="24" s="1"/>
  <c r="AT4" i="18" s="1"/>
  <c r="G38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G28" i="25"/>
  <c r="D3" i="25"/>
  <c r="K4" i="24" s="1"/>
  <c r="P4" i="18" s="1"/>
  <c r="G5" i="25"/>
  <c r="E5" i="25"/>
  <c r="G7" i="25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F37" i="25"/>
  <c r="E28" i="25"/>
  <c r="D19" i="25"/>
  <c r="C10" i="25"/>
  <c r="G6" i="25"/>
  <c r="F13" i="25"/>
  <c r="E40" i="25"/>
  <c r="F6" i="25"/>
  <c r="G8" i="25"/>
  <c r="Z9" i="24" s="1"/>
  <c r="D12" i="25"/>
  <c r="E14" i="25"/>
  <c r="F16" i="25"/>
  <c r="F18" i="25"/>
  <c r="C20" i="25"/>
  <c r="D24" i="25"/>
  <c r="G36" i="25"/>
  <c r="C22" i="25"/>
  <c r="F3" i="25"/>
  <c r="U4" i="24" s="1"/>
  <c r="AJ4" i="18" s="1"/>
  <c r="F7" i="25"/>
  <c r="E9" i="25"/>
  <c r="F15" i="25"/>
  <c r="E17" i="25"/>
  <c r="F23" i="25"/>
  <c r="E25" i="25"/>
  <c r="E27" i="25"/>
  <c r="G29" i="25"/>
  <c r="G33" i="25"/>
  <c r="G37" i="25"/>
  <c r="G41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G14" i="25"/>
  <c r="E34" i="25"/>
  <c r="C9" i="25"/>
  <c r="C17" i="25"/>
  <c r="C25" i="25"/>
  <c r="E31" i="25"/>
  <c r="E33" i="25"/>
  <c r="D35" i="25"/>
  <c r="F5" i="25"/>
  <c r="E39" i="25"/>
  <c r="D23" i="25"/>
  <c r="G20" i="25"/>
  <c r="E7" i="25"/>
  <c r="D9" i="25"/>
  <c r="E15" i="25"/>
  <c r="D17" i="25"/>
  <c r="E23" i="25"/>
  <c r="D25" i="25"/>
  <c r="E35" i="25"/>
  <c r="E37" i="25"/>
  <c r="F31" i="25"/>
  <c r="G30" i="25"/>
  <c r="C28" i="25"/>
  <c r="E41" i="25"/>
  <c r="E19" i="18"/>
  <c r="E15" i="3" s="1"/>
  <c r="G15" i="23"/>
  <c r="AS42" i="18"/>
  <c r="AS41" i="18"/>
  <c r="AS40" i="18"/>
  <c r="AS38" i="18"/>
  <c r="AS34" i="18"/>
  <c r="AS33" i="18"/>
  <c r="AS39" i="18"/>
  <c r="AS32" i="18"/>
  <c r="AS37" i="18"/>
  <c r="AS35" i="18"/>
  <c r="AS36" i="18"/>
  <c r="AS31" i="18"/>
  <c r="AS30" i="18"/>
  <c r="V19" i="18"/>
  <c r="AF19" i="18"/>
  <c r="X26" i="18"/>
  <c r="AR23" i="18"/>
  <c r="D4" i="18"/>
  <c r="N20" i="18"/>
  <c r="AR27" i="18"/>
  <c r="N29" i="18"/>
  <c r="AR18" i="18"/>
  <c r="AR41" i="18"/>
  <c r="AR42" i="18"/>
  <c r="AR40" i="18"/>
  <c r="AR39" i="18"/>
  <c r="AR37" i="18"/>
  <c r="AR38" i="18"/>
  <c r="AR36" i="18"/>
  <c r="AR32" i="18"/>
  <c r="AR31" i="18"/>
  <c r="AR35" i="18"/>
  <c r="AR30" i="18"/>
  <c r="AR33" i="18"/>
  <c r="AR34" i="18"/>
  <c r="AH19" i="18"/>
  <c r="E18" i="23"/>
  <c r="N4" i="18"/>
  <c r="AH23" i="18"/>
  <c r="D7" i="18"/>
  <c r="AR13" i="18"/>
  <c r="AH20" i="18"/>
  <c r="N12" i="18"/>
  <c r="D22" i="18"/>
  <c r="N21" i="18"/>
  <c r="AR21" i="18"/>
  <c r="AR6" i="18"/>
  <c r="AR20" i="18"/>
  <c r="D16" i="18"/>
  <c r="D18" i="18"/>
  <c r="N25" i="18"/>
  <c r="AR29" i="18"/>
  <c r="AR22" i="18"/>
  <c r="D14" i="18"/>
  <c r="AR12" i="18"/>
  <c r="N18" i="18"/>
  <c r="AR10" i="18"/>
  <c r="D21" i="18"/>
  <c r="AR4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AS19" i="18"/>
  <c r="E19" i="3" s="1"/>
  <c r="G19" i="23"/>
  <c r="O19" i="18"/>
  <c r="E16" i="3" s="1"/>
  <c r="G16" i="23"/>
  <c r="AH4" i="18"/>
  <c r="AR8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R16" i="18"/>
  <c r="AH28" i="18"/>
  <c r="D26" i="18"/>
  <c r="AH11" i="18"/>
  <c r="X28" i="18"/>
  <c r="AH24" i="18"/>
  <c r="AR17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K26" i="23" l="1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F35" i="24"/>
  <c r="AF36" i="24"/>
  <c r="AF37" i="24"/>
  <c r="AF38" i="24"/>
  <c r="AF39" i="24"/>
  <c r="AF40" i="24"/>
  <c r="AF4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E12" i="24"/>
  <c r="AE15" i="24"/>
  <c r="AE13" i="24"/>
  <c r="AE16" i="24"/>
  <c r="AE14" i="24"/>
  <c r="AE17" i="24"/>
  <c r="AE18" i="24"/>
  <c r="AE20" i="24"/>
  <c r="AE22" i="24"/>
  <c r="AE24" i="24"/>
  <c r="AE26" i="24"/>
  <c r="AE28" i="24"/>
  <c r="AE30" i="24"/>
  <c r="AE32" i="24"/>
  <c r="AE34" i="24"/>
  <c r="AE36" i="24"/>
  <c r="AE38" i="24"/>
  <c r="AE40" i="24"/>
  <c r="AE19" i="24"/>
  <c r="AE21" i="24"/>
  <c r="AE23" i="24"/>
  <c r="AE25" i="24"/>
  <c r="AE27" i="24"/>
  <c r="AE29" i="24"/>
  <c r="AE31" i="24"/>
  <c r="AE33" i="24"/>
  <c r="AE35" i="24"/>
  <c r="AE37" i="24"/>
  <c r="AE39" i="24"/>
  <c r="AE4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I13" i="24"/>
  <c r="AI16" i="24"/>
  <c r="AI14" i="24"/>
  <c r="AI17" i="24"/>
  <c r="AI12" i="24"/>
  <c r="AI15" i="24"/>
  <c r="AI27" i="24"/>
  <c r="AI33" i="24"/>
  <c r="AI39" i="24"/>
  <c r="AI18" i="24"/>
  <c r="AI20" i="24"/>
  <c r="AI22" i="24"/>
  <c r="AI24" i="24"/>
  <c r="AI26" i="24"/>
  <c r="AI28" i="24"/>
  <c r="AI30" i="24"/>
  <c r="AI32" i="24"/>
  <c r="AI34" i="24"/>
  <c r="AI36" i="24"/>
  <c r="AI38" i="24"/>
  <c r="AI40" i="24"/>
  <c r="AI21" i="24"/>
  <c r="AI23" i="24"/>
  <c r="AI29" i="24"/>
  <c r="AI37" i="24"/>
  <c r="AI19" i="24"/>
  <c r="AI25" i="24"/>
  <c r="AI31" i="24"/>
  <c r="AI35" i="24"/>
  <c r="AI41" i="24"/>
  <c r="AG38" i="24"/>
  <c r="AG39" i="24"/>
  <c r="AG40" i="24"/>
  <c r="AG4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AG25" i="24"/>
  <c r="AG26" i="24"/>
  <c r="AG27" i="24"/>
  <c r="AG28" i="24"/>
  <c r="AG29" i="24"/>
  <c r="AG30" i="24"/>
  <c r="AG31" i="24"/>
  <c r="AG32" i="24"/>
  <c r="AG33" i="24"/>
  <c r="AG34" i="24"/>
  <c r="AG35" i="24"/>
  <c r="AG36" i="24"/>
  <c r="AG37" i="24"/>
  <c r="K26" i="24"/>
  <c r="L26" i="24" s="1"/>
  <c r="U6" i="24"/>
  <c r="V6" i="24" s="1"/>
  <c r="K18" i="24"/>
  <c r="L18" i="24" s="1"/>
  <c r="Z21" i="24"/>
  <c r="AA21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Z7" i="24"/>
  <c r="AA7" i="24" s="1"/>
  <c r="K20" i="24"/>
  <c r="Z28" i="24"/>
  <c r="Z24" i="24"/>
  <c r="Z22" i="24"/>
  <c r="AA22" i="24" s="1"/>
  <c r="P14" i="24"/>
  <c r="Q14" i="24" s="1"/>
  <c r="K10" i="24"/>
  <c r="L10" i="24" s="1"/>
  <c r="K24" i="24"/>
  <c r="L24" i="24" s="1"/>
  <c r="Z15" i="24"/>
  <c r="K6" i="24"/>
  <c r="L6" i="24" s="1"/>
  <c r="K13" i="24"/>
  <c r="L13" i="24" s="1"/>
  <c r="P29" i="24"/>
  <c r="L4" i="24"/>
  <c r="U22" i="24"/>
  <c r="Z10" i="24"/>
  <c r="Z23" i="24"/>
  <c r="P25" i="24"/>
  <c r="P27" i="24"/>
  <c r="P21" i="24"/>
  <c r="Z27" i="24"/>
  <c r="P19" i="24"/>
  <c r="Q19" i="24" s="1"/>
  <c r="Z13" i="24"/>
  <c r="U19" i="24"/>
  <c r="V19" i="24" s="1"/>
  <c r="U7" i="24"/>
  <c r="U14" i="24"/>
  <c r="U28" i="24"/>
  <c r="Z20" i="24"/>
  <c r="Z16" i="24"/>
  <c r="Z14" i="24"/>
  <c r="P6" i="24"/>
  <c r="Z18" i="24"/>
  <c r="K28" i="24"/>
  <c r="K12" i="24"/>
  <c r="P5" i="24"/>
  <c r="K29" i="24"/>
  <c r="L29" i="24" s="1"/>
  <c r="P23" i="24"/>
  <c r="Z17" i="24"/>
  <c r="U18" i="24"/>
  <c r="K9" i="24"/>
  <c r="Z19" i="24"/>
  <c r="AA19" i="24" s="1"/>
  <c r="P17" i="24"/>
  <c r="P17" i="25"/>
  <c r="Q17" i="25" s="1"/>
  <c r="U10" i="24"/>
  <c r="U20" i="24"/>
  <c r="Z12" i="24"/>
  <c r="Z8" i="24"/>
  <c r="Z6" i="24"/>
  <c r="P7" i="24"/>
  <c r="Z7" i="18" s="1"/>
  <c r="AA7" i="18" s="1"/>
  <c r="P34" i="25"/>
  <c r="Q34" i="25" s="1"/>
  <c r="Z26" i="24"/>
  <c r="U15" i="24"/>
  <c r="Z25" i="24"/>
  <c r="K16" i="24"/>
  <c r="P26" i="24"/>
  <c r="P18" i="24"/>
  <c r="P10" i="24"/>
  <c r="Q10" i="24" s="1"/>
  <c r="U8" i="24"/>
  <c r="P29" i="25"/>
  <c r="Q29" i="25" s="1"/>
  <c r="P22" i="24"/>
  <c r="U12" i="24"/>
  <c r="Z29" i="24"/>
  <c r="K17" i="24"/>
  <c r="U11" i="24"/>
  <c r="K5" i="24"/>
  <c r="P5" i="18" s="1"/>
  <c r="Q5" i="18" s="1"/>
  <c r="P13" i="24"/>
  <c r="P9" i="24"/>
  <c r="K21" i="24"/>
  <c r="P11" i="24"/>
  <c r="Z5" i="24"/>
  <c r="AT5" i="18" s="1"/>
  <c r="AU5" i="18" s="1"/>
  <c r="P38" i="25"/>
  <c r="Q38" i="25" s="1"/>
  <c r="Z11" i="24"/>
  <c r="AT11" i="18" s="1"/>
  <c r="AU11" i="18" s="1"/>
  <c r="U27" i="24"/>
  <c r="U23" i="24"/>
  <c r="F20" i="24"/>
  <c r="G20" i="24" s="1"/>
  <c r="P19" i="25"/>
  <c r="Q19" i="25" s="1"/>
  <c r="F27" i="24"/>
  <c r="G27" i="24" s="1"/>
  <c r="P26" i="25"/>
  <c r="Q26" i="25" s="1"/>
  <c r="P41" i="25"/>
  <c r="Q41" i="25" s="1"/>
  <c r="P39" i="25"/>
  <c r="Q39" i="25" s="1"/>
  <c r="P30" i="25"/>
  <c r="Q30" i="25" s="1"/>
  <c r="F19" i="24"/>
  <c r="P18" i="25"/>
  <c r="Q18" i="25" s="1"/>
  <c r="F15" i="24"/>
  <c r="G15" i="24" s="1"/>
  <c r="P14" i="25"/>
  <c r="Q14" i="25" s="1"/>
  <c r="F13" i="24"/>
  <c r="P12" i="25"/>
  <c r="Q12" i="25" s="1"/>
  <c r="P25" i="25"/>
  <c r="Q25" i="25" s="1"/>
  <c r="F23" i="24"/>
  <c r="G23" i="24" s="1"/>
  <c r="P22" i="25"/>
  <c r="Q22" i="25" s="1"/>
  <c r="F11" i="24"/>
  <c r="G11" i="24" s="1"/>
  <c r="P10" i="25"/>
  <c r="Q10" i="25" s="1"/>
  <c r="P37" i="25"/>
  <c r="Q37" i="25" s="1"/>
  <c r="P35" i="25"/>
  <c r="Q35" i="25" s="1"/>
  <c r="F24" i="24"/>
  <c r="G24" i="24" s="1"/>
  <c r="P23" i="25"/>
  <c r="Q23" i="25" s="1"/>
  <c r="P21" i="25"/>
  <c r="Q21" i="25" s="1"/>
  <c r="F16" i="24"/>
  <c r="G16" i="24" s="1"/>
  <c r="P15" i="25"/>
  <c r="Q15" i="25" s="1"/>
  <c r="P13" i="25"/>
  <c r="Q13" i="25" s="1"/>
  <c r="F8" i="24"/>
  <c r="P7" i="25"/>
  <c r="Q7" i="25" s="1"/>
  <c r="P5" i="25"/>
  <c r="Q5" i="25" s="1"/>
  <c r="F17" i="24"/>
  <c r="G17" i="24" s="1"/>
  <c r="P16" i="25"/>
  <c r="Q16" i="25" s="1"/>
  <c r="F5" i="24"/>
  <c r="P4" i="25"/>
  <c r="Q4" i="25" s="1"/>
  <c r="F21" i="24"/>
  <c r="G21" i="24" s="1"/>
  <c r="P20" i="25"/>
  <c r="Q20" i="25" s="1"/>
  <c r="F25" i="24"/>
  <c r="G25" i="24" s="1"/>
  <c r="P24" i="25"/>
  <c r="Q24" i="25" s="1"/>
  <c r="F28" i="24"/>
  <c r="G28" i="24" s="1"/>
  <c r="P27" i="25"/>
  <c r="Q27" i="25" s="1"/>
  <c r="F12" i="24"/>
  <c r="G12" i="24" s="1"/>
  <c r="P11" i="25"/>
  <c r="Q11" i="25" s="1"/>
  <c r="P32" i="25"/>
  <c r="Q32" i="25" s="1"/>
  <c r="F29" i="24"/>
  <c r="G29" i="24" s="1"/>
  <c r="P28" i="25"/>
  <c r="Q28" i="25" s="1"/>
  <c r="P9" i="25"/>
  <c r="Q9" i="25" s="1"/>
  <c r="P33" i="25"/>
  <c r="Q33" i="25" s="1"/>
  <c r="P31" i="25"/>
  <c r="Q31" i="25" s="1"/>
  <c r="F7" i="24"/>
  <c r="P6" i="25"/>
  <c r="Q6" i="25" s="1"/>
  <c r="F9" i="24"/>
  <c r="P8" i="25"/>
  <c r="Q8" i="25" s="1"/>
  <c r="P40" i="25"/>
  <c r="Q40" i="25" s="1"/>
  <c r="P3" i="25"/>
  <c r="Q3" i="25" s="1"/>
  <c r="P36" i="25"/>
  <c r="Q36" i="25" s="1"/>
  <c r="Q4" i="18"/>
  <c r="V4" i="24"/>
  <c r="AK4" i="18"/>
  <c r="AA4" i="18"/>
  <c r="AA4" i="24"/>
  <c r="Q4" i="24"/>
  <c r="AU4" i="18"/>
  <c r="P8" i="24"/>
  <c r="P12" i="24"/>
  <c r="P28" i="24"/>
  <c r="I18" i="23"/>
  <c r="L18" i="23" s="1"/>
  <c r="K23" i="24"/>
  <c r="K11" i="24"/>
  <c r="U5" i="24"/>
  <c r="K19" i="24"/>
  <c r="U13" i="24"/>
  <c r="I19" i="23"/>
  <c r="L19" i="23" s="1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Z32" i="24"/>
  <c r="Z30" i="24"/>
  <c r="Z41" i="24"/>
  <c r="Z37" i="24"/>
  <c r="Z34" i="24"/>
  <c r="Z40" i="24"/>
  <c r="Z39" i="24"/>
  <c r="Z33" i="24"/>
  <c r="Z38" i="24"/>
  <c r="Z35" i="24"/>
  <c r="Z31" i="24"/>
  <c r="Z36" i="24"/>
  <c r="U29" i="24"/>
  <c r="F22" i="24"/>
  <c r="F14" i="24"/>
  <c r="F6" i="24"/>
  <c r="K15" i="24"/>
  <c r="U25" i="24"/>
  <c r="AA9" i="24"/>
  <c r="D19" i="3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C22" i="23"/>
  <c r="D22" i="23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J30" i="19"/>
  <c r="K30" i="19" s="1"/>
  <c r="J38" i="19"/>
  <c r="K38" i="19" s="1"/>
  <c r="J33" i="19"/>
  <c r="K33" i="19" s="1"/>
  <c r="J34" i="19"/>
  <c r="K34" i="19" s="1"/>
  <c r="J36" i="19"/>
  <c r="K36" i="19" s="1"/>
  <c r="J31" i="19"/>
  <c r="K31" i="19" s="1"/>
  <c r="J39" i="19"/>
  <c r="K39" i="19" s="1"/>
  <c r="J32" i="19"/>
  <c r="K32" i="19" s="1"/>
  <c r="J42" i="19"/>
  <c r="K42" i="19" s="1"/>
  <c r="J40" i="19"/>
  <c r="K40" i="19" s="1"/>
  <c r="J41" i="19"/>
  <c r="K41" i="19" s="1"/>
  <c r="J37" i="19"/>
  <c r="K37" i="19" s="1"/>
  <c r="J35" i="19"/>
  <c r="K35" i="19" s="1"/>
  <c r="Z19" i="18" l="1"/>
  <c r="F17" i="3" s="1"/>
  <c r="AT19" i="18"/>
  <c r="F19" i="3" s="1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T25" i="18"/>
  <c r="AU25" i="18" s="1"/>
  <c r="AJ12" i="18"/>
  <c r="AK12" i="18" s="1"/>
  <c r="P16" i="18"/>
  <c r="Q16" i="18" s="1"/>
  <c r="AT26" i="18"/>
  <c r="AU2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AT24" i="18"/>
  <c r="AU24" i="18" s="1"/>
  <c r="Z15" i="18"/>
  <c r="AA15" i="18" s="1"/>
  <c r="AJ23" i="18"/>
  <c r="AK23" i="18" s="1"/>
  <c r="P21" i="18"/>
  <c r="Q21" i="18" s="1"/>
  <c r="AT17" i="18"/>
  <c r="AU17" i="18" s="1"/>
  <c r="AT18" i="18"/>
  <c r="AU18" i="18" s="1"/>
  <c r="AT14" i="18"/>
  <c r="AU14" i="18" s="1"/>
  <c r="Z25" i="18"/>
  <c r="AA25" i="18" s="1"/>
  <c r="AT10" i="18"/>
  <c r="AU10" i="18" s="1"/>
  <c r="AJ6" i="18"/>
  <c r="AK6" i="18" s="1"/>
  <c r="P8" i="18"/>
  <c r="Q8" i="18" s="1"/>
  <c r="AT21" i="18"/>
  <c r="AU21" i="18" s="1"/>
  <c r="AT7" i="18"/>
  <c r="AU7" i="18" s="1"/>
  <c r="Z29" i="18"/>
  <c r="AA29" i="18" s="1"/>
  <c r="AT28" i="18"/>
  <c r="AU28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AT15" i="18"/>
  <c r="AU15" i="18" s="1"/>
  <c r="Z14" i="18"/>
  <c r="AA14" i="18" s="1"/>
  <c r="P20" i="18"/>
  <c r="Q20" i="18" s="1"/>
  <c r="AT9" i="18"/>
  <c r="AU9" i="18" s="1"/>
  <c r="AJ15" i="18"/>
  <c r="AK15" i="18" s="1"/>
  <c r="AT12" i="18"/>
  <c r="AU12" i="18" s="1"/>
  <c r="AT20" i="18"/>
  <c r="AU20" i="18" s="1"/>
  <c r="AJ14" i="18"/>
  <c r="AK14" i="18" s="1"/>
  <c r="AT27" i="18"/>
  <c r="AU27" i="18" s="1"/>
  <c r="Z27" i="18"/>
  <c r="AA27" i="18" s="1"/>
  <c r="AJ22" i="18"/>
  <c r="AK22" i="18" s="1"/>
  <c r="P13" i="18"/>
  <c r="Q13" i="18" s="1"/>
  <c r="P22" i="18"/>
  <c r="Q22" i="18" s="1"/>
  <c r="P24" i="18"/>
  <c r="Q24" i="18" s="1"/>
  <c r="AT22" i="18"/>
  <c r="AU22" i="18" s="1"/>
  <c r="P26" i="18"/>
  <c r="Q26" i="18" s="1"/>
  <c r="V7" i="24"/>
  <c r="L28" i="24"/>
  <c r="Q13" i="24"/>
  <c r="L20" i="24"/>
  <c r="AA15" i="24"/>
  <c r="AA10" i="24"/>
  <c r="V28" i="24"/>
  <c r="AA14" i="24"/>
  <c r="Q17" i="24"/>
  <c r="Q6" i="24"/>
  <c r="Q21" i="24"/>
  <c r="AA5" i="24"/>
  <c r="V18" i="24"/>
  <c r="Q29" i="24"/>
  <c r="Q27" i="24"/>
  <c r="V14" i="24"/>
  <c r="V12" i="24"/>
  <c r="Q18" i="24"/>
  <c r="L5" i="24"/>
  <c r="V23" i="24"/>
  <c r="Q23" i="24"/>
  <c r="V20" i="24"/>
  <c r="AA20" i="24"/>
  <c r="AA28" i="24"/>
  <c r="AA26" i="24"/>
  <c r="Q15" i="24"/>
  <c r="AA24" i="24"/>
  <c r="V22" i="24"/>
  <c r="L21" i="24"/>
  <c r="AA18" i="24"/>
  <c r="AA17" i="24"/>
  <c r="Q22" i="24"/>
  <c r="L12" i="24"/>
  <c r="V27" i="24"/>
  <c r="AA12" i="24"/>
  <c r="AA25" i="24"/>
  <c r="Q7" i="24"/>
  <c r="L16" i="24"/>
  <c r="V15" i="24"/>
  <c r="Q26" i="24"/>
  <c r="Q9" i="24"/>
  <c r="Q25" i="24"/>
  <c r="Q11" i="24"/>
  <c r="L9" i="24"/>
  <c r="V8" i="24"/>
  <c r="L17" i="24"/>
  <c r="AA11" i="24"/>
  <c r="AA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T29" i="18"/>
  <c r="AU29" i="18" s="1"/>
  <c r="AA29" i="24"/>
  <c r="AT16" i="18"/>
  <c r="AU16" i="18" s="1"/>
  <c r="AA16" i="24"/>
  <c r="AT13" i="18"/>
  <c r="AU13" i="18" s="1"/>
  <c r="AA13" i="24"/>
  <c r="F9" i="18"/>
  <c r="G9" i="18" s="1"/>
  <c r="F8" i="18"/>
  <c r="G8" i="18" s="1"/>
  <c r="F13" i="18"/>
  <c r="G13" i="18" s="1"/>
  <c r="AT6" i="18"/>
  <c r="AU6" i="18" s="1"/>
  <c r="AA6" i="24"/>
  <c r="AJ10" i="18"/>
  <c r="AK10" i="18" s="1"/>
  <c r="V10" i="24"/>
  <c r="AT23" i="18"/>
  <c r="AU23" i="18" s="1"/>
  <c r="AA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AT8" i="18"/>
  <c r="AU8" i="18" s="1"/>
  <c r="AA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A35" i="24"/>
  <c r="AA40" i="24"/>
  <c r="AA39" i="24"/>
  <c r="AA37" i="24"/>
  <c r="AA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A38" i="24"/>
  <c r="AA33" i="24"/>
  <c r="AA32" i="24"/>
  <c r="Q34" i="24"/>
  <c r="L34" i="24"/>
  <c r="L41" i="24"/>
  <c r="AA36" i="24"/>
  <c r="AA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AT42" i="18"/>
  <c r="AT41" i="18"/>
  <c r="AT40" i="18"/>
  <c r="AT36" i="18"/>
  <c r="AT32" i="18"/>
  <c r="AT30" i="18"/>
  <c r="AT37" i="18"/>
  <c r="AT31" i="18"/>
  <c r="AT34" i="18"/>
  <c r="AT35" i="18"/>
  <c r="AT33" i="18"/>
  <c r="AT39" i="18"/>
  <c r="AT38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19" i="3"/>
  <c r="M19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BI4" i="18" s="1"/>
  <c r="BJ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A30" i="24"/>
  <c r="AQ42" i="18"/>
  <c r="AQ41" i="18"/>
  <c r="AQ40" i="18"/>
  <c r="AQ36" i="18"/>
  <c r="AQ30" i="18"/>
  <c r="AQ37" i="18"/>
  <c r="AQ34" i="18"/>
  <c r="AQ35" i="18"/>
  <c r="AQ31" i="18"/>
  <c r="AQ33" i="18"/>
  <c r="AQ32" i="18"/>
  <c r="AQ39" i="18"/>
  <c r="AQ38" i="18"/>
  <c r="AU19" i="18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A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L22" i="23" l="1"/>
  <c r="L21" i="23"/>
  <c r="M30" i="3"/>
  <c r="L30" i="3"/>
  <c r="M28" i="3"/>
  <c r="L29" i="3"/>
  <c r="M29" i="3"/>
  <c r="M26" i="3"/>
  <c r="L26" i="3"/>
  <c r="M27" i="3"/>
  <c r="L27" i="3"/>
  <c r="L28" i="3"/>
  <c r="F15" i="3"/>
  <c r="G15" i="3" s="1"/>
  <c r="M15" i="3" s="1"/>
  <c r="BI10" i="18"/>
  <c r="BJ10" i="18" s="1"/>
  <c r="BI22" i="18"/>
  <c r="BJ22" i="18" s="1"/>
  <c r="BI17" i="18"/>
  <c r="BJ17" i="18" s="1"/>
  <c r="BI16" i="18"/>
  <c r="BJ16" i="18" s="1"/>
  <c r="BI14" i="18"/>
  <c r="BJ14" i="18" s="1"/>
  <c r="BI15" i="18"/>
  <c r="BJ15" i="18" s="1"/>
  <c r="BI26" i="18"/>
  <c r="BJ26" i="18" s="1"/>
  <c r="BI6" i="18"/>
  <c r="BJ6" i="18" s="1"/>
  <c r="BI24" i="18"/>
  <c r="BJ24" i="18" s="1"/>
  <c r="BI21" i="18"/>
  <c r="BJ21" i="18" s="1"/>
  <c r="BI13" i="18"/>
  <c r="BJ13" i="18" s="1"/>
  <c r="BI25" i="18"/>
  <c r="BJ25" i="18" s="1"/>
  <c r="BI18" i="18"/>
  <c r="BJ18" i="18" s="1"/>
  <c r="BI5" i="18"/>
  <c r="BJ5" i="18" s="1"/>
  <c r="BI27" i="18"/>
  <c r="BJ27" i="18" s="1"/>
  <c r="BI28" i="18"/>
  <c r="BJ28" i="18" s="1"/>
  <c r="BI8" i="18"/>
  <c r="BJ8" i="18" s="1"/>
  <c r="BI20" i="18"/>
  <c r="BJ20" i="18" s="1"/>
  <c r="BI12" i="18"/>
  <c r="BJ12" i="18" s="1"/>
  <c r="BI7" i="18"/>
  <c r="BJ7" i="18" s="1"/>
  <c r="BI23" i="18"/>
  <c r="BJ23" i="18" s="1"/>
  <c r="BI9" i="18"/>
  <c r="BJ9" i="18" s="1"/>
  <c r="BI11" i="18"/>
  <c r="BJ11" i="18" s="1"/>
  <c r="BI29" i="18"/>
  <c r="BJ29" i="18" s="1"/>
  <c r="AK19" i="18"/>
  <c r="G19" i="18"/>
  <c r="AU33" i="18"/>
  <c r="AU37" i="18"/>
  <c r="AU41" i="18"/>
  <c r="AU40" i="18"/>
  <c r="AU30" i="18"/>
  <c r="AU35" i="18"/>
  <c r="AA41" i="18"/>
  <c r="AA33" i="18"/>
  <c r="AU39" i="18"/>
  <c r="AU36" i="18"/>
  <c r="AA35" i="18"/>
  <c r="AU31" i="18"/>
  <c r="Q31" i="18"/>
  <c r="Q37" i="18"/>
  <c r="Q40" i="18"/>
  <c r="G39" i="18"/>
  <c r="G40" i="18"/>
  <c r="AK36" i="18"/>
  <c r="AK37" i="18"/>
  <c r="AK34" i="18"/>
  <c r="AU38" i="18"/>
  <c r="AU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AU32" i="18"/>
  <c r="AU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2" i="3" l="1"/>
  <c r="L21" i="3"/>
  <c r="BI32" i="18"/>
  <c r="BJ32" i="18" s="1"/>
  <c r="BI33" i="18"/>
  <c r="BJ33" i="18" s="1"/>
  <c r="BI31" i="18"/>
  <c r="BJ31" i="18" s="1"/>
  <c r="BI36" i="18"/>
  <c r="BJ36" i="18" s="1"/>
  <c r="BI30" i="18"/>
  <c r="BJ30" i="18" s="1"/>
  <c r="BI38" i="18"/>
  <c r="BJ38" i="18" s="1"/>
  <c r="BI40" i="18"/>
  <c r="BJ40" i="18" s="1"/>
  <c r="BI37" i="18"/>
  <c r="BJ37" i="18" s="1"/>
  <c r="BI42" i="18"/>
  <c r="BJ42" i="18" s="1"/>
  <c r="BI39" i="18"/>
  <c r="BJ39" i="18" s="1"/>
  <c r="BI19" i="18"/>
  <c r="BJ19" i="18" s="1"/>
  <c r="BI34" i="18"/>
  <c r="BJ34" i="18" s="1"/>
  <c r="BI35" i="18"/>
  <c r="BJ35" i="18" s="1"/>
  <c r="BI41" i="18"/>
  <c r="BJ41" i="18" s="1"/>
</calcChain>
</file>

<file path=xl/sharedStrings.xml><?xml version="1.0" encoding="utf-8"?>
<sst xmlns="http://schemas.openxmlformats.org/spreadsheetml/2006/main" count="671" uniqueCount="271">
  <si>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</si>
  <si>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</si>
  <si>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</si>
  <si>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</si>
  <si>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</si>
  <si>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</si>
  <si>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</si>
  <si>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</si>
  <si>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</si>
  <si>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</si>
  <si>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</si>
  <si>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</si>
  <si>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</si>
  <si>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</si>
  <si>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</si>
  <si>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</si>
  <si>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</si>
  <si>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</si>
  <si>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</si>
  <si>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</si>
  <si>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</si>
  <si>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</si>
  <si>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</si>
  <si>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</si>
  <si>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</si>
  <si>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</si>
  <si>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</si>
  <si>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</si>
  <si>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</si>
  <si>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</si>
  <si>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</si>
  <si>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</si>
  <si>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</si>
  <si>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</si>
  <si>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</si>
  <si>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</si>
  <si>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</si>
  <si>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</si>
  <si>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</si>
  <si>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</si>
  <si>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</si>
  <si>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</si>
  <si>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</si>
  <si>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</si>
  <si>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</si>
  <si>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</si>
  <si>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</si>
  <si>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</si>
  <si>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</si>
  <si>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</si>
  <si>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</si>
  <si>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</si>
  <si>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</si>
  <si>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</si>
  <si>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</si>
  <si>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</si>
  <si>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</si>
  <si>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</si>
  <si>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</si>
  <si>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</si>
  <si>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</si>
  <si>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</si>
  <si>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</si>
  <si>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</si>
  <si>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</si>
  <si>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</si>
  <si>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</si>
  <si>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</si>
  <si>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</si>
  <si>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</si>
  <si>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</si>
  <si>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</si>
  <si>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EVS</t>
  </si>
  <si>
    <t>I-A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</si>
  <si>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</si>
  <si>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</si>
  <si>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</si>
  <si>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</si>
  <si>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</si>
  <si>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</si>
  <si>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</si>
  <si>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</si>
  <si>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</si>
  <si>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</si>
  <si>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UNIT TEST-I (2025-26) CLASS - I</t>
  </si>
  <si>
    <t>G.K.</t>
  </si>
  <si>
    <t>ART</t>
  </si>
  <si>
    <t>PERCENTAGE</t>
  </si>
  <si>
    <t>UNIT TEST-II (2025-26) CLASS - I</t>
  </si>
  <si>
    <t>Total Present</t>
  </si>
  <si>
    <t>Total Working</t>
  </si>
  <si>
    <t>Class Teacher's Remark</t>
  </si>
  <si>
    <t>HALF YEARLY EXAMINATION (2025-26) CLASS - I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</si>
  <si>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</si>
  <si>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</si>
  <si>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</si>
  <si>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</si>
  <si>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</si>
  <si>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</si>
  <si>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</si>
  <si>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Half Yearly Compile Report (2025-26)</t>
  </si>
  <si>
    <t>S.R. No.</t>
  </si>
  <si>
    <t>Issue Date: 10.10.2025</t>
  </si>
  <si>
    <t>Issue Date: 27.03.2026</t>
  </si>
  <si>
    <t>SUBJECT ENRICHMENT -1 (2025-26) CLASS -I</t>
  </si>
  <si>
    <t>SESSION 2025-26</t>
  </si>
  <si>
    <t>NOTEBOOK -2 (2025-26) CLASS -I</t>
  </si>
  <si>
    <t>ANNUAL EXAMINATION (2025-26) CLASS - I</t>
  </si>
  <si>
    <t>COMIPILE REPORT (2025-26) CLASS - I</t>
  </si>
  <si>
    <t>NOTEBOOK-1 (2025-26) CLASS -I</t>
  </si>
  <si>
    <t>NOTEBOOK - I           (5)</t>
  </si>
  <si>
    <t>SUBJECT ENRICHMENT - I                           (5)</t>
  </si>
  <si>
    <t>SUBJECT ENRICHMENT-2 (2025-26) CLASS -I</t>
  </si>
  <si>
    <t>32-0</t>
  </si>
  <si>
    <t>Promoted to Class : II</t>
  </si>
  <si>
    <t>School Reopen Date: 01.04.2026</t>
  </si>
  <si>
    <t>AAKRITI SINGH</t>
  </si>
  <si>
    <t>CHHAYA SINGH</t>
  </si>
  <si>
    <t>SUJEET KUMAR SINGH</t>
  </si>
  <si>
    <t>17.09.2020</t>
  </si>
  <si>
    <t>ABHIJEET PATEL</t>
  </si>
  <si>
    <t>NEHA VERMA</t>
  </si>
  <si>
    <t>ASHISH KUMAR VERMA</t>
  </si>
  <si>
    <t>01.07.2019</t>
  </si>
  <si>
    <t>ADITI</t>
  </si>
  <si>
    <t>JYOTIMA</t>
  </si>
  <si>
    <t>SHIVRAM SINGH</t>
  </si>
  <si>
    <t>24.01.2019</t>
  </si>
  <si>
    <t>ADITYA VERMA</t>
  </si>
  <si>
    <t>LAXMI VERMA</t>
  </si>
  <si>
    <t>SUNIL KUMAR</t>
  </si>
  <si>
    <t>12.08.2017</t>
  </si>
  <si>
    <t>ADVIK BAJPAI</t>
  </si>
  <si>
    <t>SEEMA BAJPAI</t>
  </si>
  <si>
    <t>VIVEK BAJPAI</t>
  </si>
  <si>
    <t>22.04.2019</t>
  </si>
  <si>
    <t>AHEM SHARMA</t>
  </si>
  <si>
    <t>PARUL SHARMA</t>
  </si>
  <si>
    <t>KULDEEP KUMAR</t>
  </si>
  <si>
    <t>23.02.2018</t>
  </si>
  <si>
    <t>AKRATI VISHWAKARMA</t>
  </si>
  <si>
    <t>VINEETA VISHWAKARAMA</t>
  </si>
  <si>
    <t>RUPENDRA KUMAR</t>
  </si>
  <si>
    <t>01.07.2018</t>
  </si>
  <si>
    <t>AKRITI SHUKLA</t>
  </si>
  <si>
    <t>RITU SHUKLA</t>
  </si>
  <si>
    <t>ARUNESH KUMAR</t>
  </si>
  <si>
    <t>30.10.2019</t>
  </si>
  <si>
    <t>ANANYA</t>
  </si>
  <si>
    <t>BARKHA RAJPOOT</t>
  </si>
  <si>
    <t>SONU</t>
  </si>
  <si>
    <t>14.06.2018</t>
  </si>
  <si>
    <t>ANKITA RAJPOOT</t>
  </si>
  <si>
    <t>NEHA</t>
  </si>
  <si>
    <t>DIWAKAR SINGH</t>
  </si>
  <si>
    <t>06.02.2019</t>
  </si>
  <si>
    <t>ANSHIKA PANDEY</t>
  </si>
  <si>
    <t>SIMA DEVI</t>
  </si>
  <si>
    <t>RAJU PRASAD</t>
  </si>
  <si>
    <t>25.05.2018</t>
  </si>
  <si>
    <t>ARADHYA SINGH</t>
  </si>
  <si>
    <t>POOJA SINGH</t>
  </si>
  <si>
    <t>ANJANI KUMAR SINGH</t>
  </si>
  <si>
    <t>14.08.2017</t>
  </si>
  <si>
    <t>ARIYAN PAL</t>
  </si>
  <si>
    <t>SEEMA PAL</t>
  </si>
  <si>
    <t>VINOD KUMAR</t>
  </si>
  <si>
    <t>13.12.2018</t>
  </si>
  <si>
    <t>AROHI VERMA</t>
  </si>
  <si>
    <t>RANJNA VERMA</t>
  </si>
  <si>
    <t>DEEEPAK KUMAR VERMA</t>
  </si>
  <si>
    <t>20.11.2018</t>
  </si>
  <si>
    <t>ARUNENDRA PRATAP SINGH</t>
  </si>
  <si>
    <t>JYOTI SINGH</t>
  </si>
  <si>
    <t>CHANDRESH KUMAR SINGH</t>
  </si>
  <si>
    <t>19.05.2018</t>
  </si>
  <si>
    <t>ATHARV SINGH CHAUHAN</t>
  </si>
  <si>
    <t>USHA</t>
  </si>
  <si>
    <t>SUNEEL SINGH CHAUHAN</t>
  </si>
  <si>
    <t>16.06.2018</t>
  </si>
  <si>
    <t>AVNI VERMA</t>
  </si>
  <si>
    <t>SHILPI VERMA</t>
  </si>
  <si>
    <t>AMRENDRA KUMAR VERMA</t>
  </si>
  <si>
    <t>18.02.2019</t>
  </si>
  <si>
    <t>AYUSHI YADAV</t>
  </si>
  <si>
    <t/>
  </si>
  <si>
    <t>SHIV JATAN YADAV</t>
  </si>
  <si>
    <t>14.10.2016</t>
  </si>
  <si>
    <t>DEVANSH SINGH</t>
  </si>
  <si>
    <t>AMAN SINGH</t>
  </si>
  <si>
    <t>23.11.2018</t>
  </si>
  <si>
    <t>DEVISHA TIWARI</t>
  </si>
  <si>
    <t>JYOTI</t>
  </si>
  <si>
    <t>MUKESH KUMAR</t>
  </si>
  <si>
    <t>28.04.2019</t>
  </si>
  <si>
    <t>DIPANSH SRIVASTAVA</t>
  </si>
  <si>
    <t>SAPNA SRIVASTAVA</t>
  </si>
  <si>
    <t>DURGA KANT SRIVASTAVA</t>
  </si>
  <si>
    <t>27.03.2019</t>
  </si>
  <si>
    <t>GAURAV YADAV</t>
  </si>
  <si>
    <t>KUSUM YADAV</t>
  </si>
  <si>
    <t>ARVIND KUMAR</t>
  </si>
  <si>
    <t>09.08.2018</t>
  </si>
  <si>
    <t>HARIOM MISHRA</t>
  </si>
  <si>
    <t>CHITRA MISHRA</t>
  </si>
  <si>
    <t>ASHISH KUMAR MISHRA</t>
  </si>
  <si>
    <t>02.06.2019</t>
  </si>
  <si>
    <t>HARSHITA MEENA</t>
  </si>
  <si>
    <t>MAMTA MEENA</t>
  </si>
  <si>
    <t>HARI RAM MEENA</t>
  </si>
  <si>
    <t>07.09.2018</t>
  </si>
  <si>
    <t>JANVI SINGH</t>
  </si>
  <si>
    <t>RADHA RANI</t>
  </si>
  <si>
    <t>HANS RAJ</t>
  </si>
  <si>
    <t>27.03.2018</t>
  </si>
  <si>
    <t>JANVI SINGH SENGAR</t>
  </si>
  <si>
    <t>VIJAY LAXMI</t>
  </si>
  <si>
    <t>RAM PRATAP SINGH</t>
  </si>
  <si>
    <t>30.07.2018</t>
  </si>
  <si>
    <t>KARNIKA VERMA</t>
  </si>
  <si>
    <t>NISHA VERMA</t>
  </si>
  <si>
    <t>SANDEEP KUMAR</t>
  </si>
  <si>
    <t>15.09.2019</t>
  </si>
  <si>
    <t>KAVYA TIWARI</t>
  </si>
  <si>
    <t>PREETI TIWARI</t>
  </si>
  <si>
    <t>RAM KUMAR TIWARI</t>
  </si>
  <si>
    <t>16.01.2018</t>
  </si>
  <si>
    <t>KHUSHI PATEL</t>
  </si>
  <si>
    <t>SHEELA CHAUDHARY</t>
  </si>
  <si>
    <t>RAVINDRA KUMAR CHAUDHARY</t>
  </si>
  <si>
    <t>14.11.2018</t>
  </si>
  <si>
    <t>MOHD SAIF</t>
  </si>
  <si>
    <t>ZAREENA KHATOON</t>
  </si>
  <si>
    <t>MODH. SAMEER</t>
  </si>
  <si>
    <t>26.06.2017</t>
  </si>
  <si>
    <t>PRAGATI SINGH</t>
  </si>
  <si>
    <t>KALPANA BAISWAR</t>
  </si>
  <si>
    <t>AKHILESH SINGH</t>
  </si>
  <si>
    <t>23.12.2018</t>
  </si>
  <si>
    <t>PRISHA JAISWAL</t>
  </si>
  <si>
    <t>AVANTIKA JAISWAL</t>
  </si>
  <si>
    <t>SANJAY KUMAR</t>
  </si>
  <si>
    <t>03.09.2018</t>
  </si>
  <si>
    <t>SHANTANU YADAV</t>
  </si>
  <si>
    <t>SHASHI YADAV</t>
  </si>
  <si>
    <t>SANDEEP YADAV</t>
  </si>
  <si>
    <t>17.01.2018</t>
  </si>
  <si>
    <t>SHIVA YADAV</t>
  </si>
  <si>
    <t>MAMTA DEVI</t>
  </si>
  <si>
    <t>DHEER SINGH</t>
  </si>
  <si>
    <t>02.05.2017</t>
  </si>
  <si>
    <t>SHIVIKA VERMA</t>
  </si>
  <si>
    <t>NEETU VERMA</t>
  </si>
  <si>
    <t>ANUPAM KUMAR VERMA</t>
  </si>
  <si>
    <t>16.08.2018</t>
  </si>
  <si>
    <t>SUHAN ALI</t>
  </si>
  <si>
    <t>ZAMILA KHATOON</t>
  </si>
  <si>
    <t>AMRUDDIN ALI</t>
  </si>
  <si>
    <t>18.08.2019</t>
  </si>
  <si>
    <t>UTKARSH</t>
  </si>
  <si>
    <t>SARITA</t>
  </si>
  <si>
    <t>JAGDISH PRASAD</t>
  </si>
  <si>
    <t>28.09.2018</t>
  </si>
  <si>
    <t>VAANYA YADAV</t>
  </si>
  <si>
    <t>ANURADHA YADAV</t>
  </si>
  <si>
    <t>VIVEK KUMAR YADAV</t>
  </si>
  <si>
    <t>02.11.2018</t>
  </si>
  <si>
    <t>VIVAAN  PAL</t>
  </si>
  <si>
    <t>ROMA PAL</t>
  </si>
  <si>
    <t>VIJAY PAL</t>
  </si>
  <si>
    <t>29.07.2016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</si>
</sst>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1"/>
  <sheetViews>
    <sheetView zoomScale="160" zoomScaleNormal="160" workbookViewId="0">
      <selection activeCell="D8" sqref="D8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5" t="s">
        <v>51</v>
      </c>
      <c r="B1" s="35"/>
      <c r="C1" s="35"/>
      <c r="D1" s="35"/>
      <c r="E1" s="35"/>
      <c r="F1" s="35"/>
    </row>
    <row r="2" spans="1:6" x14ac:dyDescent="0.3">
      <c r="A2" s="24" t="s">
        <v>45</v>
      </c>
      <c r="B2" s="34" t="s">
        <v>46</v>
      </c>
      <c r="C2" s="34" t="s">
        <v>48</v>
      </c>
      <c r="D2" s="34" t="s">
        <v>47</v>
      </c>
      <c r="E2" s="34" t="s">
        <v>49</v>
      </c>
      <c r="F2" s="34" t="s">
        <v>50</v>
      </c>
    </row>
    <row r="3" spans="1:6" x14ac:dyDescent="0.3">
      <c r="A3" s="23">
        <v>1804</v>
      </c>
      <c r="B3" s="22" t="s">
        <v>116</v>
      </c>
      <c r="C3" s="3" t="s">
        <v>117</v>
      </c>
      <c r="D3" s="3" t="s">
        <v>118</v>
      </c>
      <c r="E3" s="3" t="s">
        <v>119</v>
      </c>
      <c r="F3" s="3" t="s">
        <v>73</v>
      </c>
    </row>
    <row r="4" spans="1:6" x14ac:dyDescent="0.3">
      <c r="A4" s="23">
        <v>1571</v>
      </c>
      <c r="B4" s="22" t="s">
        <v>120</v>
      </c>
      <c r="C4" s="3" t="s">
        <v>121</v>
      </c>
      <c r="D4" s="3" t="s">
        <v>122</v>
      </c>
      <c r="E4" s="3" t="s">
        <v>123</v>
      </c>
      <c r="F4" s="3" t="s">
        <v>73</v>
      </c>
    </row>
    <row r="5" spans="1:6" x14ac:dyDescent="0.3">
      <c r="A5" s="23">
        <v>1881</v>
      </c>
      <c r="B5" s="22" t="s">
        <v>124</v>
      </c>
      <c r="C5" s="3" t="s">
        <v>125</v>
      </c>
      <c r="D5" s="3" t="s">
        <v>126</v>
      </c>
      <c r="E5" s="3" t="s">
        <v>127</v>
      </c>
      <c r="F5" s="3" t="s">
        <v>73</v>
      </c>
    </row>
    <row r="6" spans="1:6" x14ac:dyDescent="0.3">
      <c r="A6" s="23">
        <v>1559</v>
      </c>
      <c r="B6" s="22" t="s">
        <v>128</v>
      </c>
      <c r="C6" s="3" t="s">
        <v>129</v>
      </c>
      <c r="D6" s="3" t="s">
        <v>130</v>
      </c>
      <c r="E6" s="3" t="s">
        <v>131</v>
      </c>
      <c r="F6" s="3" t="s">
        <v>73</v>
      </c>
    </row>
    <row r="7" spans="1:6" x14ac:dyDescent="0.3">
      <c r="A7" s="23">
        <v>1548</v>
      </c>
      <c r="B7" s="22" t="s">
        <v>132</v>
      </c>
      <c r="C7" s="3" t="s">
        <v>133</v>
      </c>
      <c r="D7" s="3" t="s">
        <v>134</v>
      </c>
      <c r="E7" s="3" t="s">
        <v>135</v>
      </c>
      <c r="F7" s="3" t="s">
        <v>73</v>
      </c>
    </row>
    <row r="8" spans="1:6" x14ac:dyDescent="0.3">
      <c r="A8" s="23">
        <v>1549</v>
      </c>
      <c r="B8" s="22" t="s">
        <v>136</v>
      </c>
      <c r="C8" s="3" t="s">
        <v>137</v>
      </c>
      <c r="D8" s="3" t="s">
        <v>138</v>
      </c>
      <c r="E8" s="3" t="s">
        <v>139</v>
      </c>
      <c r="F8" s="3" t="s">
        <v>73</v>
      </c>
    </row>
    <row r="9" spans="1:6" x14ac:dyDescent="0.3">
      <c r="A9" s="23">
        <v>1556</v>
      </c>
      <c r="B9" s="22" t="s">
        <v>140</v>
      </c>
      <c r="C9" s="3" t="s">
        <v>141</v>
      </c>
      <c r="D9" s="3" t="s">
        <v>142</v>
      </c>
      <c r="E9" s="3" t="s">
        <v>143</v>
      </c>
      <c r="F9" s="3" t="s">
        <v>73</v>
      </c>
    </row>
    <row r="10" spans="1:6" x14ac:dyDescent="0.3">
      <c r="A10" s="23">
        <v>1915</v>
      </c>
      <c r="B10" s="22" t="s">
        <v>144</v>
      </c>
      <c r="C10" s="3" t="s">
        <v>145</v>
      </c>
      <c r="D10" s="3" t="s">
        <v>146</v>
      </c>
      <c r="E10" s="3" t="s">
        <v>147</v>
      </c>
      <c r="F10" s="3" t="s">
        <v>73</v>
      </c>
    </row>
    <row r="11" spans="1:6" x14ac:dyDescent="0.3">
      <c r="A11" s="23">
        <v>1563</v>
      </c>
      <c r="B11" s="22" t="s">
        <v>148</v>
      </c>
      <c r="C11" s="3" t="s">
        <v>149</v>
      </c>
      <c r="D11" s="3" t="s">
        <v>150</v>
      </c>
      <c r="E11" s="3" t="s">
        <v>151</v>
      </c>
      <c r="F11" s="3" t="s">
        <v>73</v>
      </c>
    </row>
    <row r="12" spans="1:6" x14ac:dyDescent="0.3">
      <c r="A12" s="23">
        <v>1562</v>
      </c>
      <c r="B12" s="22" t="s">
        <v>152</v>
      </c>
      <c r="C12" s="3" t="s">
        <v>153</v>
      </c>
      <c r="D12" s="3" t="s">
        <v>154</v>
      </c>
      <c r="E12" s="3" t="s">
        <v>155</v>
      </c>
      <c r="F12" s="3" t="s">
        <v>73</v>
      </c>
    </row>
    <row r="13" spans="1:6" x14ac:dyDescent="0.3">
      <c r="A13" s="23">
        <v>1547</v>
      </c>
      <c r="B13" s="22" t="s">
        <v>156</v>
      </c>
      <c r="C13" s="3" t="s">
        <v>157</v>
      </c>
      <c r="D13" s="3" t="s">
        <v>158</v>
      </c>
      <c r="E13" s="3" t="s">
        <v>159</v>
      </c>
      <c r="F13" s="3" t="s">
        <v>73</v>
      </c>
    </row>
    <row r="14" spans="1:6" x14ac:dyDescent="0.3">
      <c r="A14" s="23">
        <v>1644</v>
      </c>
      <c r="B14" s="22" t="s">
        <v>160</v>
      </c>
      <c r="C14" s="3" t="s">
        <v>161</v>
      </c>
      <c r="D14" s="3" t="s">
        <v>162</v>
      </c>
      <c r="E14" s="3" t="s">
        <v>163</v>
      </c>
      <c r="F14" s="3" t="s">
        <v>73</v>
      </c>
    </row>
    <row r="15" spans="1:6" x14ac:dyDescent="0.3">
      <c r="A15" s="23">
        <v>1566</v>
      </c>
      <c r="B15" s="22" t="s">
        <v>164</v>
      </c>
      <c r="C15" s="3" t="s">
        <v>165</v>
      </c>
      <c r="D15" s="3" t="s">
        <v>166</v>
      </c>
      <c r="E15" s="3" t="s">
        <v>167</v>
      </c>
      <c r="F15" s="3" t="s">
        <v>73</v>
      </c>
    </row>
    <row r="16" spans="1:6" x14ac:dyDescent="0.3">
      <c r="A16" s="23">
        <v>1878</v>
      </c>
      <c r="B16" s="22" t="s">
        <v>168</v>
      </c>
      <c r="C16" s="3" t="s">
        <v>169</v>
      </c>
      <c r="D16" s="3" t="s">
        <v>170</v>
      </c>
      <c r="E16" s="3" t="s">
        <v>171</v>
      </c>
      <c r="F16" s="3" t="s">
        <v>73</v>
      </c>
    </row>
    <row r="17" spans="1:6" x14ac:dyDescent="0.3">
      <c r="A17" s="23">
        <v>1809</v>
      </c>
      <c r="B17" s="22" t="s">
        <v>172</v>
      </c>
      <c r="C17" s="3" t="s">
        <v>173</v>
      </c>
      <c r="D17" s="3" t="s">
        <v>174</v>
      </c>
      <c r="E17" s="3" t="s">
        <v>175</v>
      </c>
      <c r="F17" s="3" t="s">
        <v>73</v>
      </c>
    </row>
    <row r="18" spans="1:6" x14ac:dyDescent="0.3">
      <c r="A18" s="23">
        <v>1920</v>
      </c>
      <c r="B18" s="22" t="s">
        <v>176</v>
      </c>
      <c r="C18" s="3" t="s">
        <v>177</v>
      </c>
      <c r="D18" s="3" t="s">
        <v>178</v>
      </c>
      <c r="E18" s="3" t="s">
        <v>179</v>
      </c>
      <c r="F18" s="3" t="s">
        <v>73</v>
      </c>
    </row>
    <row r="19" spans="1:6" x14ac:dyDescent="0.3">
      <c r="A19" s="23">
        <v>1569</v>
      </c>
      <c r="B19" s="22" t="s">
        <v>180</v>
      </c>
      <c r="C19" s="3" t="s">
        <v>181</v>
      </c>
      <c r="D19" s="3" t="s">
        <v>182</v>
      </c>
      <c r="E19" s="3" t="s">
        <v>183</v>
      </c>
      <c r="F19" s="3" t="s">
        <v>73</v>
      </c>
    </row>
    <row r="20" spans="1:6" x14ac:dyDescent="0.3">
      <c r="A20" s="23">
        <v>1789</v>
      </c>
      <c r="B20" s="22" t="s">
        <v>184</v>
      </c>
      <c r="C20" s="3" t="s">
        <v>185</v>
      </c>
      <c r="D20" s="3" t="s">
        <v>186</v>
      </c>
      <c r="E20" s="3" t="s">
        <v>187</v>
      </c>
      <c r="F20" s="3" t="s">
        <v>73</v>
      </c>
    </row>
    <row r="21" spans="1:6" x14ac:dyDescent="0.3">
      <c r="A21" s="23">
        <v>1673</v>
      </c>
      <c r="B21" s="22" t="s">
        <v>188</v>
      </c>
      <c r="C21" s="3" t="s">
        <v>161</v>
      </c>
      <c r="D21" s="3" t="s">
        <v>189</v>
      </c>
      <c r="E21" s="3" t="s">
        <v>190</v>
      </c>
      <c r="F21" s="3" t="s">
        <v>73</v>
      </c>
    </row>
    <row r="22" spans="1:6" x14ac:dyDescent="0.3">
      <c r="A22" s="23">
        <v>1649</v>
      </c>
      <c r="B22" s="22" t="s">
        <v>191</v>
      </c>
      <c r="C22" s="3" t="s">
        <v>192</v>
      </c>
      <c r="D22" s="3" t="s">
        <v>193</v>
      </c>
      <c r="E22" s="3" t="s">
        <v>194</v>
      </c>
      <c r="F22" s="3" t="s">
        <v>73</v>
      </c>
    </row>
    <row r="23" spans="1:6" x14ac:dyDescent="0.3">
      <c r="A23" s="23">
        <v>1791</v>
      </c>
      <c r="B23" s="22" t="s">
        <v>195</v>
      </c>
      <c r="C23" s="3" t="s">
        <v>196</v>
      </c>
      <c r="D23" s="3" t="s">
        <v>197</v>
      </c>
      <c r="E23" s="3" t="s">
        <v>198</v>
      </c>
      <c r="F23" s="3" t="s">
        <v>73</v>
      </c>
    </row>
    <row r="24" spans="1:6" x14ac:dyDescent="0.3">
      <c r="A24" s="23">
        <v>1564</v>
      </c>
      <c r="B24" s="22" t="s">
        <v>199</v>
      </c>
      <c r="C24" s="3" t="s">
        <v>200</v>
      </c>
      <c r="D24" s="3" t="s">
        <v>201</v>
      </c>
      <c r="E24" s="3" t="s">
        <v>202</v>
      </c>
      <c r="F24" s="3" t="s">
        <v>73</v>
      </c>
    </row>
    <row r="25" spans="1:6" x14ac:dyDescent="0.3">
      <c r="A25" s="23">
        <v>1573</v>
      </c>
      <c r="B25" s="22" t="s">
        <v>203</v>
      </c>
      <c r="C25" s="3" t="s">
        <v>204</v>
      </c>
      <c r="D25" s="3" t="s">
        <v>205</v>
      </c>
      <c r="E25" s="3" t="s">
        <v>206</v>
      </c>
      <c r="F25" s="3" t="s">
        <v>73</v>
      </c>
    </row>
    <row r="26" spans="1:6" x14ac:dyDescent="0.3">
      <c r="A26" s="23">
        <v>1561</v>
      </c>
      <c r="B26" s="22" t="s">
        <v>207</v>
      </c>
      <c r="C26" s="3" t="s">
        <v>208</v>
      </c>
      <c r="D26" s="3" t="s">
        <v>209</v>
      </c>
      <c r="E26" s="3" t="s">
        <v>210</v>
      </c>
      <c r="F26" s="3" t="s">
        <v>73</v>
      </c>
    </row>
    <row r="27" spans="1:6" x14ac:dyDescent="0.3">
      <c r="A27" s="23">
        <v>1565</v>
      </c>
      <c r="B27" s="22" t="s">
        <v>211</v>
      </c>
      <c r="C27" s="3" t="s">
        <v>212</v>
      </c>
      <c r="D27" s="3" t="s">
        <v>213</v>
      </c>
      <c r="E27" s="3" t="s">
        <v>214</v>
      </c>
      <c r="F27" s="3" t="s">
        <v>73</v>
      </c>
    </row>
    <row r="28" spans="1:6" x14ac:dyDescent="0.3">
      <c r="A28" s="23">
        <v>1870</v>
      </c>
      <c r="B28" s="22" t="s">
        <v>215</v>
      </c>
      <c r="C28" s="3" t="s">
        <v>216</v>
      </c>
      <c r="D28" s="3" t="s">
        <v>217</v>
      </c>
      <c r="E28" s="3" t="s">
        <v>218</v>
      </c>
      <c r="F28" s="3" t="s">
        <v>73</v>
      </c>
    </row>
    <row r="29" spans="1:6" x14ac:dyDescent="0.3">
      <c r="A29" s="23">
        <v>1657</v>
      </c>
      <c r="B29" s="22" t="s">
        <v>219</v>
      </c>
      <c r="C29" s="3" t="s">
        <v>220</v>
      </c>
      <c r="D29" s="3" t="s">
        <v>221</v>
      </c>
      <c r="E29" s="3" t="s">
        <v>222</v>
      </c>
      <c r="F29" s="3" t="s">
        <v>73</v>
      </c>
    </row>
    <row r="30" spans="1:6" x14ac:dyDescent="0.3">
      <c r="A30" s="23">
        <v>1558</v>
      </c>
      <c r="B30" s="22" t="s">
        <v>223</v>
      </c>
      <c r="C30" s="3" t="s">
        <v>224</v>
      </c>
      <c r="D30" s="3" t="s">
        <v>225</v>
      </c>
      <c r="E30" s="3" t="s">
        <v>226</v>
      </c>
      <c r="F30" s="3" t="s">
        <v>73</v>
      </c>
    </row>
    <row r="31" spans="1:6" x14ac:dyDescent="0.3">
      <c r="A31" s="23">
        <v>1906</v>
      </c>
      <c r="B31" s="22" t="s">
        <v>227</v>
      </c>
      <c r="C31" s="3" t="s">
        <v>228</v>
      </c>
      <c r="D31" s="3" t="s">
        <v>229</v>
      </c>
      <c r="E31" s="3" t="s">
        <v>230</v>
      </c>
      <c r="F31" s="3" t="s">
        <v>73</v>
      </c>
    </row>
    <row r="32" spans="1:6" x14ac:dyDescent="0.3">
      <c r="A32" s="23">
        <v>1865</v>
      </c>
      <c r="B32" s="22" t="s">
        <v>231</v>
      </c>
      <c r="C32" s="3" t="s">
        <v>232</v>
      </c>
      <c r="D32" s="3" t="s">
        <v>233</v>
      </c>
      <c r="E32" s="3" t="s">
        <v>234</v>
      </c>
      <c r="F32" s="3" t="s">
        <v>73</v>
      </c>
    </row>
    <row r="33" spans="1:6" x14ac:dyDescent="0.3">
      <c r="A33" s="23">
        <v>1735</v>
      </c>
      <c r="B33" s="22" t="s">
        <v>235</v>
      </c>
      <c r="C33" s="3" t="s">
        <v>236</v>
      </c>
      <c r="D33" s="3" t="s">
        <v>237</v>
      </c>
      <c r="E33" s="3" t="s">
        <v>238</v>
      </c>
      <c r="F33" s="3" t="s">
        <v>73</v>
      </c>
    </row>
    <row r="34" spans="1:6" x14ac:dyDescent="0.3">
      <c r="A34" s="23">
        <v>1557</v>
      </c>
      <c r="B34" s="22" t="s">
        <v>239</v>
      </c>
      <c r="C34" s="3" t="s">
        <v>240</v>
      </c>
      <c r="D34" s="3" t="s">
        <v>241</v>
      </c>
      <c r="E34" s="3" t="s">
        <v>242</v>
      </c>
      <c r="F34" s="3" t="s">
        <v>73</v>
      </c>
    </row>
    <row r="35" spans="1:6" x14ac:dyDescent="0.3">
      <c r="A35" s="23">
        <v>1560</v>
      </c>
      <c r="B35" s="22" t="s">
        <v>243</v>
      </c>
      <c r="C35" s="3" t="s">
        <v>244</v>
      </c>
      <c r="D35" s="3" t="s">
        <v>245</v>
      </c>
      <c r="E35" s="3" t="s">
        <v>246</v>
      </c>
      <c r="F35" s="3" t="s">
        <v>73</v>
      </c>
    </row>
    <row r="36" spans="1:6" x14ac:dyDescent="0.3">
      <c r="A36" s="23">
        <v>1890</v>
      </c>
      <c r="B36" s="22" t="s">
        <v>247</v>
      </c>
      <c r="C36" s="3" t="s">
        <v>248</v>
      </c>
      <c r="D36" s="3" t="s">
        <v>249</v>
      </c>
      <c r="E36" s="3" t="s">
        <v>250</v>
      </c>
      <c r="F36" s="3" t="s">
        <v>73</v>
      </c>
    </row>
    <row r="37" spans="1:6" x14ac:dyDescent="0.3">
      <c r="A37" s="23">
        <v>1575</v>
      </c>
      <c r="B37" s="22" t="s">
        <v>251</v>
      </c>
      <c r="C37" s="3" t="s">
        <v>252</v>
      </c>
      <c r="D37" s="3" t="s">
        <v>253</v>
      </c>
      <c r="E37" s="3" t="s">
        <v>254</v>
      </c>
      <c r="F37" s="3" t="s">
        <v>73</v>
      </c>
    </row>
    <row r="38" spans="1:6" x14ac:dyDescent="0.3">
      <c r="A38" s="23">
        <v>1732</v>
      </c>
      <c r="B38" s="22" t="s">
        <v>255</v>
      </c>
      <c r="C38" s="3" t="s">
        <v>256</v>
      </c>
      <c r="D38" s="3" t="s">
        <v>257</v>
      </c>
      <c r="E38" s="3" t="s">
        <v>258</v>
      </c>
      <c r="F38" s="3" t="s">
        <v>73</v>
      </c>
    </row>
    <row r="39" spans="1:6" x14ac:dyDescent="0.3">
      <c r="A39" s="23">
        <v>1706</v>
      </c>
      <c r="B39" s="3" t="s">
        <v>259</v>
      </c>
      <c r="C39" s="3" t="s">
        <v>260</v>
      </c>
      <c r="D39" s="3" t="s">
        <v>261</v>
      </c>
      <c r="E39" s="3" t="s">
        <v>262</v>
      </c>
      <c r="F39" s="3" t="s">
        <v>73</v>
      </c>
    </row>
    <row r="40" spans="1:6" x14ac:dyDescent="0.3">
      <c r="A40" s="23">
        <v>1567</v>
      </c>
      <c r="B40" s="3" t="s">
        <v>263</v>
      </c>
      <c r="C40" s="3" t="s">
        <v>264</v>
      </c>
      <c r="D40" s="3" t="s">
        <v>265</v>
      </c>
      <c r="E40" s="3" t="s">
        <v>266</v>
      </c>
      <c r="F40" s="3" t="s">
        <v>73</v>
      </c>
    </row>
    <row r="41" spans="1:6" x14ac:dyDescent="0.3">
      <c r="A41" s="23">
        <v>1937</v>
      </c>
      <c r="B41" s="3" t="s">
        <v>267</v>
      </c>
      <c r="C41" s="3" t="s">
        <v>268</v>
      </c>
      <c r="D41" s="3" t="s">
        <v>269</v>
      </c>
      <c r="E41" s="3" t="s">
        <v>270</v>
      </c>
      <c r="F41" s="3" t="s">
        <v>73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2"/>
  <sheetViews>
    <sheetView tabSelected="1" workbookViewId="0">
      <selection activeCell="M16" sqref="M16"/>
    </sheetView>
  </sheetViews>
  <sheetFormatPr defaultRowHeight="14.4" x14ac:dyDescent="0.3"/>
  <cols>
    <col min="2" max="2" width="24.441406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 x14ac:dyDescent="0.3">
      <c r="A1" s="36" t="s">
        <v>84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">
      <c r="A2" s="40" t="s">
        <v>52</v>
      </c>
      <c r="B2" s="40" t="s">
        <v>53</v>
      </c>
      <c r="C2" s="40" t="s">
        <v>12</v>
      </c>
      <c r="D2" s="40" t="s">
        <v>13</v>
      </c>
      <c r="E2" s="40" t="s">
        <v>54</v>
      </c>
      <c r="F2" s="40" t="s">
        <v>72</v>
      </c>
      <c r="G2" s="38" t="s">
        <v>15</v>
      </c>
      <c r="H2" s="38" t="s">
        <v>85</v>
      </c>
      <c r="I2" s="38" t="s">
        <v>86</v>
      </c>
      <c r="J2" s="40" t="s">
        <v>81</v>
      </c>
      <c r="K2" s="40"/>
    </row>
    <row r="3" spans="1:11" x14ac:dyDescent="0.3">
      <c r="A3" s="40"/>
      <c r="B3" s="40"/>
      <c r="C3" s="40"/>
      <c r="D3" s="40"/>
      <c r="E3" s="40"/>
      <c r="F3" s="40"/>
      <c r="G3" s="39"/>
      <c r="H3" s="39"/>
      <c r="I3" s="39"/>
      <c r="J3" s="26" t="s">
        <v>82</v>
      </c>
      <c r="K3" s="26" t="s">
        <v>83</v>
      </c>
    </row>
    <row r="4" spans="1:11" x14ac:dyDescent="0.3">
      <c r="A4" s="28">
        <f>DETAILS!A3</f>
        <v>1804</v>
      </c>
      <c r="B4" s="29" t="str">
        <f>DETAILS!B3</f>
        <v>AAKRITI SINGH</v>
      </c>
      <c r="C4" s="29"/>
      <c r="D4" s="29"/>
      <c r="E4" s="29"/>
      <c r="F4" s="29"/>
      <c r="G4" s="29"/>
      <c r="H4" s="29"/>
      <c r="I4" s="3"/>
      <c r="J4" s="3"/>
      <c r="K4" s="3"/>
    </row>
    <row r="5" spans="1:11" x14ac:dyDescent="0.3">
      <c r="A5" s="23">
        <f>DETAILS!A4</f>
        <v>1571</v>
      </c>
      <c r="B5" s="3" t="str">
        <f>DETAILS!B4</f>
        <v>ABHIJEET PATEL</v>
      </c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23">
        <f>DETAILS!A5</f>
        <v>1881</v>
      </c>
      <c r="B6" s="3" t="str">
        <f>DETAILS!B5</f>
        <v>ADITI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23">
        <f>DETAILS!A6</f>
        <v>1559</v>
      </c>
      <c r="B7" s="3" t="str">
        <f>DETAILS!B6</f>
        <v>ADITYA VERMA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23">
        <f>DETAILS!A7</f>
        <v>1548</v>
      </c>
      <c r="B8" s="3" t="str">
        <f>DETAILS!B7</f>
        <v>ADVIK BAJPAI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23">
        <f>DETAILS!A8</f>
        <v>1549</v>
      </c>
      <c r="B9" s="3" t="str">
        <f>DETAILS!B8</f>
        <v>AHEM SHARMA</v>
      </c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23">
        <f>DETAILS!A9</f>
        <v>1556</v>
      </c>
      <c r="B10" s="3" t="str">
        <f>DETAILS!B9</f>
        <v>AKRATI VISHWAKARMA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23">
        <f>DETAILS!A10</f>
        <v>1915</v>
      </c>
      <c r="B11" s="3" t="str">
        <f>DETAILS!B10</f>
        <v>AKRITI SHUKLA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23">
        <f>DETAILS!A11</f>
        <v>1563</v>
      </c>
      <c r="B12" s="3" t="str">
        <f>DETAILS!B11</f>
        <v>ANANYA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23">
        <f>DETAILS!A12</f>
        <v>1562</v>
      </c>
      <c r="B13" s="3" t="str">
        <f>DETAILS!B12</f>
        <v>ANKITA RAJPOOT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23">
        <f>DETAILS!A13</f>
        <v>1547</v>
      </c>
      <c r="B14" s="3" t="str">
        <f>DETAILS!B13</f>
        <v>ANSHIKA PANDEY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23">
        <f>DETAILS!A14</f>
        <v>1644</v>
      </c>
      <c r="B15" s="3" t="str">
        <f>DETAILS!B14</f>
        <v>ARADHYA SINGH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23">
        <f>DETAILS!A15</f>
        <v>1566</v>
      </c>
      <c r="B16" s="3" t="str">
        <f>DETAILS!B15</f>
        <v>ARIYAN PAL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23">
        <f>DETAILS!A16</f>
        <v>1878</v>
      </c>
      <c r="B17" s="3" t="str">
        <f>DETAILS!B16</f>
        <v>AROHI VERMA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23">
        <f>DETAILS!A17</f>
        <v>1809</v>
      </c>
      <c r="B18" s="3" t="str">
        <f>DETAILS!B17</f>
        <v>ARUNENDRA PRATAP SINGH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23">
        <f>DETAILS!A18</f>
        <v>1920</v>
      </c>
      <c r="B19" s="3" t="str">
        <f>DETAILS!B18</f>
        <v>ATHARV SINGH CHAUHAN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23">
        <f>DETAILS!A19</f>
        <v>1569</v>
      </c>
      <c r="B20" s="3" t="str">
        <f>DETAILS!B19</f>
        <v>AVNI VERMA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23">
        <f>DETAILS!A20</f>
        <v>1789</v>
      </c>
      <c r="B21" s="3" t="str">
        <f>DETAILS!B20</f>
        <v>AYUSHI YADAV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23">
        <f>DETAILS!A21</f>
        <v>1673</v>
      </c>
      <c r="B22" s="3" t="str">
        <f>DETAILS!B21</f>
        <v>DEVANSH SINGH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23">
        <f>DETAILS!A22</f>
        <v>1649</v>
      </c>
      <c r="B23" s="3" t="str">
        <f>DETAILS!B22</f>
        <v>DEVISHA TIWARI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23">
        <f>DETAILS!A23</f>
        <v>1791</v>
      </c>
      <c r="B24" s="3" t="str">
        <f>DETAILS!B23</f>
        <v>DIPANSH SRIVASTAVA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23">
        <f>DETAILS!A24</f>
        <v>1564</v>
      </c>
      <c r="B25" s="3" t="str">
        <f>DETAILS!B24</f>
        <v>GAURAV YADAV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23">
        <f>DETAILS!A25</f>
        <v>1573</v>
      </c>
      <c r="B26" s="3" t="str">
        <f>DETAILS!B25</f>
        <v>HARIOM MISHRA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23">
        <f>DETAILS!A26</f>
        <v>1561</v>
      </c>
      <c r="B27" s="3" t="str">
        <f>DETAILS!B26</f>
        <v>HARSHITA MEENA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23">
        <f>DETAILS!A27</f>
        <v>1565</v>
      </c>
      <c r="B28" s="3" t="str">
        <f>DETAILS!B27</f>
        <v>JANVI SINGH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23">
        <f>DETAILS!A28</f>
        <v>1870</v>
      </c>
      <c r="B29" s="3" t="str">
        <f>DETAILS!B28</f>
        <v>JANVI SINGH SENGAR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23">
        <f>DETAILS!A29</f>
        <v>1657</v>
      </c>
      <c r="B30" s="3" t="str">
        <f>DETAILS!B29</f>
        <v>KARNIKA VERMA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23">
        <f>DETAILS!A30</f>
        <v>1558</v>
      </c>
      <c r="B31" s="3" t="str">
        <f>DETAILS!B30</f>
        <v>KAVYA TIWARI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23">
        <f>DETAILS!A31</f>
        <v>1906</v>
      </c>
      <c r="B32" s="3" t="str">
        <f>DETAILS!B31</f>
        <v>KHUSHI PATEL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23">
        <f>DETAILS!A32</f>
        <v>1865</v>
      </c>
      <c r="B33" s="3" t="str">
        <f>DETAILS!B32</f>
        <v>MOHD SAIF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23">
        <f>DETAILS!A33</f>
        <v>1735</v>
      </c>
      <c r="B34" s="3" t="str">
        <f>DETAILS!B33</f>
        <v>PRAGATI SINGH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23">
        <f>DETAILS!A34</f>
        <v>1557</v>
      </c>
      <c r="B35" s="3" t="str">
        <f>DETAILS!B34</f>
        <v>PRISHA JAISWAL</v>
      </c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23">
        <f>DETAILS!A35</f>
        <v>1560</v>
      </c>
      <c r="B36" s="3" t="str">
        <f>DETAILS!B35</f>
        <v>SHANTANU YADAV</v>
      </c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23">
        <f>DETAILS!A36</f>
        <v>1890</v>
      </c>
      <c r="B37" s="3" t="str">
        <f>DETAILS!B36</f>
        <v>SHIVA YADAV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23">
        <f>DETAILS!A37</f>
        <v>1575</v>
      </c>
      <c r="B38" s="3" t="str">
        <f>DETAILS!B37</f>
        <v>SHIVIKA VERMA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23">
        <f>DETAILS!A38</f>
        <v>1732</v>
      </c>
      <c r="B39" s="3" t="str">
        <f>DETAILS!B38</f>
        <v>SUHAN ALI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23">
        <f>DETAILS!A39</f>
        <v>1706</v>
      </c>
      <c r="B40" s="3" t="str">
        <f>DETAILS!B39</f>
        <v>UTKARSH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23">
        <f>DETAILS!A40</f>
        <v>1567</v>
      </c>
      <c r="B41" s="3" t="str">
        <f>DETAILS!B40</f>
        <v>VAANYA YADAV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23">
        <f>DETAILS!A41</f>
        <v>1937</v>
      </c>
      <c r="B42" s="3" t="str">
        <f>DETAILS!B41</f>
        <v>VIVAAN  PAL</v>
      </c>
      <c r="C42" s="3"/>
      <c r="D42" s="3"/>
      <c r="E42" s="3"/>
      <c r="F42" s="3"/>
      <c r="G42" s="3"/>
      <c r="H42" s="3"/>
      <c r="I42" s="3"/>
      <c r="J42" s="3"/>
      <c r="K42" s="3"/>
    </row>
  </sheetData>
  <mergeCells count="11">
    <mergeCell ref="A1:K1"/>
    <mergeCell ref="G2:G3"/>
    <mergeCell ref="H2:H3"/>
    <mergeCell ref="I2:I3"/>
    <mergeCell ref="J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42"/>
  <sheetViews>
    <sheetView workbookViewId="0">
      <selection activeCell="Q9" sqref="Q9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 x14ac:dyDescent="0.3">
      <c r="A1" s="36" t="s">
        <v>84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1" t="s">
        <v>52</v>
      </c>
      <c r="B2" s="41" t="s">
        <v>53</v>
      </c>
      <c r="C2" s="38" t="s">
        <v>12</v>
      </c>
      <c r="D2" s="38" t="s">
        <v>13</v>
      </c>
      <c r="E2" s="38" t="s">
        <v>54</v>
      </c>
      <c r="F2" s="38" t="s">
        <v>72</v>
      </c>
      <c r="G2" s="38" t="s">
        <v>15</v>
      </c>
      <c r="H2" s="38" t="s">
        <v>85</v>
      </c>
      <c r="I2" s="38" t="s">
        <v>86</v>
      </c>
      <c r="J2" s="38" t="s">
        <v>55</v>
      </c>
      <c r="K2" s="38" t="s">
        <v>87</v>
      </c>
      <c r="L2" s="40" t="s">
        <v>81</v>
      </c>
      <c r="M2" s="40"/>
    </row>
    <row r="3" spans="1:13" x14ac:dyDescent="0.3">
      <c r="A3" s="42"/>
      <c r="B3" s="42"/>
      <c r="C3" s="39"/>
      <c r="D3" s="39"/>
      <c r="E3" s="39"/>
      <c r="F3" s="39"/>
      <c r="G3" s="39"/>
      <c r="H3" s="39"/>
      <c r="I3" s="39"/>
      <c r="J3" s="39"/>
      <c r="K3" s="39"/>
      <c r="L3" s="26" t="s">
        <v>82</v>
      </c>
      <c r="M3" s="26" t="s">
        <v>83</v>
      </c>
    </row>
    <row r="4" spans="1:13" x14ac:dyDescent="0.3">
      <c r="A4" s="23">
        <f>DETAILS!A3</f>
        <v>1804</v>
      </c>
      <c r="B4" s="3" t="str">
        <f>DETAILS!B3</f>
        <v>AAKRITI SINGH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IFERROR(ROUND((VLOOKUP(A4,'UT-I(Entry)'!$1:$1048576,7,0))/2,0),VLOOKUP(A4,'UT-I(Entry)'!$1:$1048576,7,0))</f>
        <v>0</v>
      </c>
      <c r="H4" s="27" t="str">
        <f>IFERROR(VLOOKUP(VLOOKUP(A4,'UT-I(Entry)'!$1:$1048576,8,0),'Grade(40)'!$1:$1048576,2,0),VLOOKUP(A4,'UT-I(Entry)'!$1:$1048576,8,0))</f>
        <v>E</v>
      </c>
      <c r="I4" s="27" t="str">
        <f>IFERROR(VLOOKUP(VLOOKUP(A4,'UT-I(Entry)'!$1:$1048576,9,0),'Grade(40)'!$1:$1048576,2,0),VLOOKUP(A4,'UT-I(Entry)'!$1:$1048576,9,0))</f>
        <v>E</v>
      </c>
      <c r="J4" s="27">
        <f t="shared" ref="J4:J42" si="0">SUM(C4:G4)</f>
        <v>0</v>
      </c>
      <c r="K4" s="27" t="str">
        <f>ROUND(J4/1,2)&amp;" %"</f>
        <v>0 %</v>
      </c>
      <c r="L4" s="3">
        <f>VLOOKUP(A4,'UT-I(Entry)'!$1:$1048576,10,0)</f>
        <v>0</v>
      </c>
      <c r="M4" s="3">
        <f>VLOOKUP(A4,'UT-I(Entry)'!$1:$1048576,11,0)</f>
        <v>0</v>
      </c>
    </row>
    <row r="5" spans="1:13" x14ac:dyDescent="0.3">
      <c r="A5" s="23">
        <f>DETAILS!A4</f>
        <v>1571</v>
      </c>
      <c r="B5" s="3" t="str">
        <f>DETAILS!B4</f>
        <v>ABHIJEET PATEL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IFERROR(ROUND((VLOOKUP(A5,'UT-I(Entry)'!$1:$1048576,7,0))/2,0),VLOOKUP(A5,'UT-I(Entry)'!$1:$1048576,7,0))</f>
        <v>0</v>
      </c>
      <c r="H5" s="27" t="str">
        <f>IFERROR(VLOOKUP(VLOOKUP(A5,'UT-I(Entry)'!$1:$1048576,8,0),'Grade(40)'!$1:$1048576,2,0),VLOOKUP(A5,'UT-I(Entry)'!$1:$1048576,8,0))</f>
        <v>E</v>
      </c>
      <c r="I5" s="27" t="str">
        <f>IFERROR(VLOOKUP(VLOOKUP(A5,'UT-I(Entry)'!$1:$1048576,9,0),'Grade(40)'!$1:$1048576,2,0),VLOOKUP(A5,'UT-I(Entry)'!$1:$1048576,9,0))</f>
        <v>E</v>
      </c>
      <c r="J5" s="27">
        <f t="shared" si="0"/>
        <v>0</v>
      </c>
      <c r="K5" s="27" t="str">
        <f t="shared" ref="K5:K42" si="1">ROUND(J5/1,2)&amp;" %"</f>
        <v>0 %</v>
      </c>
      <c r="L5" s="3">
        <f>VLOOKUP(A5,'UT-I(Entry)'!$1:$1048576,10,0)</f>
        <v>0</v>
      </c>
      <c r="M5" s="3">
        <f>VLOOKUP(A5,'UT-I(Entry)'!$1:$1048576,11,0)</f>
        <v>0</v>
      </c>
    </row>
    <row r="6" spans="1:13" x14ac:dyDescent="0.3">
      <c r="A6" s="23">
        <f>DETAILS!A5</f>
        <v>1881</v>
      </c>
      <c r="B6" s="3" t="str">
        <f>DETAILS!B5</f>
        <v>ADITI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IFERROR(ROUND((VLOOKUP(A6,'UT-I(Entry)'!$1:$1048576,7,0))/2,0),VLOOKUP(A6,'UT-I(Entry)'!$1:$1048576,7,0))</f>
        <v>0</v>
      </c>
      <c r="H6" s="27" t="str">
        <f>IFERROR(VLOOKUP(VLOOKUP(A6,'UT-I(Entry)'!$1:$1048576,8,0),'Grade(40)'!$1:$1048576,2,0),VLOOKUP(A6,'UT-I(Entry)'!$1:$1048576,8,0))</f>
        <v>E</v>
      </c>
      <c r="I6" s="27" t="str">
        <f>IFERROR(VLOOKUP(VLOOKUP(A6,'UT-I(Entry)'!$1:$1048576,9,0),'Grade(40)'!$1:$1048576,2,0),VLOOKUP(A6,'UT-I(Entry)'!$1:$1048576,9,0))</f>
        <v>E</v>
      </c>
      <c r="J6" s="27">
        <f t="shared" si="0"/>
        <v>0</v>
      </c>
      <c r="K6" s="27" t="str">
        <f t="shared" si="1"/>
        <v>0 %</v>
      </c>
      <c r="L6" s="3">
        <f>VLOOKUP(A6,'UT-I(Entry)'!$1:$1048576,10,0)</f>
        <v>0</v>
      </c>
      <c r="M6" s="3">
        <f>VLOOKUP(A6,'UT-I(Entry)'!$1:$1048576,11,0)</f>
        <v>0</v>
      </c>
    </row>
    <row r="7" spans="1:13" x14ac:dyDescent="0.3">
      <c r="A7" s="23">
        <f>DETAILS!A6</f>
        <v>1559</v>
      </c>
      <c r="B7" s="3" t="str">
        <f>DETAILS!B6</f>
        <v>ADITYA VERMA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IFERROR(ROUND((VLOOKUP(A7,'UT-I(Entry)'!$1:$1048576,7,0))/2,0),VLOOKUP(A7,'UT-I(Entry)'!$1:$1048576,7,0))</f>
        <v>0</v>
      </c>
      <c r="H7" s="27" t="str">
        <f>IFERROR(VLOOKUP(VLOOKUP(A7,'UT-I(Entry)'!$1:$1048576,8,0),'Grade(40)'!$1:$1048576,2,0),VLOOKUP(A7,'UT-I(Entry)'!$1:$1048576,8,0))</f>
        <v>E</v>
      </c>
      <c r="I7" s="27" t="str">
        <f>IFERROR(VLOOKUP(VLOOKUP(A7,'UT-I(Entry)'!$1:$1048576,9,0),'Grade(40)'!$1:$1048576,2,0),VLOOKUP(A7,'UT-I(Entry)'!$1:$1048576,9,0))</f>
        <v>E</v>
      </c>
      <c r="J7" s="27">
        <f t="shared" si="0"/>
        <v>0</v>
      </c>
      <c r="K7" s="27" t="str">
        <f t="shared" si="1"/>
        <v>0 %</v>
      </c>
      <c r="L7" s="3">
        <f>VLOOKUP(A7,'UT-I(Entry)'!$1:$1048576,10,0)</f>
        <v>0</v>
      </c>
      <c r="M7" s="3">
        <f>VLOOKUP(A7,'UT-I(Entry)'!$1:$1048576,11,0)</f>
        <v>0</v>
      </c>
    </row>
    <row r="8" spans="1:13" x14ac:dyDescent="0.3">
      <c r="A8" s="23">
        <f>DETAILS!A7</f>
        <v>1548</v>
      </c>
      <c r="B8" s="3" t="str">
        <f>DETAILS!B7</f>
        <v>ADVIK BAJPAI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IFERROR(ROUND((VLOOKUP(A8,'UT-I(Entry)'!$1:$1048576,7,0))/2,0),VLOOKUP(A8,'UT-I(Entry)'!$1:$1048576,7,0))</f>
        <v>0</v>
      </c>
      <c r="H8" s="27" t="str">
        <f>IFERROR(VLOOKUP(VLOOKUP(A8,'UT-I(Entry)'!$1:$1048576,8,0),'Grade(40)'!$1:$1048576,2,0),VLOOKUP(A8,'UT-I(Entry)'!$1:$1048576,8,0))</f>
        <v>E</v>
      </c>
      <c r="I8" s="27" t="str">
        <f>IFERROR(VLOOKUP(VLOOKUP(A8,'UT-I(Entry)'!$1:$1048576,9,0),'Grade(40)'!$1:$1048576,2,0),VLOOKUP(A8,'UT-I(Entry)'!$1:$1048576,9,0))</f>
        <v>E</v>
      </c>
      <c r="J8" s="27">
        <f t="shared" si="0"/>
        <v>0</v>
      </c>
      <c r="K8" s="27" t="str">
        <f t="shared" si="1"/>
        <v>0 %</v>
      </c>
      <c r="L8" s="3">
        <f>VLOOKUP(A8,'UT-I(Entry)'!$1:$1048576,10,0)</f>
        <v>0</v>
      </c>
      <c r="M8" s="3">
        <f>VLOOKUP(A8,'UT-I(Entry)'!$1:$1048576,11,0)</f>
        <v>0</v>
      </c>
    </row>
    <row r="9" spans="1:13" x14ac:dyDescent="0.3">
      <c r="A9" s="23">
        <f>DETAILS!A8</f>
        <v>1549</v>
      </c>
      <c r="B9" s="3" t="str">
        <f>DETAILS!B8</f>
        <v>AHEM SHARMA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IFERROR(ROUND((VLOOKUP(A9,'UT-I(Entry)'!$1:$1048576,7,0))/2,0),VLOOKUP(A9,'UT-I(Entry)'!$1:$1048576,7,0))</f>
        <v>0</v>
      </c>
      <c r="H9" s="27" t="str">
        <f>IFERROR(VLOOKUP(VLOOKUP(A9,'UT-I(Entry)'!$1:$1048576,8,0),'Grade(40)'!$1:$1048576,2,0),VLOOKUP(A9,'UT-I(Entry)'!$1:$1048576,8,0))</f>
        <v>E</v>
      </c>
      <c r="I9" s="27" t="str">
        <f>IFERROR(VLOOKUP(VLOOKUP(A9,'UT-I(Entry)'!$1:$1048576,9,0),'Grade(40)'!$1:$1048576,2,0),VLOOKUP(A9,'UT-I(Entry)'!$1:$1048576,9,0))</f>
        <v>E</v>
      </c>
      <c r="J9" s="27">
        <f t="shared" si="0"/>
        <v>0</v>
      </c>
      <c r="K9" s="27" t="str">
        <f t="shared" si="1"/>
        <v>0 %</v>
      </c>
      <c r="L9" s="3">
        <f>VLOOKUP(A9,'UT-I(Entry)'!$1:$1048576,10,0)</f>
        <v>0</v>
      </c>
      <c r="M9" s="3">
        <f>VLOOKUP(A9,'UT-I(Entry)'!$1:$1048576,11,0)</f>
        <v>0</v>
      </c>
    </row>
    <row r="10" spans="1:13" x14ac:dyDescent="0.3">
      <c r="A10" s="23">
        <f>DETAILS!A9</f>
        <v>1556</v>
      </c>
      <c r="B10" s="3" t="str">
        <f>DETAILS!B9</f>
        <v>AKRATI VISHWAKARMA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IFERROR(ROUND((VLOOKUP(A10,'UT-I(Entry)'!$1:$1048576,7,0))/2,0),VLOOKUP(A10,'UT-I(Entry)'!$1:$1048576,7,0))</f>
        <v>0</v>
      </c>
      <c r="H10" s="27" t="str">
        <f>IFERROR(VLOOKUP(VLOOKUP(A10,'UT-I(Entry)'!$1:$1048576,8,0),'Grade(40)'!$1:$1048576,2,0),VLOOKUP(A10,'UT-I(Entry)'!$1:$1048576,8,0))</f>
        <v>E</v>
      </c>
      <c r="I10" s="27" t="str">
        <f>IFERROR(VLOOKUP(VLOOKUP(A10,'UT-I(Entry)'!$1:$1048576,9,0),'Grade(40)'!$1:$1048576,2,0),VLOOKUP(A10,'UT-I(Entry)'!$1:$1048576,9,0))</f>
        <v>E</v>
      </c>
      <c r="J10" s="27">
        <f t="shared" si="0"/>
        <v>0</v>
      </c>
      <c r="K10" s="27" t="str">
        <f t="shared" si="1"/>
        <v>0 %</v>
      </c>
      <c r="L10" s="3">
        <f>VLOOKUP(A10,'UT-I(Entry)'!$1:$1048576,10,0)</f>
        <v>0</v>
      </c>
      <c r="M10" s="3">
        <f>VLOOKUP(A10,'UT-I(Entry)'!$1:$1048576,11,0)</f>
        <v>0</v>
      </c>
    </row>
    <row r="11" spans="1:13" x14ac:dyDescent="0.3">
      <c r="A11" s="23">
        <f>DETAILS!A10</f>
        <v>1915</v>
      </c>
      <c r="B11" s="3" t="str">
        <f>DETAILS!B10</f>
        <v>AKRITI SHUKLA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IFERROR(ROUND((VLOOKUP(A11,'UT-I(Entry)'!$1:$1048576,7,0))/2,0),VLOOKUP(A11,'UT-I(Entry)'!$1:$1048576,7,0))</f>
        <v>0</v>
      </c>
      <c r="H11" s="27" t="str">
        <f>IFERROR(VLOOKUP(VLOOKUP(A11,'UT-I(Entry)'!$1:$1048576,8,0),'Grade(40)'!$1:$1048576,2,0),VLOOKUP(A11,'UT-I(Entry)'!$1:$1048576,8,0))</f>
        <v>E</v>
      </c>
      <c r="I11" s="27" t="str">
        <f>IFERROR(VLOOKUP(VLOOKUP(A11,'UT-I(Entry)'!$1:$1048576,9,0),'Grade(40)'!$1:$1048576,2,0),VLOOKUP(A11,'UT-I(Entry)'!$1:$1048576,9,0))</f>
        <v>E</v>
      </c>
      <c r="J11" s="27">
        <f t="shared" si="0"/>
        <v>0</v>
      </c>
      <c r="K11" s="27" t="str">
        <f t="shared" si="1"/>
        <v>0 %</v>
      </c>
      <c r="L11" s="3">
        <f>VLOOKUP(A11,'UT-I(Entry)'!$1:$1048576,10,0)</f>
        <v>0</v>
      </c>
      <c r="M11" s="3">
        <f>VLOOKUP(A11,'UT-I(Entry)'!$1:$1048576,11,0)</f>
        <v>0</v>
      </c>
    </row>
    <row r="12" spans="1:13" x14ac:dyDescent="0.3">
      <c r="A12" s="23">
        <f>DETAILS!A11</f>
        <v>1563</v>
      </c>
      <c r="B12" s="3" t="str">
        <f>DETAILS!B11</f>
        <v>ANANYA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IFERROR(ROUND((VLOOKUP(A12,'UT-I(Entry)'!$1:$1048576,7,0))/2,0),VLOOKUP(A12,'UT-I(Entry)'!$1:$1048576,7,0))</f>
        <v>0</v>
      </c>
      <c r="H12" s="27" t="str">
        <f>IFERROR(VLOOKUP(VLOOKUP(A12,'UT-I(Entry)'!$1:$1048576,8,0),'Grade(40)'!$1:$1048576,2,0),VLOOKUP(A12,'UT-I(Entry)'!$1:$1048576,8,0))</f>
        <v>E</v>
      </c>
      <c r="I12" s="27" t="str">
        <f>IFERROR(VLOOKUP(VLOOKUP(A12,'UT-I(Entry)'!$1:$1048576,9,0),'Grade(40)'!$1:$1048576,2,0),VLOOKUP(A12,'UT-I(Entry)'!$1:$1048576,9,0))</f>
        <v>E</v>
      </c>
      <c r="J12" s="27">
        <f t="shared" si="0"/>
        <v>0</v>
      </c>
      <c r="K12" s="27" t="str">
        <f t="shared" si="1"/>
        <v>0 %</v>
      </c>
      <c r="L12" s="3">
        <f>VLOOKUP(A12,'UT-I(Entry)'!$1:$1048576,10,0)</f>
        <v>0</v>
      </c>
      <c r="M12" s="3">
        <f>VLOOKUP(A12,'UT-I(Entry)'!$1:$1048576,11,0)</f>
        <v>0</v>
      </c>
    </row>
    <row r="13" spans="1:13" x14ac:dyDescent="0.3">
      <c r="A13" s="23">
        <f>DETAILS!A12</f>
        <v>1562</v>
      </c>
      <c r="B13" s="3" t="str">
        <f>DETAILS!B12</f>
        <v>ANKITA RAJPOOT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IFERROR(ROUND((VLOOKUP(A13,'UT-I(Entry)'!$1:$1048576,7,0))/2,0),VLOOKUP(A13,'UT-I(Entry)'!$1:$1048576,7,0))</f>
        <v>0</v>
      </c>
      <c r="H13" s="27" t="str">
        <f>IFERROR(VLOOKUP(VLOOKUP(A13,'UT-I(Entry)'!$1:$1048576,8,0),'Grade(40)'!$1:$1048576,2,0),VLOOKUP(A13,'UT-I(Entry)'!$1:$1048576,8,0))</f>
        <v>E</v>
      </c>
      <c r="I13" s="27" t="str">
        <f>IFERROR(VLOOKUP(VLOOKUP(A13,'UT-I(Entry)'!$1:$1048576,9,0),'Grade(40)'!$1:$1048576,2,0),VLOOKUP(A13,'UT-I(Entry)'!$1:$1048576,9,0))</f>
        <v>E</v>
      </c>
      <c r="J13" s="27">
        <f t="shared" si="0"/>
        <v>0</v>
      </c>
      <c r="K13" s="27" t="str">
        <f t="shared" si="1"/>
        <v>0 %</v>
      </c>
      <c r="L13" s="3">
        <f>VLOOKUP(A13,'UT-I(Entry)'!$1:$1048576,10,0)</f>
        <v>0</v>
      </c>
      <c r="M13" s="3">
        <f>VLOOKUP(A13,'UT-I(Entry)'!$1:$1048576,11,0)</f>
        <v>0</v>
      </c>
    </row>
    <row r="14" spans="1:13" x14ac:dyDescent="0.3">
      <c r="A14" s="23">
        <f>DETAILS!A13</f>
        <v>1547</v>
      </c>
      <c r="B14" s="3" t="str">
        <f>DETAILS!B13</f>
        <v>ANSHIKA PANDEY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IFERROR(ROUND((VLOOKUP(A14,'UT-I(Entry)'!$1:$1048576,7,0))/2,0),VLOOKUP(A14,'UT-I(Entry)'!$1:$1048576,7,0))</f>
        <v>0</v>
      </c>
      <c r="H14" s="27" t="str">
        <f>IFERROR(VLOOKUP(VLOOKUP(A14,'UT-I(Entry)'!$1:$1048576,8,0),'Grade(40)'!$1:$1048576,2,0),VLOOKUP(A14,'UT-I(Entry)'!$1:$1048576,8,0))</f>
        <v>E</v>
      </c>
      <c r="I14" s="27" t="str">
        <f>IFERROR(VLOOKUP(VLOOKUP(A14,'UT-I(Entry)'!$1:$1048576,9,0),'Grade(40)'!$1:$1048576,2,0),VLOOKUP(A14,'UT-I(Entry)'!$1:$1048576,9,0))</f>
        <v>E</v>
      </c>
      <c r="J14" s="27">
        <f t="shared" si="0"/>
        <v>0</v>
      </c>
      <c r="K14" s="27" t="str">
        <f t="shared" si="1"/>
        <v>0 %</v>
      </c>
      <c r="L14" s="3">
        <f>VLOOKUP(A14,'UT-I(Entry)'!$1:$1048576,10,0)</f>
        <v>0</v>
      </c>
      <c r="M14" s="3">
        <f>VLOOKUP(A14,'UT-I(Entry)'!$1:$1048576,11,0)</f>
        <v>0</v>
      </c>
    </row>
    <row r="15" spans="1:13" x14ac:dyDescent="0.3">
      <c r="A15" s="23">
        <f>DETAILS!A14</f>
        <v>1644</v>
      </c>
      <c r="B15" s="3" t="str">
        <f>DETAILS!B14</f>
        <v>ARADHYA SINGH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IFERROR(ROUND((VLOOKUP(A15,'UT-I(Entry)'!$1:$1048576,7,0))/2,0),VLOOKUP(A15,'UT-I(Entry)'!$1:$1048576,7,0))</f>
        <v>0</v>
      </c>
      <c r="H15" s="27" t="str">
        <f>IFERROR(VLOOKUP(VLOOKUP(A15,'UT-I(Entry)'!$1:$1048576,8,0),'Grade(40)'!$1:$1048576,2,0),VLOOKUP(A15,'UT-I(Entry)'!$1:$1048576,8,0))</f>
        <v>E</v>
      </c>
      <c r="I15" s="27" t="str">
        <f>IFERROR(VLOOKUP(VLOOKUP(A15,'UT-I(Entry)'!$1:$1048576,9,0),'Grade(40)'!$1:$1048576,2,0),VLOOKUP(A15,'UT-I(Entry)'!$1:$1048576,9,0))</f>
        <v>E</v>
      </c>
      <c r="J15" s="27">
        <f t="shared" si="0"/>
        <v>0</v>
      </c>
      <c r="K15" s="27" t="str">
        <f t="shared" si="1"/>
        <v>0 %</v>
      </c>
      <c r="L15" s="3">
        <f>VLOOKUP(A15,'UT-I(Entry)'!$1:$1048576,10,0)</f>
        <v>0</v>
      </c>
      <c r="M15" s="3">
        <f>VLOOKUP(A15,'UT-I(Entry)'!$1:$1048576,11,0)</f>
        <v>0</v>
      </c>
    </row>
    <row r="16" spans="1:13" x14ac:dyDescent="0.3">
      <c r="A16" s="23">
        <f>DETAILS!A15</f>
        <v>1566</v>
      </c>
      <c r="B16" s="3" t="str">
        <f>DETAILS!B15</f>
        <v>ARIYAN PAL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IFERROR(ROUND((VLOOKUP(A16,'UT-I(Entry)'!$1:$1048576,7,0))/2,0),VLOOKUP(A16,'UT-I(Entry)'!$1:$1048576,7,0))</f>
        <v>0</v>
      </c>
      <c r="H16" s="27" t="str">
        <f>IFERROR(VLOOKUP(VLOOKUP(A16,'UT-I(Entry)'!$1:$1048576,8,0),'Grade(40)'!$1:$1048576,2,0),VLOOKUP(A16,'UT-I(Entry)'!$1:$1048576,8,0))</f>
        <v>E</v>
      </c>
      <c r="I16" s="27" t="str">
        <f>IFERROR(VLOOKUP(VLOOKUP(A16,'UT-I(Entry)'!$1:$1048576,9,0),'Grade(40)'!$1:$1048576,2,0),VLOOKUP(A16,'UT-I(Entry)'!$1:$1048576,9,0))</f>
        <v>E</v>
      </c>
      <c r="J16" s="27">
        <f t="shared" si="0"/>
        <v>0</v>
      </c>
      <c r="K16" s="27" t="str">
        <f t="shared" si="1"/>
        <v>0 %</v>
      </c>
      <c r="L16" s="3">
        <f>VLOOKUP(A16,'UT-I(Entry)'!$1:$1048576,10,0)</f>
        <v>0</v>
      </c>
      <c r="M16" s="3">
        <f>VLOOKUP(A16,'UT-I(Entry)'!$1:$1048576,11,0)</f>
        <v>0</v>
      </c>
    </row>
    <row r="17" spans="1:13" x14ac:dyDescent="0.3">
      <c r="A17" s="23">
        <f>DETAILS!A16</f>
        <v>1878</v>
      </c>
      <c r="B17" s="3" t="str">
        <f>DETAILS!B16</f>
        <v>AROHI VERMA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IFERROR(ROUND((VLOOKUP(A17,'UT-I(Entry)'!$1:$1048576,7,0))/2,0),VLOOKUP(A17,'UT-I(Entry)'!$1:$1048576,7,0))</f>
        <v>0</v>
      </c>
      <c r="H17" s="27" t="str">
        <f>IFERROR(VLOOKUP(VLOOKUP(A17,'UT-I(Entry)'!$1:$1048576,8,0),'Grade(40)'!$1:$1048576,2,0),VLOOKUP(A17,'UT-I(Entry)'!$1:$1048576,8,0))</f>
        <v>E</v>
      </c>
      <c r="I17" s="27" t="str">
        <f>IFERROR(VLOOKUP(VLOOKUP(A17,'UT-I(Entry)'!$1:$1048576,9,0),'Grade(40)'!$1:$1048576,2,0),VLOOKUP(A17,'UT-I(Entry)'!$1:$1048576,9,0))</f>
        <v>E</v>
      </c>
      <c r="J17" s="27">
        <f t="shared" si="0"/>
        <v>0</v>
      </c>
      <c r="K17" s="27" t="str">
        <f t="shared" si="1"/>
        <v>0 %</v>
      </c>
      <c r="L17" s="3">
        <f>VLOOKUP(A17,'UT-I(Entry)'!$1:$1048576,10,0)</f>
        <v>0</v>
      </c>
      <c r="M17" s="3">
        <f>VLOOKUP(A17,'UT-I(Entry)'!$1:$1048576,11,0)</f>
        <v>0</v>
      </c>
    </row>
    <row r="18" spans="1:13" x14ac:dyDescent="0.3">
      <c r="A18" s="23">
        <f>DETAILS!A17</f>
        <v>1809</v>
      </c>
      <c r="B18" s="3" t="str">
        <f>DETAILS!B17</f>
        <v>ARUNENDRA PRATAP SINGH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IFERROR(ROUND((VLOOKUP(A18,'UT-I(Entry)'!$1:$1048576,7,0))/2,0),VLOOKUP(A18,'UT-I(Entry)'!$1:$1048576,7,0))</f>
        <v>0</v>
      </c>
      <c r="H18" s="27" t="str">
        <f>IFERROR(VLOOKUP(VLOOKUP(A18,'UT-I(Entry)'!$1:$1048576,8,0),'Grade(40)'!$1:$1048576,2,0),VLOOKUP(A18,'UT-I(Entry)'!$1:$1048576,8,0))</f>
        <v>E</v>
      </c>
      <c r="I18" s="27" t="str">
        <f>IFERROR(VLOOKUP(VLOOKUP(A18,'UT-I(Entry)'!$1:$1048576,9,0),'Grade(40)'!$1:$1048576,2,0),VLOOKUP(A18,'UT-I(Entry)'!$1:$1048576,9,0))</f>
        <v>E</v>
      </c>
      <c r="J18" s="27">
        <f t="shared" si="0"/>
        <v>0</v>
      </c>
      <c r="K18" s="27" t="str">
        <f t="shared" si="1"/>
        <v>0 %</v>
      </c>
      <c r="L18" s="3">
        <f>VLOOKUP(A18,'UT-I(Entry)'!$1:$1048576,10,0)</f>
        <v>0</v>
      </c>
      <c r="M18" s="3">
        <f>VLOOKUP(A18,'UT-I(Entry)'!$1:$1048576,11,0)</f>
        <v>0</v>
      </c>
    </row>
    <row r="19" spans="1:13" x14ac:dyDescent="0.3">
      <c r="A19" s="23">
        <f>DETAILS!A18</f>
        <v>1920</v>
      </c>
      <c r="B19" s="3" t="str">
        <f>DETAILS!B18</f>
        <v>ATHARV SINGH CHAUHAN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IFERROR(ROUND((VLOOKUP(A19,'UT-I(Entry)'!$1:$1048576,7,0))/2,0),VLOOKUP(A19,'UT-I(Entry)'!$1:$1048576,7,0))</f>
        <v>0</v>
      </c>
      <c r="H19" s="27" t="str">
        <f>IFERROR(VLOOKUP(VLOOKUP(A19,'UT-I(Entry)'!$1:$1048576,8,0),'Grade(40)'!$1:$1048576,2,0),VLOOKUP(A19,'UT-I(Entry)'!$1:$1048576,8,0))</f>
        <v>E</v>
      </c>
      <c r="I19" s="27" t="str">
        <f>IFERROR(VLOOKUP(VLOOKUP(A19,'UT-I(Entry)'!$1:$1048576,9,0),'Grade(40)'!$1:$1048576,2,0),VLOOKUP(A19,'UT-I(Entry)'!$1:$1048576,9,0))</f>
        <v>E</v>
      </c>
      <c r="J19" s="27">
        <f t="shared" si="0"/>
        <v>0</v>
      </c>
      <c r="K19" s="27" t="str">
        <f t="shared" si="1"/>
        <v>0 %</v>
      </c>
      <c r="L19" s="3">
        <f>VLOOKUP(A19,'UT-I(Entry)'!$1:$1048576,10,0)</f>
        <v>0</v>
      </c>
      <c r="M19" s="3">
        <f>VLOOKUP(A19,'UT-I(Entry)'!$1:$1048576,11,0)</f>
        <v>0</v>
      </c>
    </row>
    <row r="20" spans="1:13" x14ac:dyDescent="0.3">
      <c r="A20" s="23">
        <f>DETAILS!A19</f>
        <v>1569</v>
      </c>
      <c r="B20" s="3" t="str">
        <f>DETAILS!B19</f>
        <v>AVNI VERMA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IFERROR(ROUND((VLOOKUP(A20,'UT-I(Entry)'!$1:$1048576,7,0))/2,0),VLOOKUP(A20,'UT-I(Entry)'!$1:$1048576,7,0))</f>
        <v>0</v>
      </c>
      <c r="H20" s="27" t="str">
        <f>IFERROR(VLOOKUP(VLOOKUP(A20,'UT-I(Entry)'!$1:$1048576,8,0),'Grade(40)'!$1:$1048576,2,0),VLOOKUP(A20,'UT-I(Entry)'!$1:$1048576,8,0))</f>
        <v>E</v>
      </c>
      <c r="I20" s="27" t="str">
        <f>IFERROR(VLOOKUP(VLOOKUP(A20,'UT-I(Entry)'!$1:$1048576,9,0),'Grade(40)'!$1:$1048576,2,0),VLOOKUP(A20,'UT-I(Entry)'!$1:$1048576,9,0))</f>
        <v>E</v>
      </c>
      <c r="J20" s="27">
        <f t="shared" si="0"/>
        <v>0</v>
      </c>
      <c r="K20" s="27" t="str">
        <f t="shared" si="1"/>
        <v>0 %</v>
      </c>
      <c r="L20" s="3">
        <f>VLOOKUP(A20,'UT-I(Entry)'!$1:$1048576,10,0)</f>
        <v>0</v>
      </c>
      <c r="M20" s="3">
        <f>VLOOKUP(A20,'UT-I(Entry)'!$1:$1048576,11,0)</f>
        <v>0</v>
      </c>
    </row>
    <row r="21" spans="1:13" x14ac:dyDescent="0.3">
      <c r="A21" s="23">
        <f>DETAILS!A20</f>
        <v>1789</v>
      </c>
      <c r="B21" s="3" t="str">
        <f>DETAILS!B20</f>
        <v>AYUSHI YADAV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IFERROR(ROUND((VLOOKUP(A21,'UT-I(Entry)'!$1:$1048576,7,0))/2,0),VLOOKUP(A21,'UT-I(Entry)'!$1:$1048576,7,0))</f>
        <v>0</v>
      </c>
      <c r="H21" s="27" t="str">
        <f>IFERROR(VLOOKUP(VLOOKUP(A21,'UT-I(Entry)'!$1:$1048576,8,0),'Grade(40)'!$1:$1048576,2,0),VLOOKUP(A21,'UT-I(Entry)'!$1:$1048576,8,0))</f>
        <v>E</v>
      </c>
      <c r="I21" s="27" t="str">
        <f>IFERROR(VLOOKUP(VLOOKUP(A21,'UT-I(Entry)'!$1:$1048576,9,0),'Grade(40)'!$1:$1048576,2,0),VLOOKUP(A21,'UT-I(Entry)'!$1:$1048576,9,0))</f>
        <v>E</v>
      </c>
      <c r="J21" s="27">
        <f t="shared" si="0"/>
        <v>0</v>
      </c>
      <c r="K21" s="27" t="str">
        <f t="shared" si="1"/>
        <v>0 %</v>
      </c>
      <c r="L21" s="3">
        <f>VLOOKUP(A21,'UT-I(Entry)'!$1:$1048576,10,0)</f>
        <v>0</v>
      </c>
      <c r="M21" s="3">
        <f>VLOOKUP(A21,'UT-I(Entry)'!$1:$1048576,11,0)</f>
        <v>0</v>
      </c>
    </row>
    <row r="22" spans="1:13" x14ac:dyDescent="0.3">
      <c r="A22" s="23">
        <f>DETAILS!A21</f>
        <v>1673</v>
      </c>
      <c r="B22" s="3" t="str">
        <f>DETAILS!B21</f>
        <v>DEVANSH SINGH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IFERROR(ROUND((VLOOKUP(A22,'UT-I(Entry)'!$1:$1048576,7,0))/2,0),VLOOKUP(A22,'UT-I(Entry)'!$1:$1048576,7,0))</f>
        <v>0</v>
      </c>
      <c r="H22" s="27" t="str">
        <f>IFERROR(VLOOKUP(VLOOKUP(A22,'UT-I(Entry)'!$1:$1048576,8,0),'Grade(40)'!$1:$1048576,2,0),VLOOKUP(A22,'UT-I(Entry)'!$1:$1048576,8,0))</f>
        <v>E</v>
      </c>
      <c r="I22" s="27" t="str">
        <f>IFERROR(VLOOKUP(VLOOKUP(A22,'UT-I(Entry)'!$1:$1048576,9,0),'Grade(40)'!$1:$1048576,2,0),VLOOKUP(A22,'UT-I(Entry)'!$1:$1048576,9,0))</f>
        <v>E</v>
      </c>
      <c r="J22" s="27">
        <f t="shared" si="0"/>
        <v>0</v>
      </c>
      <c r="K22" s="27" t="str">
        <f t="shared" si="1"/>
        <v>0 %</v>
      </c>
      <c r="L22" s="3">
        <f>VLOOKUP(A22,'UT-I(Entry)'!$1:$1048576,10,0)</f>
        <v>0</v>
      </c>
      <c r="M22" s="3">
        <f>VLOOKUP(A22,'UT-I(Entry)'!$1:$1048576,11,0)</f>
        <v>0</v>
      </c>
    </row>
    <row r="23" spans="1:13" x14ac:dyDescent="0.3">
      <c r="A23" s="23">
        <f>DETAILS!A22</f>
        <v>1649</v>
      </c>
      <c r="B23" s="3" t="str">
        <f>DETAILS!B22</f>
        <v>DEVISHA TIWARI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IFERROR(ROUND((VLOOKUP(A23,'UT-I(Entry)'!$1:$1048576,7,0))/2,0),VLOOKUP(A23,'UT-I(Entry)'!$1:$1048576,7,0))</f>
        <v>0</v>
      </c>
      <c r="H23" s="27" t="str">
        <f>IFERROR(VLOOKUP(VLOOKUP(A23,'UT-I(Entry)'!$1:$1048576,8,0),'Grade(40)'!$1:$1048576,2,0),VLOOKUP(A23,'UT-I(Entry)'!$1:$1048576,8,0))</f>
        <v>E</v>
      </c>
      <c r="I23" s="27" t="str">
        <f>IFERROR(VLOOKUP(VLOOKUP(A23,'UT-I(Entry)'!$1:$1048576,9,0),'Grade(40)'!$1:$1048576,2,0),VLOOKUP(A23,'UT-I(Entry)'!$1:$1048576,9,0))</f>
        <v>E</v>
      </c>
      <c r="J23" s="27">
        <f t="shared" si="0"/>
        <v>0</v>
      </c>
      <c r="K23" s="27" t="str">
        <f t="shared" si="1"/>
        <v>0 %</v>
      </c>
      <c r="L23" s="3">
        <f>VLOOKUP(A23,'UT-I(Entry)'!$1:$1048576,10,0)</f>
        <v>0</v>
      </c>
      <c r="M23" s="3">
        <f>VLOOKUP(A23,'UT-I(Entry)'!$1:$1048576,11,0)</f>
        <v>0</v>
      </c>
    </row>
    <row r="24" spans="1:13" x14ac:dyDescent="0.3">
      <c r="A24" s="23">
        <f>DETAILS!A23</f>
        <v>1791</v>
      </c>
      <c r="B24" s="3" t="str">
        <f>DETAILS!B23</f>
        <v>DIPANSH SRIVASTAVA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IFERROR(ROUND((VLOOKUP(A24,'UT-I(Entry)'!$1:$1048576,7,0))/2,0),VLOOKUP(A24,'UT-I(Entry)'!$1:$1048576,7,0))</f>
        <v>0</v>
      </c>
      <c r="H24" s="27" t="str">
        <f>IFERROR(VLOOKUP(VLOOKUP(A24,'UT-I(Entry)'!$1:$1048576,8,0),'Grade(40)'!$1:$1048576,2,0),VLOOKUP(A24,'UT-I(Entry)'!$1:$1048576,8,0))</f>
        <v>E</v>
      </c>
      <c r="I24" s="27" t="str">
        <f>IFERROR(VLOOKUP(VLOOKUP(A24,'UT-I(Entry)'!$1:$1048576,9,0),'Grade(40)'!$1:$1048576,2,0),VLOOKUP(A24,'UT-I(Entry)'!$1:$1048576,9,0))</f>
        <v>E</v>
      </c>
      <c r="J24" s="27">
        <f t="shared" si="0"/>
        <v>0</v>
      </c>
      <c r="K24" s="27" t="str">
        <f t="shared" si="1"/>
        <v>0 %</v>
      </c>
      <c r="L24" s="3">
        <f>VLOOKUP(A24,'UT-I(Entry)'!$1:$1048576,10,0)</f>
        <v>0</v>
      </c>
      <c r="M24" s="3">
        <f>VLOOKUP(A24,'UT-I(Entry)'!$1:$1048576,11,0)</f>
        <v>0</v>
      </c>
    </row>
    <row r="25" spans="1:13" x14ac:dyDescent="0.3">
      <c r="A25" s="23">
        <f>DETAILS!A24</f>
        <v>1564</v>
      </c>
      <c r="B25" s="3" t="str">
        <f>DETAILS!B24</f>
        <v>GAURAV YADAV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IFERROR(ROUND((VLOOKUP(A25,'UT-I(Entry)'!$1:$1048576,7,0))/2,0),VLOOKUP(A25,'UT-I(Entry)'!$1:$1048576,7,0))</f>
        <v>0</v>
      </c>
      <c r="H25" s="27" t="str">
        <f>IFERROR(VLOOKUP(VLOOKUP(A25,'UT-I(Entry)'!$1:$1048576,8,0),'Grade(40)'!$1:$1048576,2,0),VLOOKUP(A25,'UT-I(Entry)'!$1:$1048576,8,0))</f>
        <v>E</v>
      </c>
      <c r="I25" s="27" t="str">
        <f>IFERROR(VLOOKUP(VLOOKUP(A25,'UT-I(Entry)'!$1:$1048576,9,0),'Grade(40)'!$1:$1048576,2,0),VLOOKUP(A25,'UT-I(Entry)'!$1:$1048576,9,0))</f>
        <v>E</v>
      </c>
      <c r="J25" s="27">
        <f t="shared" si="0"/>
        <v>0</v>
      </c>
      <c r="K25" s="27" t="str">
        <f t="shared" si="1"/>
        <v>0 %</v>
      </c>
      <c r="L25" s="3">
        <f>VLOOKUP(A25,'UT-I(Entry)'!$1:$1048576,10,0)</f>
        <v>0</v>
      </c>
      <c r="M25" s="3">
        <f>VLOOKUP(A25,'UT-I(Entry)'!$1:$1048576,11,0)</f>
        <v>0</v>
      </c>
    </row>
    <row r="26" spans="1:13" x14ac:dyDescent="0.3">
      <c r="A26" s="23">
        <f>DETAILS!A25</f>
        <v>1573</v>
      </c>
      <c r="B26" s="3" t="str">
        <f>DETAILS!B25</f>
        <v>HARIOM MISHRA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IFERROR(ROUND((VLOOKUP(A26,'UT-I(Entry)'!$1:$1048576,7,0))/2,0),VLOOKUP(A26,'UT-I(Entry)'!$1:$1048576,7,0))</f>
        <v>0</v>
      </c>
      <c r="H26" s="27" t="str">
        <f>IFERROR(VLOOKUP(VLOOKUP(A26,'UT-I(Entry)'!$1:$1048576,8,0),'Grade(40)'!$1:$1048576,2,0),VLOOKUP(A26,'UT-I(Entry)'!$1:$1048576,8,0))</f>
        <v>E</v>
      </c>
      <c r="I26" s="27" t="str">
        <f>IFERROR(VLOOKUP(VLOOKUP(A26,'UT-I(Entry)'!$1:$1048576,9,0),'Grade(40)'!$1:$1048576,2,0),VLOOKUP(A26,'UT-I(Entry)'!$1:$1048576,9,0))</f>
        <v>E</v>
      </c>
      <c r="J26" s="27">
        <f t="shared" si="0"/>
        <v>0</v>
      </c>
      <c r="K26" s="27" t="str">
        <f t="shared" si="1"/>
        <v>0 %</v>
      </c>
      <c r="L26" s="3">
        <f>VLOOKUP(A26,'UT-I(Entry)'!$1:$1048576,10,0)</f>
        <v>0</v>
      </c>
      <c r="M26" s="3">
        <f>VLOOKUP(A26,'UT-I(Entry)'!$1:$1048576,11,0)</f>
        <v>0</v>
      </c>
    </row>
    <row r="27" spans="1:13" x14ac:dyDescent="0.3">
      <c r="A27" s="23">
        <f>DETAILS!A26</f>
        <v>1561</v>
      </c>
      <c r="B27" s="3" t="str">
        <f>DETAILS!B26</f>
        <v>HARSHITA MEENA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IFERROR(ROUND((VLOOKUP(A27,'UT-I(Entry)'!$1:$1048576,7,0))/2,0),VLOOKUP(A27,'UT-I(Entry)'!$1:$1048576,7,0))</f>
        <v>0</v>
      </c>
      <c r="H27" s="27" t="str">
        <f>IFERROR(VLOOKUP(VLOOKUP(A27,'UT-I(Entry)'!$1:$1048576,8,0),'Grade(40)'!$1:$1048576,2,0),VLOOKUP(A27,'UT-I(Entry)'!$1:$1048576,8,0))</f>
        <v>E</v>
      </c>
      <c r="I27" s="27" t="str">
        <f>IFERROR(VLOOKUP(VLOOKUP(A27,'UT-I(Entry)'!$1:$1048576,9,0),'Grade(40)'!$1:$1048576,2,0),VLOOKUP(A27,'UT-I(Entry)'!$1:$1048576,9,0))</f>
        <v>E</v>
      </c>
      <c r="J27" s="27">
        <f t="shared" si="0"/>
        <v>0</v>
      </c>
      <c r="K27" s="27" t="str">
        <f t="shared" si="1"/>
        <v>0 %</v>
      </c>
      <c r="L27" s="3">
        <f>VLOOKUP(A27,'UT-I(Entry)'!$1:$1048576,10,0)</f>
        <v>0</v>
      </c>
      <c r="M27" s="3">
        <f>VLOOKUP(A27,'UT-I(Entry)'!$1:$1048576,11,0)</f>
        <v>0</v>
      </c>
    </row>
    <row r="28" spans="1:13" x14ac:dyDescent="0.3">
      <c r="A28" s="23">
        <f>DETAILS!A27</f>
        <v>1565</v>
      </c>
      <c r="B28" s="3" t="str">
        <f>DETAILS!B27</f>
        <v>JANVI SINGH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IFERROR(ROUND((VLOOKUP(A28,'UT-I(Entry)'!$1:$1048576,7,0))/2,0),VLOOKUP(A28,'UT-I(Entry)'!$1:$1048576,7,0))</f>
        <v>0</v>
      </c>
      <c r="H28" s="27" t="str">
        <f>IFERROR(VLOOKUP(VLOOKUP(A28,'UT-I(Entry)'!$1:$1048576,8,0),'Grade(40)'!$1:$1048576,2,0),VLOOKUP(A28,'UT-I(Entry)'!$1:$1048576,8,0))</f>
        <v>E</v>
      </c>
      <c r="I28" s="27" t="str">
        <f>IFERROR(VLOOKUP(VLOOKUP(A28,'UT-I(Entry)'!$1:$1048576,9,0),'Grade(40)'!$1:$1048576,2,0),VLOOKUP(A28,'UT-I(Entry)'!$1:$1048576,9,0))</f>
        <v>E</v>
      </c>
      <c r="J28" s="27">
        <f t="shared" si="0"/>
        <v>0</v>
      </c>
      <c r="K28" s="27" t="str">
        <f t="shared" si="1"/>
        <v>0 %</v>
      </c>
      <c r="L28" s="3">
        <f>VLOOKUP(A28,'UT-I(Entry)'!$1:$1048576,10,0)</f>
        <v>0</v>
      </c>
      <c r="M28" s="3">
        <f>VLOOKUP(A28,'UT-I(Entry)'!$1:$1048576,11,0)</f>
        <v>0</v>
      </c>
    </row>
    <row r="29" spans="1:13" x14ac:dyDescent="0.3">
      <c r="A29" s="23">
        <f>DETAILS!A28</f>
        <v>1870</v>
      </c>
      <c r="B29" s="3" t="str">
        <f>DETAILS!B28</f>
        <v>JANVI SINGH SENGAR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IFERROR(ROUND((VLOOKUP(A29,'UT-I(Entry)'!$1:$1048576,7,0))/2,0),VLOOKUP(A29,'UT-I(Entry)'!$1:$1048576,7,0))</f>
        <v>0</v>
      </c>
      <c r="H29" s="27" t="str">
        <f>IFERROR(VLOOKUP(VLOOKUP(A29,'UT-I(Entry)'!$1:$1048576,8,0),'Grade(40)'!$1:$1048576,2,0),VLOOKUP(A29,'UT-I(Entry)'!$1:$1048576,8,0))</f>
        <v>E</v>
      </c>
      <c r="I29" s="27" t="str">
        <f>IFERROR(VLOOKUP(VLOOKUP(A29,'UT-I(Entry)'!$1:$1048576,9,0),'Grade(40)'!$1:$1048576,2,0),VLOOKUP(A29,'UT-I(Entry)'!$1:$1048576,9,0))</f>
        <v>E</v>
      </c>
      <c r="J29" s="27">
        <f t="shared" si="0"/>
        <v>0</v>
      </c>
      <c r="K29" s="27" t="str">
        <f t="shared" si="1"/>
        <v>0 %</v>
      </c>
      <c r="L29" s="3">
        <f>VLOOKUP(A29,'UT-I(Entry)'!$1:$1048576,10,0)</f>
        <v>0</v>
      </c>
      <c r="M29" s="3">
        <f>VLOOKUP(A29,'UT-I(Entry)'!$1:$1048576,11,0)</f>
        <v>0</v>
      </c>
    </row>
    <row r="30" spans="1:13" x14ac:dyDescent="0.3">
      <c r="A30" s="23">
        <f>DETAILS!A29</f>
        <v>1657</v>
      </c>
      <c r="B30" s="3" t="str">
        <f>DETAILS!B29</f>
        <v>KARNIKA VERMA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IFERROR(ROUND((VLOOKUP(A30,'UT-I(Entry)'!$1:$1048576,7,0))/2,0),VLOOKUP(A30,'UT-I(Entry)'!$1:$1048576,7,0))</f>
        <v>0</v>
      </c>
      <c r="H30" s="27" t="str">
        <f>IFERROR(VLOOKUP(VLOOKUP(A30,'UT-I(Entry)'!$1:$1048576,8,0),'Grade(40)'!$1:$1048576,2,0),VLOOKUP(A30,'UT-I(Entry)'!$1:$1048576,8,0))</f>
        <v>E</v>
      </c>
      <c r="I30" s="27" t="str">
        <f>IFERROR(VLOOKUP(VLOOKUP(A30,'UT-I(Entry)'!$1:$1048576,9,0),'Grade(40)'!$1:$1048576,2,0),VLOOKUP(A30,'UT-I(Entry)'!$1:$1048576,9,0))</f>
        <v>E</v>
      </c>
      <c r="J30" s="27">
        <f t="shared" si="0"/>
        <v>0</v>
      </c>
      <c r="K30" s="27" t="str">
        <f t="shared" si="1"/>
        <v>0 %</v>
      </c>
      <c r="L30" s="3">
        <f>VLOOKUP(A30,'UT-I(Entry)'!$1:$1048576,10,0)</f>
        <v>0</v>
      </c>
      <c r="M30" s="3">
        <f>VLOOKUP(A30,'UT-I(Entry)'!$1:$1048576,11,0)</f>
        <v>0</v>
      </c>
    </row>
    <row r="31" spans="1:13" x14ac:dyDescent="0.3">
      <c r="A31" s="23">
        <f>DETAILS!A30</f>
        <v>1558</v>
      </c>
      <c r="B31" s="3" t="str">
        <f>DETAILS!B30</f>
        <v>KAVYA TIWARI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IFERROR(ROUND((VLOOKUP(A31,'UT-I(Entry)'!$1:$1048576,7,0))/2,0),VLOOKUP(A31,'UT-I(Entry)'!$1:$1048576,7,0))</f>
        <v>0</v>
      </c>
      <c r="H31" s="27" t="str">
        <f>IFERROR(VLOOKUP(VLOOKUP(A31,'UT-I(Entry)'!$1:$1048576,8,0),'Grade(40)'!$1:$1048576,2,0),VLOOKUP(A31,'UT-I(Entry)'!$1:$1048576,8,0))</f>
        <v>E</v>
      </c>
      <c r="I31" s="27" t="str">
        <f>IFERROR(VLOOKUP(VLOOKUP(A31,'UT-I(Entry)'!$1:$1048576,9,0),'Grade(40)'!$1:$1048576,2,0),VLOOKUP(A31,'UT-I(Entry)'!$1:$1048576,9,0))</f>
        <v>E</v>
      </c>
      <c r="J31" s="27">
        <f t="shared" si="0"/>
        <v>0</v>
      </c>
      <c r="K31" s="27" t="str">
        <f t="shared" si="1"/>
        <v>0 %</v>
      </c>
      <c r="L31" s="3">
        <f>VLOOKUP(A31,'UT-I(Entry)'!$1:$1048576,10,0)</f>
        <v>0</v>
      </c>
      <c r="M31" s="3">
        <f>VLOOKUP(A31,'UT-I(Entry)'!$1:$1048576,11,0)</f>
        <v>0</v>
      </c>
    </row>
    <row r="32" spans="1:13" x14ac:dyDescent="0.3">
      <c r="A32" s="23">
        <f>DETAILS!A31</f>
        <v>1906</v>
      </c>
      <c r="B32" s="3" t="str">
        <f>DETAILS!B31</f>
        <v>KHUSHI PATEL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IFERROR(ROUND((VLOOKUP(A32,'UT-I(Entry)'!$1:$1048576,7,0))/2,0),VLOOKUP(A32,'UT-I(Entry)'!$1:$1048576,7,0))</f>
        <v>0</v>
      </c>
      <c r="H32" s="27" t="str">
        <f>IFERROR(VLOOKUP(VLOOKUP(A32,'UT-I(Entry)'!$1:$1048576,8,0),'Grade(40)'!$1:$1048576,2,0),VLOOKUP(A32,'UT-I(Entry)'!$1:$1048576,8,0))</f>
        <v>E</v>
      </c>
      <c r="I32" s="27" t="str">
        <f>IFERROR(VLOOKUP(VLOOKUP(A32,'UT-I(Entry)'!$1:$1048576,9,0),'Grade(40)'!$1:$1048576,2,0),VLOOKUP(A32,'UT-I(Entry)'!$1:$1048576,9,0))</f>
        <v>E</v>
      </c>
      <c r="J32" s="27">
        <f t="shared" si="0"/>
        <v>0</v>
      </c>
      <c r="K32" s="27" t="str">
        <f t="shared" si="1"/>
        <v>0 %</v>
      </c>
      <c r="L32" s="3">
        <f>VLOOKUP(A32,'UT-I(Entry)'!$1:$1048576,10,0)</f>
        <v>0</v>
      </c>
      <c r="M32" s="3">
        <f>VLOOKUP(A32,'UT-I(Entry)'!$1:$1048576,11,0)</f>
        <v>0</v>
      </c>
    </row>
    <row r="33" spans="1:13" x14ac:dyDescent="0.3">
      <c r="A33" s="23">
        <f>DETAILS!A32</f>
        <v>1865</v>
      </c>
      <c r="B33" s="3" t="str">
        <f>DETAILS!B32</f>
        <v>MOHD SAIF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IFERROR(ROUND((VLOOKUP(A33,'UT-I(Entry)'!$1:$1048576,7,0))/2,0),VLOOKUP(A33,'UT-I(Entry)'!$1:$1048576,7,0))</f>
        <v>0</v>
      </c>
      <c r="H33" s="27" t="str">
        <f>IFERROR(VLOOKUP(VLOOKUP(A33,'UT-I(Entry)'!$1:$1048576,8,0),'Grade(40)'!$1:$1048576,2,0),VLOOKUP(A33,'UT-I(Entry)'!$1:$1048576,8,0))</f>
        <v>E</v>
      </c>
      <c r="I33" s="27" t="str">
        <f>IFERROR(VLOOKUP(VLOOKUP(A33,'UT-I(Entry)'!$1:$1048576,9,0),'Grade(40)'!$1:$1048576,2,0),VLOOKUP(A33,'UT-I(Entry)'!$1:$1048576,9,0))</f>
        <v>E</v>
      </c>
      <c r="J33" s="27">
        <f t="shared" si="0"/>
        <v>0</v>
      </c>
      <c r="K33" s="27" t="str">
        <f t="shared" si="1"/>
        <v>0 %</v>
      </c>
      <c r="L33" s="3">
        <f>VLOOKUP(A33,'UT-I(Entry)'!$1:$1048576,10,0)</f>
        <v>0</v>
      </c>
      <c r="M33" s="3">
        <f>VLOOKUP(A33,'UT-I(Entry)'!$1:$1048576,11,0)</f>
        <v>0</v>
      </c>
    </row>
    <row r="34" spans="1:13" x14ac:dyDescent="0.3">
      <c r="A34" s="23">
        <f>DETAILS!A33</f>
        <v>1735</v>
      </c>
      <c r="B34" s="3" t="str">
        <f>DETAILS!B33</f>
        <v>PRAGATI SINGH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IFERROR(ROUND((VLOOKUP(A34,'UT-I(Entry)'!$1:$1048576,7,0))/2,0),VLOOKUP(A34,'UT-I(Entry)'!$1:$1048576,7,0))</f>
        <v>0</v>
      </c>
      <c r="H34" s="27" t="str">
        <f>IFERROR(VLOOKUP(VLOOKUP(A34,'UT-I(Entry)'!$1:$1048576,8,0),'Grade(40)'!$1:$1048576,2,0),VLOOKUP(A34,'UT-I(Entry)'!$1:$1048576,8,0))</f>
        <v>E</v>
      </c>
      <c r="I34" s="27" t="str">
        <f>IFERROR(VLOOKUP(VLOOKUP(A34,'UT-I(Entry)'!$1:$1048576,9,0),'Grade(40)'!$1:$1048576,2,0),VLOOKUP(A34,'UT-I(Entry)'!$1:$1048576,9,0))</f>
        <v>E</v>
      </c>
      <c r="J34" s="27">
        <f t="shared" si="0"/>
        <v>0</v>
      </c>
      <c r="K34" s="27" t="str">
        <f t="shared" si="1"/>
        <v>0 %</v>
      </c>
      <c r="L34" s="3">
        <f>VLOOKUP(A34,'UT-I(Entry)'!$1:$1048576,10,0)</f>
        <v>0</v>
      </c>
      <c r="M34" s="3">
        <f>VLOOKUP(A34,'UT-I(Entry)'!$1:$1048576,11,0)</f>
        <v>0</v>
      </c>
    </row>
    <row r="35" spans="1:13" x14ac:dyDescent="0.3">
      <c r="A35" s="23">
        <f>DETAILS!A34</f>
        <v>1557</v>
      </c>
      <c r="B35" s="3" t="str">
        <f>DETAILS!B34</f>
        <v>PRISHA JAISWAL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IFERROR(ROUND((VLOOKUP(A35,'UT-I(Entry)'!$1:$1048576,7,0))/2,0),VLOOKUP(A35,'UT-I(Entry)'!$1:$1048576,7,0))</f>
        <v>0</v>
      </c>
      <c r="H35" s="27" t="str">
        <f>IFERROR(VLOOKUP(VLOOKUP(A35,'UT-I(Entry)'!$1:$1048576,8,0),'Grade(40)'!$1:$1048576,2,0),VLOOKUP(A35,'UT-I(Entry)'!$1:$1048576,8,0))</f>
        <v>E</v>
      </c>
      <c r="I35" s="27" t="str">
        <f>IFERROR(VLOOKUP(VLOOKUP(A35,'UT-I(Entry)'!$1:$1048576,9,0),'Grade(40)'!$1:$1048576,2,0),VLOOKUP(A35,'UT-I(Entry)'!$1:$1048576,9,0))</f>
        <v>E</v>
      </c>
      <c r="J35" s="27">
        <f t="shared" si="0"/>
        <v>0</v>
      </c>
      <c r="K35" s="27" t="str">
        <f t="shared" si="1"/>
        <v>0 %</v>
      </c>
      <c r="L35" s="3">
        <f>VLOOKUP(A35,'UT-I(Entry)'!$1:$1048576,10,0)</f>
        <v>0</v>
      </c>
      <c r="M35" s="3">
        <f>VLOOKUP(A35,'UT-I(Entry)'!$1:$1048576,11,0)</f>
        <v>0</v>
      </c>
    </row>
    <row r="36" spans="1:13" x14ac:dyDescent="0.3">
      <c r="A36" s="23">
        <f>DETAILS!A35</f>
        <v>1560</v>
      </c>
      <c r="B36" s="3" t="str">
        <f>DETAILS!B35</f>
        <v>SHANTANU YADAV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IFERROR(ROUND((VLOOKUP(A36,'UT-I(Entry)'!$1:$1048576,7,0))/2,0),VLOOKUP(A36,'UT-I(Entry)'!$1:$1048576,7,0))</f>
        <v>0</v>
      </c>
      <c r="H36" s="27" t="str">
        <f>IFERROR(VLOOKUP(VLOOKUP(A36,'UT-I(Entry)'!$1:$1048576,8,0),'Grade(40)'!$1:$1048576,2,0),VLOOKUP(A36,'UT-I(Entry)'!$1:$1048576,8,0))</f>
        <v>E</v>
      </c>
      <c r="I36" s="27" t="str">
        <f>IFERROR(VLOOKUP(VLOOKUP(A36,'UT-I(Entry)'!$1:$1048576,9,0),'Grade(40)'!$1:$1048576,2,0),VLOOKUP(A36,'UT-I(Entry)'!$1:$1048576,9,0))</f>
        <v>E</v>
      </c>
      <c r="J36" s="27">
        <f t="shared" si="0"/>
        <v>0</v>
      </c>
      <c r="K36" s="27" t="str">
        <f t="shared" si="1"/>
        <v>0 %</v>
      </c>
      <c r="L36" s="3">
        <f>VLOOKUP(A36,'UT-I(Entry)'!$1:$1048576,10,0)</f>
        <v>0</v>
      </c>
      <c r="M36" s="3">
        <f>VLOOKUP(A36,'UT-I(Entry)'!$1:$1048576,11,0)</f>
        <v>0</v>
      </c>
    </row>
    <row r="37" spans="1:13" x14ac:dyDescent="0.3">
      <c r="A37" s="23">
        <f>DETAILS!A36</f>
        <v>1890</v>
      </c>
      <c r="B37" s="3" t="str">
        <f>DETAILS!B36</f>
        <v>SHIVA YADAV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IFERROR(ROUND((VLOOKUP(A37,'UT-I(Entry)'!$1:$1048576,7,0))/2,0),VLOOKUP(A37,'UT-I(Entry)'!$1:$1048576,7,0))</f>
        <v>0</v>
      </c>
      <c r="H37" s="27" t="str">
        <f>IFERROR(VLOOKUP(VLOOKUP(A37,'UT-I(Entry)'!$1:$1048576,8,0),'Grade(40)'!$1:$1048576,2,0),VLOOKUP(A37,'UT-I(Entry)'!$1:$1048576,8,0))</f>
        <v>E</v>
      </c>
      <c r="I37" s="27" t="str">
        <f>IFERROR(VLOOKUP(VLOOKUP(A37,'UT-I(Entry)'!$1:$1048576,9,0),'Grade(40)'!$1:$1048576,2,0),VLOOKUP(A37,'UT-I(Entry)'!$1:$1048576,9,0))</f>
        <v>E</v>
      </c>
      <c r="J37" s="27">
        <f t="shared" si="0"/>
        <v>0</v>
      </c>
      <c r="K37" s="27" t="str">
        <f t="shared" si="1"/>
        <v>0 %</v>
      </c>
      <c r="L37" s="3">
        <f>VLOOKUP(A37,'UT-I(Entry)'!$1:$1048576,10,0)</f>
        <v>0</v>
      </c>
      <c r="M37" s="3">
        <f>VLOOKUP(A37,'UT-I(Entry)'!$1:$1048576,11,0)</f>
        <v>0</v>
      </c>
    </row>
    <row r="38" spans="1:13" x14ac:dyDescent="0.3">
      <c r="A38" s="23">
        <f>DETAILS!A37</f>
        <v>1575</v>
      </c>
      <c r="B38" s="3" t="str">
        <f>DETAILS!B37</f>
        <v>SHIVIKA VERMA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IFERROR(ROUND((VLOOKUP(A38,'UT-I(Entry)'!$1:$1048576,7,0))/2,0),VLOOKUP(A38,'UT-I(Entry)'!$1:$1048576,7,0))</f>
        <v>0</v>
      </c>
      <c r="H38" s="27" t="str">
        <f>IFERROR(VLOOKUP(VLOOKUP(A38,'UT-I(Entry)'!$1:$1048576,8,0),'Grade(40)'!$1:$1048576,2,0),VLOOKUP(A38,'UT-I(Entry)'!$1:$1048576,8,0))</f>
        <v>E</v>
      </c>
      <c r="I38" s="27" t="str">
        <f>IFERROR(VLOOKUP(VLOOKUP(A38,'UT-I(Entry)'!$1:$1048576,9,0),'Grade(40)'!$1:$1048576,2,0),VLOOKUP(A38,'UT-I(Entry)'!$1:$1048576,9,0))</f>
        <v>E</v>
      </c>
      <c r="J38" s="27">
        <f t="shared" si="0"/>
        <v>0</v>
      </c>
      <c r="K38" s="27" t="str">
        <f t="shared" si="1"/>
        <v>0 %</v>
      </c>
      <c r="L38" s="3">
        <f>VLOOKUP(A38,'UT-I(Entry)'!$1:$1048576,10,0)</f>
        <v>0</v>
      </c>
      <c r="M38" s="3">
        <f>VLOOKUP(A38,'UT-I(Entry)'!$1:$1048576,11,0)</f>
        <v>0</v>
      </c>
    </row>
    <row r="39" spans="1:13" x14ac:dyDescent="0.3">
      <c r="A39" s="23">
        <f>DETAILS!A38</f>
        <v>1732</v>
      </c>
      <c r="B39" s="3" t="str">
        <f>DETAILS!B38</f>
        <v>SUHAN ALI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IFERROR(ROUND((VLOOKUP(A39,'UT-I(Entry)'!$1:$1048576,7,0))/2,0),VLOOKUP(A39,'UT-I(Entry)'!$1:$1048576,7,0))</f>
        <v>0</v>
      </c>
      <c r="H39" s="27" t="str">
        <f>IFERROR(VLOOKUP(VLOOKUP(A39,'UT-I(Entry)'!$1:$1048576,8,0),'Grade(40)'!$1:$1048576,2,0),VLOOKUP(A39,'UT-I(Entry)'!$1:$1048576,8,0))</f>
        <v>E</v>
      </c>
      <c r="I39" s="27" t="str">
        <f>IFERROR(VLOOKUP(VLOOKUP(A39,'UT-I(Entry)'!$1:$1048576,9,0),'Grade(40)'!$1:$1048576,2,0),VLOOKUP(A39,'UT-I(Entry)'!$1:$1048576,9,0))</f>
        <v>E</v>
      </c>
      <c r="J39" s="27">
        <f t="shared" si="0"/>
        <v>0</v>
      </c>
      <c r="K39" s="27" t="str">
        <f t="shared" si="1"/>
        <v>0 %</v>
      </c>
      <c r="L39" s="3">
        <f>VLOOKUP(A39,'UT-I(Entry)'!$1:$1048576,10,0)</f>
        <v>0</v>
      </c>
      <c r="M39" s="3">
        <f>VLOOKUP(A39,'UT-I(Entry)'!$1:$1048576,11,0)</f>
        <v>0</v>
      </c>
    </row>
    <row r="40" spans="1:13" x14ac:dyDescent="0.3">
      <c r="A40" s="23">
        <f>DETAILS!A39</f>
        <v>1706</v>
      </c>
      <c r="B40" s="3" t="str">
        <f>DETAILS!B39</f>
        <v>UTKARSH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IFERROR(ROUND((VLOOKUP(A40,'UT-I(Entry)'!$1:$1048576,7,0))/2,0),VLOOKUP(A40,'UT-I(Entry)'!$1:$1048576,7,0))</f>
        <v>0</v>
      </c>
      <c r="H40" s="27" t="str">
        <f>IFERROR(VLOOKUP(VLOOKUP(A40,'UT-I(Entry)'!$1:$1048576,8,0),'Grade(40)'!$1:$1048576,2,0),VLOOKUP(A40,'UT-I(Entry)'!$1:$1048576,8,0))</f>
        <v>E</v>
      </c>
      <c r="I40" s="27" t="str">
        <f>IFERROR(VLOOKUP(VLOOKUP(A40,'UT-I(Entry)'!$1:$1048576,9,0),'Grade(40)'!$1:$1048576,2,0),VLOOKUP(A40,'UT-I(Entry)'!$1:$1048576,9,0))</f>
        <v>E</v>
      </c>
      <c r="J40" s="27">
        <f t="shared" si="0"/>
        <v>0</v>
      </c>
      <c r="K40" s="27" t="str">
        <f t="shared" si="1"/>
        <v>0 %</v>
      </c>
      <c r="L40" s="3">
        <f>VLOOKUP(A40,'UT-I(Entry)'!$1:$1048576,10,0)</f>
        <v>0</v>
      </c>
      <c r="M40" s="3">
        <f>VLOOKUP(A40,'UT-I(Entry)'!$1:$1048576,11,0)</f>
        <v>0</v>
      </c>
    </row>
    <row r="41" spans="1:13" x14ac:dyDescent="0.3">
      <c r="A41" s="23">
        <f>DETAILS!A40</f>
        <v>1567</v>
      </c>
      <c r="B41" s="3" t="str">
        <f>DETAILS!B40</f>
        <v>VAANYA YADAV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IFERROR(ROUND((VLOOKUP(A41,'UT-I(Entry)'!$1:$1048576,7,0))/2,0),VLOOKUP(A41,'UT-I(Entry)'!$1:$1048576,7,0))</f>
        <v>0</v>
      </c>
      <c r="H41" s="27" t="str">
        <f>IFERROR(VLOOKUP(VLOOKUP(A41,'UT-I(Entry)'!$1:$1048576,8,0),'Grade(40)'!$1:$1048576,2,0),VLOOKUP(A41,'UT-I(Entry)'!$1:$1048576,8,0))</f>
        <v>E</v>
      </c>
      <c r="I41" s="27" t="str">
        <f>IFERROR(VLOOKUP(VLOOKUP(A41,'UT-I(Entry)'!$1:$1048576,9,0),'Grade(40)'!$1:$1048576,2,0),VLOOKUP(A41,'UT-I(Entry)'!$1:$1048576,9,0))</f>
        <v>E</v>
      </c>
      <c r="J41" s="27">
        <f t="shared" si="0"/>
        <v>0</v>
      </c>
      <c r="K41" s="27" t="str">
        <f t="shared" si="1"/>
        <v>0 %</v>
      </c>
      <c r="L41" s="3">
        <f>VLOOKUP(A41,'UT-I(Entry)'!$1:$1048576,10,0)</f>
        <v>0</v>
      </c>
      <c r="M41" s="3">
        <f>VLOOKUP(A41,'UT-I(Entry)'!$1:$1048576,11,0)</f>
        <v>0</v>
      </c>
    </row>
    <row r="42" spans="1:13" x14ac:dyDescent="0.3">
      <c r="A42" s="23">
        <f>DETAILS!A41</f>
        <v>1937</v>
      </c>
      <c r="B42" s="3" t="str">
        <f>DETAILS!B41</f>
        <v>VIVAAN  PAL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IFERROR(ROUND((VLOOKUP(A42,'UT-I(Entry)'!$1:$1048576,7,0))/2,0),VLOOKUP(A42,'UT-I(Entry)'!$1:$1048576,7,0))</f>
        <v>0</v>
      </c>
      <c r="H42" s="27" t="str">
        <f>IFERROR(VLOOKUP(VLOOKUP(A42,'UT-I(Entry)'!$1:$1048576,8,0),'Grade(40)'!$1:$1048576,2,0),VLOOKUP(A42,'UT-I(Entry)'!$1:$1048576,8,0))</f>
        <v>E</v>
      </c>
      <c r="I42" s="27" t="str">
        <f>IFERROR(VLOOKUP(VLOOKUP(A42,'UT-I(Entry)'!$1:$1048576,9,0),'Grade(40)'!$1:$1048576,2,0),VLOOKUP(A42,'UT-I(Entry)'!$1:$1048576,9,0))</f>
        <v>E</v>
      </c>
      <c r="J42" s="27">
        <f t="shared" si="0"/>
        <v>0</v>
      </c>
      <c r="K42" s="27" t="str">
        <f t="shared" si="1"/>
        <v>0 %</v>
      </c>
      <c r="L42" s="3">
        <f>VLOOKUP(A42,'UT-I(Entry)'!$1:$1048576,10,0)</f>
        <v>0</v>
      </c>
      <c r="M42" s="3">
        <f>VLOOKUP(A42,'UT-I(Entry)'!$1:$1048576,11,0)</f>
        <v>0</v>
      </c>
    </row>
  </sheetData>
  <sheetProtection algorithmName="SHA-512" hashValue="9Of8UmmT54zBgqUTgj+9/Z/X6Jcfgf+ShXj24ccqwx14/x3Z1NiWO2j8ZazNkg70KD8hFsEMCQtlUMBKXYdQhA==" saltValue="nG9pRrmXf6c1rFAzHxhL2Q==" spinCount="100000" sheet="1" objects="1" scenarios="1"/>
  <mergeCells count="13">
    <mergeCell ref="H2:H3"/>
    <mergeCell ref="I2:I3"/>
    <mergeCell ref="L2:M2"/>
    <mergeCell ref="A1:M1"/>
    <mergeCell ref="K2:K3"/>
    <mergeCell ref="A2:A3"/>
    <mergeCell ref="B2:B3"/>
    <mergeCell ref="C2:C3"/>
    <mergeCell ref="D2:D3"/>
    <mergeCell ref="E2:E3"/>
    <mergeCell ref="F2:F3"/>
    <mergeCell ref="J2:J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29</v>
      </c>
    </row>
    <row r="3" spans="1:2" x14ac:dyDescent="0.3">
      <c r="A3">
        <v>39</v>
      </c>
      <c r="B3" t="s">
        <v>29</v>
      </c>
    </row>
    <row r="4" spans="1:2" x14ac:dyDescent="0.3">
      <c r="A4">
        <v>38</v>
      </c>
      <c r="B4" t="s">
        <v>29</v>
      </c>
    </row>
    <row r="5" spans="1:2" x14ac:dyDescent="0.3">
      <c r="A5">
        <v>37</v>
      </c>
      <c r="B5" t="s">
        <v>29</v>
      </c>
    </row>
    <row r="6" spans="1:2" x14ac:dyDescent="0.3">
      <c r="A6">
        <v>36</v>
      </c>
      <c r="B6" t="s">
        <v>29</v>
      </c>
    </row>
    <row r="7" spans="1:2" x14ac:dyDescent="0.3">
      <c r="A7">
        <v>35</v>
      </c>
      <c r="B7" t="s">
        <v>29</v>
      </c>
    </row>
    <row r="8" spans="1:2" x14ac:dyDescent="0.3">
      <c r="A8">
        <v>34</v>
      </c>
      <c r="B8" t="s">
        <v>29</v>
      </c>
    </row>
    <row r="9" spans="1:2" x14ac:dyDescent="0.3">
      <c r="A9">
        <v>33</v>
      </c>
      <c r="B9" t="s">
        <v>29</v>
      </c>
    </row>
    <row r="10" spans="1:2" x14ac:dyDescent="0.3">
      <c r="A10">
        <v>32</v>
      </c>
      <c r="B10" t="s">
        <v>30</v>
      </c>
    </row>
    <row r="11" spans="1:2" x14ac:dyDescent="0.3">
      <c r="A11">
        <v>31</v>
      </c>
      <c r="B11" t="s">
        <v>30</v>
      </c>
    </row>
    <row r="12" spans="1:2" x14ac:dyDescent="0.3">
      <c r="A12">
        <v>30</v>
      </c>
      <c r="B12" t="s">
        <v>30</v>
      </c>
    </row>
    <row r="13" spans="1:2" x14ac:dyDescent="0.3">
      <c r="A13">
        <v>29</v>
      </c>
      <c r="B13" t="s">
        <v>30</v>
      </c>
    </row>
    <row r="14" spans="1:2" x14ac:dyDescent="0.3">
      <c r="A14">
        <v>28</v>
      </c>
      <c r="B14" t="s">
        <v>30</v>
      </c>
    </row>
    <row r="15" spans="1:2" x14ac:dyDescent="0.3">
      <c r="A15">
        <v>27</v>
      </c>
      <c r="B15" t="s">
        <v>30</v>
      </c>
    </row>
    <row r="16" spans="1:2" x14ac:dyDescent="0.3">
      <c r="A16">
        <v>26</v>
      </c>
      <c r="B16" t="s">
        <v>30</v>
      </c>
    </row>
    <row r="17" spans="1:2" x14ac:dyDescent="0.3">
      <c r="A17">
        <v>25</v>
      </c>
      <c r="B17" t="s">
        <v>30</v>
      </c>
    </row>
    <row r="18" spans="1:2" x14ac:dyDescent="0.3">
      <c r="A18">
        <v>24</v>
      </c>
      <c r="B18" t="s">
        <v>31</v>
      </c>
    </row>
    <row r="19" spans="1:2" x14ac:dyDescent="0.3">
      <c r="A19">
        <v>23</v>
      </c>
      <c r="B19" t="s">
        <v>31</v>
      </c>
    </row>
    <row r="20" spans="1:2" x14ac:dyDescent="0.3">
      <c r="A20">
        <v>22</v>
      </c>
      <c r="B20" t="s">
        <v>31</v>
      </c>
    </row>
    <row r="21" spans="1:2" x14ac:dyDescent="0.3">
      <c r="A21">
        <v>21</v>
      </c>
      <c r="B21" t="s">
        <v>31</v>
      </c>
    </row>
    <row r="22" spans="1:2" x14ac:dyDescent="0.3">
      <c r="A22">
        <v>20</v>
      </c>
      <c r="B22" t="s">
        <v>31</v>
      </c>
    </row>
    <row r="23" spans="1:2" x14ac:dyDescent="0.3">
      <c r="A23">
        <v>19</v>
      </c>
      <c r="B23" t="s">
        <v>31</v>
      </c>
    </row>
    <row r="24" spans="1:2" x14ac:dyDescent="0.3">
      <c r="A24">
        <v>18</v>
      </c>
      <c r="B24" t="s">
        <v>31</v>
      </c>
    </row>
    <row r="25" spans="1:2" x14ac:dyDescent="0.3">
      <c r="A25">
        <v>17</v>
      </c>
      <c r="B25" t="s">
        <v>31</v>
      </c>
    </row>
    <row r="26" spans="1:2" x14ac:dyDescent="0.3">
      <c r="A26">
        <v>16</v>
      </c>
      <c r="B26" t="s">
        <v>31</v>
      </c>
    </row>
    <row r="27" spans="1:2" x14ac:dyDescent="0.3">
      <c r="A27">
        <v>15</v>
      </c>
      <c r="B27" t="s">
        <v>32</v>
      </c>
    </row>
    <row r="28" spans="1:2" x14ac:dyDescent="0.3">
      <c r="A28">
        <v>14</v>
      </c>
      <c r="B28" t="s">
        <v>32</v>
      </c>
    </row>
    <row r="29" spans="1:2" x14ac:dyDescent="0.3">
      <c r="A29">
        <v>13</v>
      </c>
      <c r="B29" t="s">
        <v>32</v>
      </c>
    </row>
    <row r="30" spans="1:2" x14ac:dyDescent="0.3">
      <c r="A30">
        <v>12</v>
      </c>
      <c r="B30" t="s">
        <v>33</v>
      </c>
    </row>
    <row r="31" spans="1:2" x14ac:dyDescent="0.3">
      <c r="A31">
        <v>11</v>
      </c>
      <c r="B31" t="s">
        <v>33</v>
      </c>
    </row>
    <row r="32" spans="1:2" x14ac:dyDescent="0.3">
      <c r="A32">
        <v>10</v>
      </c>
      <c r="B32" t="s">
        <v>33</v>
      </c>
    </row>
    <row r="33" spans="1:2" x14ac:dyDescent="0.3">
      <c r="A33">
        <v>9</v>
      </c>
      <c r="B33" t="s">
        <v>33</v>
      </c>
    </row>
    <row r="34" spans="1:2" x14ac:dyDescent="0.3">
      <c r="A34">
        <v>8</v>
      </c>
      <c r="B34" t="s">
        <v>33</v>
      </c>
    </row>
    <row r="35" spans="1:2" x14ac:dyDescent="0.3">
      <c r="A35">
        <v>7</v>
      </c>
      <c r="B35" t="s">
        <v>33</v>
      </c>
    </row>
    <row r="36" spans="1:2" x14ac:dyDescent="0.3">
      <c r="A36">
        <v>6</v>
      </c>
      <c r="B36" t="s">
        <v>33</v>
      </c>
    </row>
    <row r="37" spans="1:2" x14ac:dyDescent="0.3">
      <c r="A37">
        <v>5</v>
      </c>
      <c r="B37" t="s">
        <v>33</v>
      </c>
    </row>
    <row r="38" spans="1:2" x14ac:dyDescent="0.3">
      <c r="A38">
        <v>4</v>
      </c>
      <c r="B38" t="s">
        <v>33</v>
      </c>
    </row>
    <row r="39" spans="1:2" x14ac:dyDescent="0.3">
      <c r="A39">
        <v>3</v>
      </c>
      <c r="B39" t="s">
        <v>33</v>
      </c>
    </row>
    <row r="40" spans="1:2" x14ac:dyDescent="0.3">
      <c r="A40">
        <v>2</v>
      </c>
      <c r="B40" t="s">
        <v>33</v>
      </c>
    </row>
    <row r="41" spans="1:2" x14ac:dyDescent="0.3">
      <c r="A41">
        <v>1</v>
      </c>
      <c r="B41" t="s">
        <v>33</v>
      </c>
    </row>
    <row r="42" spans="1:2" x14ac:dyDescent="0.3">
      <c r="A42">
        <v>0</v>
      </c>
      <c r="B4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41"/>
  <sheetViews>
    <sheetView workbookViewId="0">
      <selection activeCell="H12" sqref="H12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109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1804</v>
      </c>
      <c r="B3" s="3" t="str">
        <f>DETAILS!B3</f>
        <v>AAKRITI SINGH</v>
      </c>
      <c r="C3" s="3"/>
      <c r="D3" s="3"/>
      <c r="E3" s="3"/>
      <c r="F3" s="3"/>
      <c r="G3" s="3"/>
    </row>
    <row r="4" spans="1:7" x14ac:dyDescent="0.3">
      <c r="A4" s="23">
        <f>DETAILS!A4</f>
        <v>1571</v>
      </c>
      <c r="B4" s="3" t="str">
        <f>DETAILS!B4</f>
        <v>ABHIJEET PATEL</v>
      </c>
      <c r="C4" s="3"/>
      <c r="D4" s="3"/>
      <c r="E4" s="3"/>
      <c r="F4" s="3"/>
      <c r="G4" s="3"/>
    </row>
    <row r="5" spans="1:7" x14ac:dyDescent="0.3">
      <c r="A5" s="23">
        <f>DETAILS!A5</f>
        <v>1881</v>
      </c>
      <c r="B5" s="3" t="str">
        <f>DETAILS!B5</f>
        <v>ADITI</v>
      </c>
      <c r="C5" s="3"/>
      <c r="D5" s="3"/>
      <c r="E5" s="3"/>
      <c r="F5" s="3"/>
      <c r="G5" s="3"/>
    </row>
    <row r="6" spans="1:7" x14ac:dyDescent="0.3">
      <c r="A6" s="23">
        <f>DETAILS!A6</f>
        <v>1559</v>
      </c>
      <c r="B6" s="3" t="str">
        <f>DETAILS!B6</f>
        <v>ADITYA VERMA</v>
      </c>
      <c r="C6" s="3"/>
      <c r="D6" s="3"/>
      <c r="E6" s="3"/>
      <c r="F6" s="3"/>
      <c r="G6" s="3"/>
    </row>
    <row r="7" spans="1:7" x14ac:dyDescent="0.3">
      <c r="A7" s="23">
        <f>DETAILS!A7</f>
        <v>1548</v>
      </c>
      <c r="B7" s="3" t="str">
        <f>DETAILS!B7</f>
        <v>ADVIK BAJPAI</v>
      </c>
      <c r="C7" s="3"/>
      <c r="D7" s="3"/>
      <c r="E7" s="3"/>
      <c r="F7" s="3"/>
      <c r="G7" s="3"/>
    </row>
    <row r="8" spans="1:7" x14ac:dyDescent="0.3">
      <c r="A8" s="23">
        <f>DETAILS!A8</f>
        <v>1549</v>
      </c>
      <c r="B8" s="3" t="str">
        <f>DETAILS!B8</f>
        <v>AHEM SHARMA</v>
      </c>
      <c r="C8" s="3"/>
      <c r="D8" s="3"/>
      <c r="E8" s="3"/>
      <c r="F8" s="3"/>
      <c r="G8" s="3"/>
    </row>
    <row r="9" spans="1:7" x14ac:dyDescent="0.3">
      <c r="A9" s="23">
        <f>DETAILS!A9</f>
        <v>1556</v>
      </c>
      <c r="B9" s="3" t="str">
        <f>DETAILS!B9</f>
        <v>AKRATI VISHWAKARMA</v>
      </c>
      <c r="C9" s="3"/>
      <c r="D9" s="3"/>
      <c r="E9" s="3"/>
      <c r="F9" s="3"/>
      <c r="G9" s="3"/>
    </row>
    <row r="10" spans="1:7" x14ac:dyDescent="0.3">
      <c r="A10" s="23">
        <f>DETAILS!A10</f>
        <v>1915</v>
      </c>
      <c r="B10" s="3" t="str">
        <f>DETAILS!B10</f>
        <v>AKRITI SHUKLA</v>
      </c>
      <c r="C10" s="3"/>
      <c r="D10" s="3"/>
      <c r="E10" s="3"/>
      <c r="F10" s="3"/>
      <c r="G10" s="3"/>
    </row>
    <row r="11" spans="1:7" x14ac:dyDescent="0.3">
      <c r="A11" s="23">
        <f>DETAILS!A11</f>
        <v>1563</v>
      </c>
      <c r="B11" s="3" t="str">
        <f>DETAILS!B11</f>
        <v>ANANYA</v>
      </c>
      <c r="C11" s="3"/>
      <c r="D11" s="3"/>
      <c r="E11" s="3"/>
      <c r="F11" s="3"/>
      <c r="G11" s="3"/>
    </row>
    <row r="12" spans="1:7" x14ac:dyDescent="0.3">
      <c r="A12" s="23">
        <f>DETAILS!A12</f>
        <v>1562</v>
      </c>
      <c r="B12" s="3" t="str">
        <f>DETAILS!B12</f>
        <v>ANKITA RAJPOOT</v>
      </c>
      <c r="C12" s="3"/>
      <c r="D12" s="3"/>
      <c r="E12" s="3"/>
      <c r="F12" s="3"/>
      <c r="G12" s="3"/>
    </row>
    <row r="13" spans="1:7" x14ac:dyDescent="0.3">
      <c r="A13" s="23">
        <f>DETAILS!A13</f>
        <v>1547</v>
      </c>
      <c r="B13" s="3" t="str">
        <f>DETAILS!B13</f>
        <v>ANSHIKA PANDEY</v>
      </c>
      <c r="C13" s="3"/>
      <c r="D13" s="3"/>
      <c r="E13" s="3"/>
      <c r="F13" s="3"/>
      <c r="G13" s="3"/>
    </row>
    <row r="14" spans="1:7" x14ac:dyDescent="0.3">
      <c r="A14" s="23">
        <f>DETAILS!A14</f>
        <v>1644</v>
      </c>
      <c r="B14" s="3" t="str">
        <f>DETAILS!B14</f>
        <v>ARADHYA SINGH</v>
      </c>
      <c r="C14" s="3"/>
      <c r="D14" s="3"/>
      <c r="E14" s="3"/>
      <c r="F14" s="3"/>
      <c r="G14" s="3"/>
    </row>
    <row r="15" spans="1:7" x14ac:dyDescent="0.3">
      <c r="A15" s="23">
        <f>DETAILS!A15</f>
        <v>1566</v>
      </c>
      <c r="B15" s="3" t="str">
        <f>DETAILS!B15</f>
        <v>ARIYAN PAL</v>
      </c>
      <c r="C15" s="3"/>
      <c r="D15" s="3"/>
      <c r="E15" s="3"/>
      <c r="F15" s="3"/>
      <c r="G15" s="3"/>
    </row>
    <row r="16" spans="1:7" x14ac:dyDescent="0.3">
      <c r="A16" s="23">
        <f>DETAILS!A16</f>
        <v>1878</v>
      </c>
      <c r="B16" s="3" t="str">
        <f>DETAILS!B16</f>
        <v>AROHI VERMA</v>
      </c>
      <c r="C16" s="3"/>
      <c r="D16" s="3"/>
      <c r="E16" s="3"/>
      <c r="F16" s="3"/>
      <c r="G16" s="3"/>
    </row>
    <row r="17" spans="1:7" x14ac:dyDescent="0.3">
      <c r="A17" s="23">
        <f>DETAILS!A17</f>
        <v>1809</v>
      </c>
      <c r="B17" s="3" t="str">
        <f>DETAILS!B17</f>
        <v>ARUNENDRA PRATAP SINGH</v>
      </c>
      <c r="C17" s="3"/>
      <c r="D17" s="3"/>
      <c r="E17" s="3"/>
      <c r="F17" s="3"/>
      <c r="G17" s="3"/>
    </row>
    <row r="18" spans="1:7" x14ac:dyDescent="0.3">
      <c r="A18" s="23">
        <f>DETAILS!A18</f>
        <v>1920</v>
      </c>
      <c r="B18" s="3" t="str">
        <f>DETAILS!B18</f>
        <v>ATHARV SINGH CHAUHAN</v>
      </c>
      <c r="C18" s="3"/>
      <c r="D18" s="3"/>
      <c r="E18" s="3"/>
      <c r="F18" s="3"/>
      <c r="G18" s="3"/>
    </row>
    <row r="19" spans="1:7" x14ac:dyDescent="0.3">
      <c r="A19" s="23">
        <f>DETAILS!A19</f>
        <v>1569</v>
      </c>
      <c r="B19" s="3" t="str">
        <f>DETAILS!B19</f>
        <v>AVNI VERMA</v>
      </c>
      <c r="C19" s="3"/>
      <c r="D19" s="3"/>
      <c r="E19" s="3"/>
      <c r="F19" s="3"/>
      <c r="G19" s="3"/>
    </row>
    <row r="20" spans="1:7" x14ac:dyDescent="0.3">
      <c r="A20" s="23">
        <f>DETAILS!A20</f>
        <v>1789</v>
      </c>
      <c r="B20" s="3" t="str">
        <f>DETAILS!B20</f>
        <v>AYUSHI YADAV</v>
      </c>
      <c r="C20" s="3"/>
      <c r="D20" s="3"/>
      <c r="E20" s="3"/>
      <c r="F20" s="3"/>
      <c r="G20" s="3"/>
    </row>
    <row r="21" spans="1:7" x14ac:dyDescent="0.3">
      <c r="A21" s="23">
        <f>DETAILS!A21</f>
        <v>1673</v>
      </c>
      <c r="B21" s="3" t="str">
        <f>DETAILS!B21</f>
        <v>DEVANSH SINGH</v>
      </c>
      <c r="C21" s="3"/>
      <c r="D21" s="3"/>
      <c r="E21" s="3"/>
      <c r="F21" s="3"/>
      <c r="G21" s="3"/>
    </row>
    <row r="22" spans="1:7" x14ac:dyDescent="0.3">
      <c r="A22" s="23">
        <f>DETAILS!A22</f>
        <v>1649</v>
      </c>
      <c r="B22" s="3" t="str">
        <f>DETAILS!B22</f>
        <v>DEVISHA TIWARI</v>
      </c>
      <c r="C22" s="3"/>
      <c r="D22" s="3"/>
      <c r="E22" s="3"/>
      <c r="F22" s="3"/>
      <c r="G22" s="3"/>
    </row>
    <row r="23" spans="1:7" x14ac:dyDescent="0.3">
      <c r="A23" s="23">
        <f>DETAILS!A23</f>
        <v>1791</v>
      </c>
      <c r="B23" s="3" t="str">
        <f>DETAILS!B23</f>
        <v>DIPANSH SRIVASTAVA</v>
      </c>
      <c r="C23" s="3"/>
      <c r="D23" s="3"/>
      <c r="E23" s="3"/>
      <c r="F23" s="3"/>
      <c r="G23" s="3"/>
    </row>
    <row r="24" spans="1:7" x14ac:dyDescent="0.3">
      <c r="A24" s="23">
        <f>DETAILS!A24</f>
        <v>1564</v>
      </c>
      <c r="B24" s="3" t="str">
        <f>DETAILS!B24</f>
        <v>GAURAV YADAV</v>
      </c>
      <c r="C24" s="3"/>
      <c r="D24" s="3"/>
      <c r="E24" s="3"/>
      <c r="F24" s="3"/>
      <c r="G24" s="3"/>
    </row>
    <row r="25" spans="1:7" x14ac:dyDescent="0.3">
      <c r="A25" s="23">
        <f>DETAILS!A25</f>
        <v>1573</v>
      </c>
      <c r="B25" s="3" t="str">
        <f>DETAILS!B25</f>
        <v>HARIOM MISHRA</v>
      </c>
      <c r="C25" s="3"/>
      <c r="D25" s="3"/>
      <c r="E25" s="3"/>
      <c r="F25" s="3"/>
      <c r="G25" s="3"/>
    </row>
    <row r="26" spans="1:7" x14ac:dyDescent="0.3">
      <c r="A26" s="23">
        <f>DETAILS!A26</f>
        <v>1561</v>
      </c>
      <c r="B26" s="3" t="str">
        <f>DETAILS!B26</f>
        <v>HARSHITA MEENA</v>
      </c>
      <c r="C26" s="3"/>
      <c r="D26" s="3"/>
      <c r="E26" s="3"/>
      <c r="F26" s="3"/>
      <c r="G26" s="3"/>
    </row>
    <row r="27" spans="1:7" x14ac:dyDescent="0.3">
      <c r="A27" s="23">
        <f>DETAILS!A27</f>
        <v>1565</v>
      </c>
      <c r="B27" s="3" t="str">
        <f>DETAILS!B27</f>
        <v>JANVI SINGH</v>
      </c>
      <c r="C27" s="3"/>
      <c r="D27" s="3"/>
      <c r="E27" s="3"/>
      <c r="F27" s="3"/>
      <c r="G27" s="3"/>
    </row>
    <row r="28" spans="1:7" x14ac:dyDescent="0.3">
      <c r="A28" s="23">
        <f>DETAILS!A28</f>
        <v>1870</v>
      </c>
      <c r="B28" s="3" t="str">
        <f>DETAILS!B28</f>
        <v>JANVI SINGH SENGAR</v>
      </c>
      <c r="C28" s="3"/>
      <c r="D28" s="3"/>
      <c r="E28" s="3"/>
      <c r="F28" s="3"/>
      <c r="G28" s="3">
        <f t="shared" ref="G28:G41" si="0">SUM(C28:F28)</f>
        <v>0</v>
      </c>
    </row>
    <row r="29" spans="1:7" x14ac:dyDescent="0.3">
      <c r="A29" s="23">
        <f>DETAILS!A29</f>
        <v>1657</v>
      </c>
      <c r="B29" s="3" t="str">
        <f>DETAILS!B29</f>
        <v>KARNIKA VERMA</v>
      </c>
      <c r="C29" s="3"/>
      <c r="D29" s="3"/>
      <c r="E29" s="3"/>
      <c r="F29" s="3"/>
      <c r="G29" s="3">
        <f t="shared" si="0"/>
        <v>0</v>
      </c>
    </row>
    <row r="30" spans="1:7" x14ac:dyDescent="0.3">
      <c r="A30" s="23">
        <f>DETAILS!A30</f>
        <v>1558</v>
      </c>
      <c r="B30" s="3" t="str">
        <f>DETAILS!B30</f>
        <v>KAVYA TIWARI</v>
      </c>
      <c r="C30" s="3"/>
      <c r="D30" s="3"/>
      <c r="E30" s="3"/>
      <c r="F30" s="3"/>
      <c r="G30" s="3">
        <f t="shared" si="0"/>
        <v>0</v>
      </c>
    </row>
    <row r="31" spans="1:7" x14ac:dyDescent="0.3">
      <c r="A31" s="23">
        <f>DETAILS!A31</f>
        <v>1906</v>
      </c>
      <c r="B31" s="3" t="str">
        <f>DETAILS!B31</f>
        <v>KHUSHI PATEL</v>
      </c>
      <c r="C31" s="3"/>
      <c r="D31" s="3"/>
      <c r="E31" s="3"/>
      <c r="F31" s="3"/>
      <c r="G31" s="3">
        <f t="shared" si="0"/>
        <v>0</v>
      </c>
    </row>
    <row r="32" spans="1:7" x14ac:dyDescent="0.3">
      <c r="A32" s="23">
        <f>DETAILS!A32</f>
        <v>1865</v>
      </c>
      <c r="B32" s="3" t="str">
        <f>DETAILS!B32</f>
        <v>MOHD SAIF</v>
      </c>
      <c r="C32" s="3"/>
      <c r="D32" s="3"/>
      <c r="E32" s="3"/>
      <c r="F32" s="3"/>
      <c r="G32" s="3">
        <f t="shared" si="0"/>
        <v>0</v>
      </c>
    </row>
    <row r="33" spans="1:7" x14ac:dyDescent="0.3">
      <c r="A33" s="23">
        <f>DETAILS!A33</f>
        <v>1735</v>
      </c>
      <c r="B33" s="3" t="str">
        <f>DETAILS!B33</f>
        <v>PRAGATI SINGH</v>
      </c>
      <c r="C33" s="3"/>
      <c r="D33" s="3"/>
      <c r="E33" s="3"/>
      <c r="F33" s="3"/>
      <c r="G33" s="3">
        <f t="shared" si="0"/>
        <v>0</v>
      </c>
    </row>
    <row r="34" spans="1:7" x14ac:dyDescent="0.3">
      <c r="A34" s="23">
        <f>DETAILS!A34</f>
        <v>1557</v>
      </c>
      <c r="B34" s="3" t="str">
        <f>DETAILS!B34</f>
        <v>PRISHA JAISWAL</v>
      </c>
      <c r="C34" s="3"/>
      <c r="D34" s="3"/>
      <c r="E34" s="3"/>
      <c r="F34" s="3"/>
      <c r="G34" s="3">
        <f t="shared" si="0"/>
        <v>0</v>
      </c>
    </row>
    <row r="35" spans="1:7" x14ac:dyDescent="0.3">
      <c r="A35" s="23">
        <f>DETAILS!A35</f>
        <v>1560</v>
      </c>
      <c r="B35" s="3" t="str">
        <f>DETAILS!B35</f>
        <v>SHANTANU YADAV</v>
      </c>
      <c r="C35" s="3"/>
      <c r="D35" s="3"/>
      <c r="E35" s="3"/>
      <c r="F35" s="3"/>
      <c r="G35" s="3">
        <f t="shared" si="0"/>
        <v>0</v>
      </c>
    </row>
    <row r="36" spans="1:7" x14ac:dyDescent="0.3">
      <c r="A36" s="23">
        <f>DETAILS!A36</f>
        <v>1890</v>
      </c>
      <c r="B36" s="3" t="str">
        <f>DETAILS!B36</f>
        <v>SHIVA YADAV</v>
      </c>
      <c r="C36" s="3"/>
      <c r="D36" s="3"/>
      <c r="E36" s="3"/>
      <c r="F36" s="3"/>
      <c r="G36" s="3">
        <f t="shared" si="0"/>
        <v>0</v>
      </c>
    </row>
    <row r="37" spans="1:7" x14ac:dyDescent="0.3">
      <c r="A37" s="23">
        <f>DETAILS!A37</f>
        <v>1575</v>
      </c>
      <c r="B37" s="3" t="str">
        <f>DETAILS!B37</f>
        <v>SHIVIKA VERMA</v>
      </c>
      <c r="C37" s="3"/>
      <c r="D37" s="3"/>
      <c r="E37" s="3"/>
      <c r="F37" s="3"/>
      <c r="G37" s="3">
        <f t="shared" si="0"/>
        <v>0</v>
      </c>
    </row>
    <row r="38" spans="1:7" x14ac:dyDescent="0.3">
      <c r="A38" s="23">
        <f>DETAILS!A38</f>
        <v>1732</v>
      </c>
      <c r="B38" s="3" t="str">
        <f>DETAILS!B38</f>
        <v>SUHAN ALI</v>
      </c>
      <c r="C38" s="3"/>
      <c r="D38" s="3"/>
      <c r="E38" s="3"/>
      <c r="F38" s="3"/>
      <c r="G38" s="3">
        <f t="shared" si="0"/>
        <v>0</v>
      </c>
    </row>
    <row r="39" spans="1:7" x14ac:dyDescent="0.3">
      <c r="A39" s="23">
        <f>DETAILS!A39</f>
        <v>1706</v>
      </c>
      <c r="B39" s="3" t="str">
        <f>DETAILS!B39</f>
        <v>UTKARSH</v>
      </c>
      <c r="C39" s="3"/>
      <c r="D39" s="3"/>
      <c r="E39" s="3"/>
      <c r="F39" s="3"/>
      <c r="G39" s="3">
        <f t="shared" si="0"/>
        <v>0</v>
      </c>
    </row>
    <row r="40" spans="1:7" x14ac:dyDescent="0.3">
      <c r="A40" s="23">
        <f>DETAILS!A40</f>
        <v>1567</v>
      </c>
      <c r="B40" s="3" t="str">
        <f>DETAILS!B40</f>
        <v>VAANYA YADAV</v>
      </c>
      <c r="C40" s="3"/>
      <c r="D40" s="3"/>
      <c r="E40" s="3"/>
      <c r="F40" s="3"/>
      <c r="G40" s="3">
        <f t="shared" si="0"/>
        <v>0</v>
      </c>
    </row>
    <row r="41" spans="1:7" x14ac:dyDescent="0.3">
      <c r="A41" s="23">
        <f>DETAILS!A41</f>
        <v>1937</v>
      </c>
      <c r="B41" s="3" t="str">
        <f>DETAILS!B41</f>
        <v>VIVAAN  PAL</v>
      </c>
      <c r="C41" s="3"/>
      <c r="D41" s="3"/>
      <c r="E41" s="3"/>
      <c r="F41" s="3"/>
      <c r="G41" s="3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G15" sqref="G15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104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1804</v>
      </c>
      <c r="B3" s="3" t="str">
        <f>DETAILS!B3</f>
        <v>AAKRITI SINGH</v>
      </c>
      <c r="C3" s="3"/>
      <c r="D3" s="3"/>
      <c r="E3" s="3"/>
      <c r="F3" s="3"/>
      <c r="G3" s="3"/>
    </row>
    <row r="4" spans="1:7" x14ac:dyDescent="0.3">
      <c r="A4" s="23">
        <f>DETAILS!A4</f>
        <v>1571</v>
      </c>
      <c r="B4" s="3" t="str">
        <f>DETAILS!B4</f>
        <v>ABHIJEET PATEL</v>
      </c>
      <c r="C4" s="3"/>
      <c r="D4" s="3"/>
      <c r="E4" s="3"/>
      <c r="F4" s="3"/>
      <c r="G4" s="3"/>
    </row>
    <row r="5" spans="1:7" x14ac:dyDescent="0.3">
      <c r="A5" s="23">
        <f>DETAILS!A5</f>
        <v>1881</v>
      </c>
      <c r="B5" s="3" t="str">
        <f>DETAILS!B5</f>
        <v>ADITI</v>
      </c>
      <c r="C5" s="3"/>
      <c r="D5" s="3"/>
      <c r="E5" s="3"/>
      <c r="F5" s="3"/>
      <c r="G5" s="3"/>
    </row>
    <row r="6" spans="1:7" x14ac:dyDescent="0.3">
      <c r="A6" s="23">
        <f>DETAILS!A6</f>
        <v>1559</v>
      </c>
      <c r="B6" s="3" t="str">
        <f>DETAILS!B6</f>
        <v>ADITYA VERMA</v>
      </c>
      <c r="C6" s="3"/>
      <c r="D6" s="3"/>
      <c r="E6" s="3"/>
      <c r="F6" s="3"/>
      <c r="G6" s="3"/>
    </row>
    <row r="7" spans="1:7" x14ac:dyDescent="0.3">
      <c r="A7" s="23">
        <f>DETAILS!A7</f>
        <v>1548</v>
      </c>
      <c r="B7" s="3" t="str">
        <f>DETAILS!B7</f>
        <v>ADVIK BAJPAI</v>
      </c>
      <c r="C7" s="3"/>
      <c r="D7" s="3"/>
      <c r="E7" s="3"/>
      <c r="F7" s="3"/>
      <c r="G7" s="3"/>
    </row>
    <row r="8" spans="1:7" x14ac:dyDescent="0.3">
      <c r="A8" s="23">
        <f>DETAILS!A8</f>
        <v>1549</v>
      </c>
      <c r="B8" s="3" t="str">
        <f>DETAILS!B8</f>
        <v>AHEM SHARMA</v>
      </c>
      <c r="C8" s="3"/>
      <c r="D8" s="3"/>
      <c r="E8" s="3"/>
      <c r="F8" s="3"/>
      <c r="G8" s="3"/>
    </row>
    <row r="9" spans="1:7" x14ac:dyDescent="0.3">
      <c r="A9" s="23">
        <f>DETAILS!A9</f>
        <v>1556</v>
      </c>
      <c r="B9" s="3" t="str">
        <f>DETAILS!B9</f>
        <v>AKRATI VISHWAKARMA</v>
      </c>
      <c r="C9" s="3"/>
      <c r="D9" s="3"/>
      <c r="E9" s="3"/>
      <c r="F9" s="3"/>
      <c r="G9" s="3"/>
    </row>
    <row r="10" spans="1:7" x14ac:dyDescent="0.3">
      <c r="A10" s="23">
        <f>DETAILS!A10</f>
        <v>1915</v>
      </c>
      <c r="B10" s="3" t="str">
        <f>DETAILS!B10</f>
        <v>AKRITI SHUKLA</v>
      </c>
      <c r="C10" s="3"/>
      <c r="D10" s="3"/>
      <c r="E10" s="3"/>
      <c r="F10" s="3"/>
      <c r="G10" s="3"/>
    </row>
    <row r="11" spans="1:7" x14ac:dyDescent="0.3">
      <c r="A11" s="23">
        <f>DETAILS!A11</f>
        <v>1563</v>
      </c>
      <c r="B11" s="3" t="str">
        <f>DETAILS!B11</f>
        <v>ANANYA</v>
      </c>
      <c r="C11" s="3"/>
      <c r="D11" s="3"/>
      <c r="E11" s="3"/>
      <c r="F11" s="3"/>
      <c r="G11" s="3"/>
    </row>
    <row r="12" spans="1:7" x14ac:dyDescent="0.3">
      <c r="A12" s="23">
        <f>DETAILS!A12</f>
        <v>1562</v>
      </c>
      <c r="B12" s="3" t="str">
        <f>DETAILS!B12</f>
        <v>ANKITA RAJPOOT</v>
      </c>
      <c r="C12" s="3"/>
      <c r="D12" s="3"/>
      <c r="E12" s="3"/>
      <c r="F12" s="3"/>
      <c r="G12" s="3"/>
    </row>
    <row r="13" spans="1:7" x14ac:dyDescent="0.3">
      <c r="A13" s="23">
        <f>DETAILS!A13</f>
        <v>1547</v>
      </c>
      <c r="B13" s="3" t="str">
        <f>DETAILS!B13</f>
        <v>ANSHIKA PANDEY</v>
      </c>
      <c r="C13" s="3"/>
      <c r="D13" s="3"/>
      <c r="E13" s="3"/>
      <c r="F13" s="3"/>
      <c r="G13" s="3"/>
    </row>
    <row r="14" spans="1:7" x14ac:dyDescent="0.3">
      <c r="A14" s="23">
        <f>DETAILS!A14</f>
        <v>1644</v>
      </c>
      <c r="B14" s="3" t="str">
        <f>DETAILS!B14</f>
        <v>ARADHYA SINGH</v>
      </c>
      <c r="C14" s="3"/>
      <c r="D14" s="3"/>
      <c r="E14" s="3"/>
      <c r="F14" s="3"/>
      <c r="G14" s="3"/>
    </row>
    <row r="15" spans="1:7" x14ac:dyDescent="0.3">
      <c r="A15" s="23">
        <f>DETAILS!A15</f>
        <v>1566</v>
      </c>
      <c r="B15" s="3" t="str">
        <f>DETAILS!B15</f>
        <v>ARIYAN PAL</v>
      </c>
      <c r="C15" s="3"/>
      <c r="D15" s="3"/>
      <c r="E15" s="3"/>
      <c r="F15" s="3"/>
      <c r="G15" s="3"/>
    </row>
    <row r="16" spans="1:7" x14ac:dyDescent="0.3">
      <c r="A16" s="23">
        <f>DETAILS!A16</f>
        <v>1878</v>
      </c>
      <c r="B16" s="3" t="str">
        <f>DETAILS!B16</f>
        <v>AROHI VERMA</v>
      </c>
      <c r="C16" s="3"/>
      <c r="D16" s="3"/>
      <c r="E16" s="3"/>
      <c r="F16" s="3"/>
      <c r="G16" s="3"/>
    </row>
    <row r="17" spans="1:7" x14ac:dyDescent="0.3">
      <c r="A17" s="23">
        <f>DETAILS!A17</f>
        <v>1809</v>
      </c>
      <c r="B17" s="3" t="str">
        <f>DETAILS!B17</f>
        <v>ARUNENDRA PRATAP SINGH</v>
      </c>
      <c r="C17" s="3"/>
      <c r="D17" s="3"/>
      <c r="E17" s="3"/>
      <c r="F17" s="3"/>
      <c r="G17" s="3"/>
    </row>
    <row r="18" spans="1:7" x14ac:dyDescent="0.3">
      <c r="A18" s="23">
        <f>DETAILS!A18</f>
        <v>1920</v>
      </c>
      <c r="B18" s="3" t="str">
        <f>DETAILS!B18</f>
        <v>ATHARV SINGH CHAUHAN</v>
      </c>
      <c r="C18" s="3"/>
      <c r="D18" s="3"/>
      <c r="E18" s="3"/>
      <c r="F18" s="3"/>
      <c r="G18" s="3"/>
    </row>
    <row r="19" spans="1:7" x14ac:dyDescent="0.3">
      <c r="A19" s="23">
        <f>DETAILS!A19</f>
        <v>1569</v>
      </c>
      <c r="B19" s="3" t="str">
        <f>DETAILS!B19</f>
        <v>AVNI VERMA</v>
      </c>
      <c r="C19" s="3"/>
      <c r="D19" s="3"/>
      <c r="E19" s="3"/>
      <c r="F19" s="3"/>
      <c r="G19" s="3"/>
    </row>
    <row r="20" spans="1:7" x14ac:dyDescent="0.3">
      <c r="A20" s="23">
        <f>DETAILS!A20</f>
        <v>1789</v>
      </c>
      <c r="B20" s="3" t="str">
        <f>DETAILS!B20</f>
        <v>AYUSHI YADAV</v>
      </c>
      <c r="C20" s="3"/>
      <c r="D20" s="3"/>
      <c r="E20" s="3"/>
      <c r="F20" s="3"/>
      <c r="G20" s="3"/>
    </row>
    <row r="21" spans="1:7" x14ac:dyDescent="0.3">
      <c r="A21" s="23">
        <f>DETAILS!A21</f>
        <v>1673</v>
      </c>
      <c r="B21" s="3" t="str">
        <f>DETAILS!B21</f>
        <v>DEVANSH SINGH</v>
      </c>
      <c r="C21" s="3"/>
      <c r="D21" s="3"/>
      <c r="E21" s="3"/>
      <c r="F21" s="3"/>
      <c r="G21" s="3"/>
    </row>
    <row r="22" spans="1:7" x14ac:dyDescent="0.3">
      <c r="A22" s="23">
        <f>DETAILS!A22</f>
        <v>1649</v>
      </c>
      <c r="B22" s="3" t="str">
        <f>DETAILS!B22</f>
        <v>DEVISHA TIWARI</v>
      </c>
      <c r="C22" s="3"/>
      <c r="D22" s="3"/>
      <c r="E22" s="3"/>
      <c r="F22" s="3"/>
      <c r="G22" s="3"/>
    </row>
    <row r="23" spans="1:7" x14ac:dyDescent="0.3">
      <c r="A23" s="23">
        <f>DETAILS!A23</f>
        <v>1791</v>
      </c>
      <c r="B23" s="3" t="str">
        <f>DETAILS!B23</f>
        <v>DIPANSH SRIVASTAVA</v>
      </c>
      <c r="C23" s="3"/>
      <c r="D23" s="3"/>
      <c r="E23" s="3"/>
      <c r="F23" s="3"/>
      <c r="G23" s="3"/>
    </row>
    <row r="24" spans="1:7" x14ac:dyDescent="0.3">
      <c r="A24" s="23">
        <f>DETAILS!A24</f>
        <v>1564</v>
      </c>
      <c r="B24" s="3" t="str">
        <f>DETAILS!B24</f>
        <v>GAURAV YADAV</v>
      </c>
      <c r="C24" s="3"/>
      <c r="D24" s="3"/>
      <c r="E24" s="3"/>
      <c r="F24" s="3"/>
      <c r="G24" s="3"/>
    </row>
    <row r="25" spans="1:7" x14ac:dyDescent="0.3">
      <c r="A25" s="23">
        <f>DETAILS!A25</f>
        <v>1573</v>
      </c>
      <c r="B25" s="3" t="str">
        <f>DETAILS!B25</f>
        <v>HARIOM MISHRA</v>
      </c>
      <c r="C25" s="3"/>
      <c r="D25" s="3"/>
      <c r="E25" s="3"/>
      <c r="F25" s="3"/>
      <c r="G25" s="3"/>
    </row>
    <row r="26" spans="1:7" x14ac:dyDescent="0.3">
      <c r="A26" s="23">
        <f>DETAILS!A26</f>
        <v>1561</v>
      </c>
      <c r="B26" s="3" t="str">
        <f>DETAILS!B26</f>
        <v>HARSHITA MEENA</v>
      </c>
      <c r="C26" s="3"/>
      <c r="D26" s="3"/>
      <c r="E26" s="3"/>
      <c r="F26" s="3"/>
      <c r="G26" s="3"/>
    </row>
    <row r="27" spans="1:7" x14ac:dyDescent="0.3">
      <c r="A27" s="23">
        <f>DETAILS!A27</f>
        <v>1565</v>
      </c>
      <c r="B27" s="3" t="str">
        <f>DETAILS!B27</f>
        <v>JANVI SINGH</v>
      </c>
      <c r="C27" s="3"/>
      <c r="D27" s="3"/>
      <c r="E27" s="3"/>
      <c r="F27" s="3"/>
      <c r="G27" s="3"/>
    </row>
    <row r="28" spans="1:7" x14ac:dyDescent="0.3">
      <c r="A28" s="23">
        <f>DETAILS!A28</f>
        <v>1870</v>
      </c>
      <c r="B28" s="3" t="str">
        <f>DETAILS!B28</f>
        <v>JANVI SINGH SENGAR</v>
      </c>
      <c r="C28" s="3"/>
      <c r="D28" s="3"/>
      <c r="E28" s="3"/>
      <c r="F28" s="3"/>
      <c r="G28" s="3">
        <f t="shared" ref="G28:G41" si="0">SUM(C28:F28)</f>
        <v>0</v>
      </c>
    </row>
    <row r="29" spans="1:7" x14ac:dyDescent="0.3">
      <c r="A29" s="23">
        <f>DETAILS!A29</f>
        <v>1657</v>
      </c>
      <c r="B29" s="3" t="str">
        <f>DETAILS!B29</f>
        <v>KARNIKA VERMA</v>
      </c>
      <c r="C29" s="3"/>
      <c r="D29" s="3"/>
      <c r="E29" s="3"/>
      <c r="F29" s="3"/>
      <c r="G29" s="3">
        <f t="shared" si="0"/>
        <v>0</v>
      </c>
    </row>
    <row r="30" spans="1:7" x14ac:dyDescent="0.3">
      <c r="A30" s="23">
        <f>DETAILS!A30</f>
        <v>1558</v>
      </c>
      <c r="B30" s="3" t="str">
        <f>DETAILS!B30</f>
        <v>KAVYA TIWARI</v>
      </c>
      <c r="C30" s="3"/>
      <c r="D30" s="3"/>
      <c r="E30" s="3"/>
      <c r="F30" s="3"/>
      <c r="G30" s="3">
        <f t="shared" si="0"/>
        <v>0</v>
      </c>
    </row>
    <row r="31" spans="1:7" x14ac:dyDescent="0.3">
      <c r="A31" s="23">
        <f>DETAILS!A31</f>
        <v>1906</v>
      </c>
      <c r="B31" s="3" t="str">
        <f>DETAILS!B31</f>
        <v>KHUSHI PATEL</v>
      </c>
      <c r="C31" s="3"/>
      <c r="D31" s="3"/>
      <c r="E31" s="3"/>
      <c r="F31" s="3"/>
      <c r="G31" s="3">
        <f t="shared" si="0"/>
        <v>0</v>
      </c>
    </row>
    <row r="32" spans="1:7" x14ac:dyDescent="0.3">
      <c r="A32" s="23">
        <f>DETAILS!A32</f>
        <v>1865</v>
      </c>
      <c r="B32" s="3" t="str">
        <f>DETAILS!B32</f>
        <v>MOHD SAIF</v>
      </c>
      <c r="C32" s="3"/>
      <c r="D32" s="3"/>
      <c r="E32" s="3"/>
      <c r="F32" s="3"/>
      <c r="G32" s="3">
        <f t="shared" si="0"/>
        <v>0</v>
      </c>
    </row>
    <row r="33" spans="1:7" x14ac:dyDescent="0.3">
      <c r="A33" s="23">
        <f>DETAILS!A33</f>
        <v>1735</v>
      </c>
      <c r="B33" s="3" t="str">
        <f>DETAILS!B33</f>
        <v>PRAGATI SINGH</v>
      </c>
      <c r="C33" s="3"/>
      <c r="D33" s="3"/>
      <c r="E33" s="3"/>
      <c r="F33" s="3"/>
      <c r="G33" s="3">
        <f t="shared" si="0"/>
        <v>0</v>
      </c>
    </row>
    <row r="34" spans="1:7" x14ac:dyDescent="0.3">
      <c r="A34" s="23">
        <f>DETAILS!A34</f>
        <v>1557</v>
      </c>
      <c r="B34" s="3" t="str">
        <f>DETAILS!B34</f>
        <v>PRISHA JAISWAL</v>
      </c>
      <c r="C34" s="3"/>
      <c r="D34" s="3"/>
      <c r="E34" s="3"/>
      <c r="F34" s="3"/>
      <c r="G34" s="3">
        <f t="shared" si="0"/>
        <v>0</v>
      </c>
    </row>
    <row r="35" spans="1:7" x14ac:dyDescent="0.3">
      <c r="A35" s="23">
        <f>DETAILS!A35</f>
        <v>1560</v>
      </c>
      <c r="B35" s="3" t="str">
        <f>DETAILS!B35</f>
        <v>SHANTANU YADAV</v>
      </c>
      <c r="C35" s="3"/>
      <c r="D35" s="3"/>
      <c r="E35" s="3"/>
      <c r="F35" s="3"/>
      <c r="G35" s="3">
        <f t="shared" si="0"/>
        <v>0</v>
      </c>
    </row>
    <row r="36" spans="1:7" x14ac:dyDescent="0.3">
      <c r="A36" s="23">
        <f>DETAILS!A36</f>
        <v>1890</v>
      </c>
      <c r="B36" s="3" t="str">
        <f>DETAILS!B36</f>
        <v>SHIVA YADAV</v>
      </c>
      <c r="C36" s="3"/>
      <c r="D36" s="3"/>
      <c r="E36" s="3"/>
      <c r="F36" s="3"/>
      <c r="G36" s="3">
        <f t="shared" si="0"/>
        <v>0</v>
      </c>
    </row>
    <row r="37" spans="1:7" x14ac:dyDescent="0.3">
      <c r="A37" s="23">
        <f>DETAILS!A37</f>
        <v>1575</v>
      </c>
      <c r="B37" s="3" t="str">
        <f>DETAILS!B37</f>
        <v>SHIVIKA VERMA</v>
      </c>
      <c r="C37" s="3"/>
      <c r="D37" s="3"/>
      <c r="E37" s="3"/>
      <c r="F37" s="3"/>
      <c r="G37" s="3">
        <f t="shared" si="0"/>
        <v>0</v>
      </c>
    </row>
    <row r="38" spans="1:7" x14ac:dyDescent="0.3">
      <c r="A38" s="23">
        <f>DETAILS!A38</f>
        <v>1732</v>
      </c>
      <c r="B38" s="3" t="str">
        <f>DETAILS!B38</f>
        <v>SUHAN ALI</v>
      </c>
      <c r="C38" s="3"/>
      <c r="D38" s="3"/>
      <c r="E38" s="3"/>
      <c r="F38" s="3"/>
      <c r="G38" s="3">
        <f t="shared" si="0"/>
        <v>0</v>
      </c>
    </row>
    <row r="39" spans="1:7" x14ac:dyDescent="0.3">
      <c r="A39" s="23">
        <f>DETAILS!A39</f>
        <v>1706</v>
      </c>
      <c r="B39" s="3" t="str">
        <f>DETAILS!B39</f>
        <v>UTKARSH</v>
      </c>
      <c r="C39" s="3"/>
      <c r="D39" s="3"/>
      <c r="E39" s="3"/>
      <c r="F39" s="3"/>
      <c r="G39" s="3">
        <f t="shared" si="0"/>
        <v>0</v>
      </c>
    </row>
    <row r="40" spans="1:7" x14ac:dyDescent="0.3">
      <c r="A40" s="23">
        <f>DETAILS!A40</f>
        <v>1567</v>
      </c>
      <c r="B40" s="3" t="str">
        <f>DETAILS!B40</f>
        <v>VAANYA YADAV</v>
      </c>
      <c r="C40" s="3"/>
      <c r="D40" s="3"/>
      <c r="E40" s="3"/>
      <c r="F40" s="3"/>
      <c r="G40" s="3">
        <f t="shared" si="0"/>
        <v>0</v>
      </c>
    </row>
    <row r="41" spans="1:7" x14ac:dyDescent="0.3">
      <c r="A41" s="23">
        <f>DETAILS!A41</f>
        <v>1937</v>
      </c>
      <c r="B41" s="3" t="str">
        <f>DETAILS!B41</f>
        <v>VIVAAN  PAL</v>
      </c>
      <c r="C41" s="3"/>
      <c r="D41" s="3"/>
      <c r="E41" s="3"/>
      <c r="F41" s="3"/>
      <c r="G41" s="3">
        <f t="shared" si="0"/>
        <v>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70" zoomScaleNormal="70" workbookViewId="0">
      <selection activeCell="S3" sqref="S3"/>
    </sheetView>
  </sheetViews>
  <sheetFormatPr defaultRowHeight="14.4" x14ac:dyDescent="0.3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92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89</v>
      </c>
      <c r="N2" s="31" t="s">
        <v>90</v>
      </c>
      <c r="O2" s="31" t="s">
        <v>91</v>
      </c>
      <c r="P2" s="31" t="s">
        <v>55</v>
      </c>
      <c r="Q2" s="31" t="s">
        <v>80</v>
      </c>
    </row>
    <row r="3" spans="1:17" x14ac:dyDescent="0.3">
      <c r="A3" s="23">
        <f>DETAILS!A3</f>
        <v>1804</v>
      </c>
      <c r="B3" s="3" t="str">
        <f>DETAILS!B3</f>
        <v>AAKRITI SINGH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 t="shared" ref="P3:P41" si="0">SUM(C3:G3)</f>
        <v>0</v>
      </c>
      <c r="Q3" s="27" t="str">
        <f>ROUND(P3/4,2)&amp;" %"</f>
        <v>0 %</v>
      </c>
    </row>
    <row r="4" spans="1:17" x14ac:dyDescent="0.3">
      <c r="A4" s="23">
        <f>DETAILS!A4</f>
        <v>1571</v>
      </c>
      <c r="B4" s="3" t="str">
        <f>DETAILS!B4</f>
        <v>ABHIJEET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si="0"/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1881</v>
      </c>
      <c r="B5" s="3" t="str">
        <f>DETAILS!B5</f>
        <v>ADITI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1559</v>
      </c>
      <c r="B6" s="3" t="str">
        <f>DETAILS!B6</f>
        <v>ADITYA VERMA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1548</v>
      </c>
      <c r="B7" s="3" t="str">
        <f>DETAILS!B7</f>
        <v>ADVIK BAJPAI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7" t="str">
        <f t="shared" si="1"/>
        <v>0 %</v>
      </c>
    </row>
    <row r="8" spans="1:17" x14ac:dyDescent="0.3">
      <c r="A8" s="23">
        <f>DETAILS!A8</f>
        <v>1549</v>
      </c>
      <c r="B8" s="3" t="str">
        <f>DETAILS!B8</f>
        <v>AHEM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1556</v>
      </c>
      <c r="B9" s="3" t="str">
        <f>DETAILS!B9</f>
        <v>AKRATI VISHWAKARMA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1915</v>
      </c>
      <c r="B10" s="3" t="str">
        <f>DETAILS!B10</f>
        <v>AKRITI SHUKLA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1563</v>
      </c>
      <c r="B11" s="3" t="str">
        <f>DETAILS!B11</f>
        <v>ANANYA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1562</v>
      </c>
      <c r="B12" s="3" t="str">
        <f>DETAILS!B12</f>
        <v>ANKITA RAJPOOT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1547</v>
      </c>
      <c r="B13" s="3" t="str">
        <f>DETAILS!B13</f>
        <v>ANSHIKA PANDEY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1644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1566</v>
      </c>
      <c r="B15" s="3" t="str">
        <f>DETAILS!B15</f>
        <v>ARIYAN PAL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1878</v>
      </c>
      <c r="B16" s="3" t="str">
        <f>DETAILS!B16</f>
        <v>AROHI VERMA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1809</v>
      </c>
      <c r="B17" s="3" t="str">
        <f>DETAILS!B17</f>
        <v>ARUNENDRA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1920</v>
      </c>
      <c r="B18" s="3" t="str">
        <f>DETAILS!B18</f>
        <v>ATHARV SINGH CHAUHAN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1569</v>
      </c>
      <c r="B19" s="3" t="str">
        <f>DETAILS!B19</f>
        <v>AVNI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1789</v>
      </c>
      <c r="B20" s="3" t="str">
        <f>DETAILS!B20</f>
        <v>AYUSHI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1673</v>
      </c>
      <c r="B21" s="3" t="str">
        <f>DETAILS!B21</f>
        <v>DEVANSH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1649</v>
      </c>
      <c r="B22" s="3" t="str">
        <f>DETAILS!B22</f>
        <v>DEVISHA TIWARI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1791</v>
      </c>
      <c r="B23" s="3" t="str">
        <f>DETAILS!B23</f>
        <v>DIPANSH SRIVASTAVA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1564</v>
      </c>
      <c r="B24" s="3" t="str">
        <f>DETAILS!B24</f>
        <v>GAURAV YADAV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1573</v>
      </c>
      <c r="B25" s="3" t="str">
        <f>DETAILS!B25</f>
        <v>HARIOM MISHRA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1561</v>
      </c>
      <c r="B26" s="3" t="str">
        <f>DETAILS!B26</f>
        <v>HARSHITA MEENA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1565</v>
      </c>
      <c r="B27" s="3" t="str">
        <f>DETAILS!B27</f>
        <v>JANVI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1870</v>
      </c>
      <c r="B28" s="3" t="str">
        <f>DETAILS!B28</f>
        <v>JANVI SINGH SENGAR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1657</v>
      </c>
      <c r="B29" s="3" t="str">
        <f>DETAILS!B29</f>
        <v>KARNIKA VERMA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1558</v>
      </c>
      <c r="B30" s="3" t="str">
        <f>DETAILS!B30</f>
        <v>KAVYA TIWARI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1906</v>
      </c>
      <c r="B31" s="3" t="str">
        <f>DETAILS!B31</f>
        <v>KHUSHI PATEL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1865</v>
      </c>
      <c r="B32" s="3" t="str">
        <f>DETAILS!B32</f>
        <v>MOHD SAIF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1735</v>
      </c>
      <c r="B33" s="3" t="str">
        <f>DETAILS!B33</f>
        <v>PRAGATI SINGH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1557</v>
      </c>
      <c r="B34" s="3" t="str">
        <f>DETAILS!B34</f>
        <v>PRISHA JAISWAL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1560</v>
      </c>
      <c r="B35" s="3" t="str">
        <f>DETAILS!B35</f>
        <v>SHANTANU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1890</v>
      </c>
      <c r="B36" s="3" t="str">
        <f>DETAILS!B36</f>
        <v>SHIVA YADAV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1575</v>
      </c>
      <c r="B37" s="3" t="str">
        <f>DETAILS!B37</f>
        <v>SHIVIKA VERMA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1732</v>
      </c>
      <c r="B38" s="3" t="str">
        <f>DETAILS!B38</f>
        <v>SUHAN ALI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1706</v>
      </c>
      <c r="B39" s="3" t="str">
        <f>DETAILS!B39</f>
        <v>UTKARSH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1567</v>
      </c>
      <c r="B40" s="3" t="str">
        <f>DETAILS!B40</f>
        <v>VAANYA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1937</v>
      </c>
      <c r="B41" s="3" t="str">
        <f>DETAILS!B41</f>
        <v>VIVAAN  PAL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7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topLeftCell="D1" zoomScale="85" zoomScaleNormal="85" workbookViewId="0">
      <selection activeCell="R3" sqref="R3"/>
    </sheetView>
  </sheetViews>
  <sheetFormatPr defaultRowHeight="14.4" x14ac:dyDescent="0.3"/>
  <cols>
    <col min="2" max="2" width="22.33203125" bestFit="1" customWidth="1"/>
    <col min="3" max="8" width="10.8867187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3" t="s">
        <v>92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89</v>
      </c>
      <c r="N2" s="31" t="s">
        <v>90</v>
      </c>
      <c r="O2" s="31" t="s">
        <v>91</v>
      </c>
      <c r="P2" s="31" t="s">
        <v>55</v>
      </c>
      <c r="Q2" s="31" t="s">
        <v>80</v>
      </c>
    </row>
    <row r="3" spans="1:17" x14ac:dyDescent="0.3">
      <c r="A3" s="23">
        <f>DETAILS!A3</f>
        <v>1804</v>
      </c>
      <c r="B3" s="3" t="str">
        <f>DETAILS!B3</f>
        <v>AAKRITI SINGH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 t="str">
        <f>IFERROR(VLOOKUP(VLOOKUP($A3,'HALF YEARLY(Entry)'!$1:$1048576,9,0),'Grade 50'!$1:$1048576,2,0),VLOOKUP($A3,'HALF YEARLY(Entry)'!$1:$1048576,9,0))</f>
        <v>E</v>
      </c>
      <c r="J3" s="27" t="str">
        <f>IFERROR(VLOOKUP(VLOOKUP($A3,'HALF YEARLY(Entry)'!$1:$1048576,10,0),'Grade 50'!$1:$1048576,2,0),VLOOKUP($A3,'HALF YEARLY(Entry)'!$1:$1048576,10,0))</f>
        <v>E</v>
      </c>
      <c r="K3" s="27">
        <f>VLOOKUP($A3,'HALF YEARLY(Entry)'!$1:$1048576,11,0)</f>
        <v>0</v>
      </c>
      <c r="L3" s="27">
        <f>VLOOKUP($A3,'HALF YEARLY(Entry)'!$1:$1048576,12,0)</f>
        <v>0</v>
      </c>
      <c r="M3" s="27">
        <f>VLOOKUP($A3,'HALF YEARLY(Entry)'!$1:$1048576,13,0)</f>
        <v>0</v>
      </c>
      <c r="N3" s="27">
        <f>VLOOKUP($A3,'HALF YEARLY(Entry)'!$1:$1048576,14,0)</f>
        <v>0</v>
      </c>
      <c r="O3" s="32">
        <f>VLOOKUP($A3,'HALF YEARLY(Entry)'!$1:$1048576,15,0)</f>
        <v>0</v>
      </c>
      <c r="P3" s="27">
        <f>SUM(C3:G3)</f>
        <v>0</v>
      </c>
      <c r="Q3" s="27" t="str">
        <f>ROUND(P3/4,2)&amp;" %"</f>
        <v>0 %</v>
      </c>
    </row>
    <row r="4" spans="1:17" x14ac:dyDescent="0.3">
      <c r="A4" s="23">
        <f>DETAILS!A4</f>
        <v>1571</v>
      </c>
      <c r="B4" s="3" t="str">
        <f>DETAILS!B4</f>
        <v>ABHIJEET PATEL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 t="str">
        <f>IFERROR(VLOOKUP(VLOOKUP($A4,'HALF YEARLY(Entry)'!$1:$1048576,9,0),'Grade 50'!$1:$1048576,2,0),VLOOKUP($A4,'HALF YEARLY(Entry)'!$1:$1048576,9,0))</f>
        <v>E</v>
      </c>
      <c r="J4" s="27" t="str">
        <f>IFERROR(VLOOKUP(VLOOKUP(A4,'HALF YEARLY(Entry)'!$1:$1048576,10,0),'Grade 50'!$1:$1048576,2,0),VLOOKUP(A4,'HALF YEARLY(Entry)'!$1:$1048576,10,0))</f>
        <v>E</v>
      </c>
      <c r="K4" s="27">
        <f>VLOOKUP($A4,'HALF YEARLY(Entry)'!$1:$1048576,11,0)</f>
        <v>0</v>
      </c>
      <c r="L4" s="27">
        <f>VLOOKUP($A4,'HALF YEARLY(Entry)'!$1:$1048576,12,0)</f>
        <v>0</v>
      </c>
      <c r="M4" s="27">
        <f>VLOOKUP($A4,'HALF YEARLY(Entry)'!$1:$1048576,13,0)</f>
        <v>0</v>
      </c>
      <c r="N4" s="27">
        <f>VLOOKUP($A4,'HALF YEARLY(Entry)'!$1:$1048576,14,0)</f>
        <v>0</v>
      </c>
      <c r="O4" s="32">
        <f>VLOOKUP($A4,'HALF YEARLY(Entry)'!$1:$1048576,15,0)</f>
        <v>0</v>
      </c>
      <c r="P4" s="27">
        <f t="shared" ref="P4:P41" si="0">SUM(C4:G4)</f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1881</v>
      </c>
      <c r="B5" s="3" t="str">
        <f>DETAILS!B5</f>
        <v>ADITI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 t="str">
        <f>IFERROR(VLOOKUP(VLOOKUP($A5,'HALF YEARLY(Entry)'!$1:$1048576,9,0),'Grade 50'!$1:$1048576,2,0),VLOOKUP($A5,'HALF YEARLY(Entry)'!$1:$1048576,9,0))</f>
        <v>E</v>
      </c>
      <c r="J5" s="27" t="str">
        <f>IFERROR(VLOOKUP(VLOOKUP(A5,'HALF YEARLY(Entry)'!$1:$1048576,10,0),'Grade 50'!$1:$1048576,2,0),VLOOKUP(A5,'HALF YEARLY(Entry)'!$1:$1048576,10,0))</f>
        <v>E</v>
      </c>
      <c r="K5" s="27">
        <f>VLOOKUP($A5,'HALF YEARLY(Entry)'!$1:$1048576,11,0)</f>
        <v>0</v>
      </c>
      <c r="L5" s="27">
        <f>VLOOKUP($A5,'HALF YEARLY(Entry)'!$1:$1048576,12,0)</f>
        <v>0</v>
      </c>
      <c r="M5" s="27">
        <f>VLOOKUP($A5,'HALF YEARLY(Entry)'!$1:$1048576,13,0)</f>
        <v>0</v>
      </c>
      <c r="N5" s="27">
        <f>VLOOKUP($A5,'HALF YEARLY(Entry)'!$1:$1048576,14,0)</f>
        <v>0</v>
      </c>
      <c r="O5" s="32">
        <f>VLOOKUP($A5,'HALF YEARLY(Entry)'!$1:$1048576,15,0)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1559</v>
      </c>
      <c r="B6" s="3" t="str">
        <f>DETAILS!B6</f>
        <v>ADITYA VERMA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 t="str">
        <f>IFERROR(VLOOKUP(VLOOKUP($A6,'HALF YEARLY(Entry)'!$1:$1048576,9,0),'Grade 50'!$1:$1048576,2,0),VLOOKUP($A6,'HALF YEARLY(Entry)'!$1:$1048576,9,0))</f>
        <v>E</v>
      </c>
      <c r="J6" s="27" t="str">
        <f>IFERROR(VLOOKUP(VLOOKUP(A6,'HALF YEARLY(Entry)'!$1:$1048576,10,0),'Grade 50'!$1:$1048576,2,0),VLOOKUP(A6,'HALF YEARLY(Entry)'!$1:$1048576,10,0))</f>
        <v>E</v>
      </c>
      <c r="K6" s="27">
        <f>VLOOKUP($A6,'HALF YEARLY(Entry)'!$1:$1048576,11,0)</f>
        <v>0</v>
      </c>
      <c r="L6" s="27">
        <f>VLOOKUP($A6,'HALF YEARLY(Entry)'!$1:$1048576,12,0)</f>
        <v>0</v>
      </c>
      <c r="M6" s="27">
        <f>VLOOKUP($A6,'HALF YEARLY(Entry)'!$1:$1048576,13,0)</f>
        <v>0</v>
      </c>
      <c r="N6" s="27">
        <f>VLOOKUP($A6,'HALF YEARLY(Entry)'!$1:$1048576,14,0)</f>
        <v>0</v>
      </c>
      <c r="O6" s="32">
        <f>VLOOKUP($A6,'HALF YEARLY(Entry)'!$1:$1048576,15,0)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1548</v>
      </c>
      <c r="B7" s="3" t="str">
        <f>DETAILS!B7</f>
        <v>ADVIK BAJPAI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 t="str">
        <f>IFERROR(VLOOKUP(VLOOKUP($A7,'HALF YEARLY(Entry)'!$1:$1048576,9,0),'Grade 50'!$1:$1048576,2,0),VLOOKUP($A7,'HALF YEARLY(Entry)'!$1:$1048576,9,0))</f>
        <v>E</v>
      </c>
      <c r="J7" s="27" t="str">
        <f>IFERROR(VLOOKUP(VLOOKUP(A7,'HALF YEARLY(Entry)'!$1:$1048576,10,0),'Grade 50'!$1:$1048576,2,0),VLOOKUP(A7,'HALF YEARLY(Entry)'!$1:$1048576,10,0))</f>
        <v>E</v>
      </c>
      <c r="K7" s="27">
        <f>VLOOKUP($A7,'HALF YEARLY(Entry)'!$1:$1048576,11,0)</f>
        <v>0</v>
      </c>
      <c r="L7" s="27">
        <f>VLOOKUP($A7,'HALF YEARLY(Entry)'!$1:$1048576,12,0)</f>
        <v>0</v>
      </c>
      <c r="M7" s="27">
        <f>VLOOKUP($A7,'HALF YEARLY(Entry)'!$1:$1048576,13,0)</f>
        <v>0</v>
      </c>
      <c r="N7" s="27">
        <f>VLOOKUP($A7,'HALF YEARLY(Entry)'!$1:$1048576,14,0)</f>
        <v>0</v>
      </c>
      <c r="O7" s="32">
        <f>VLOOKUP($A7,'HALF YEARLY(Entry)'!$1:$1048576,15,0)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1549</v>
      </c>
      <c r="B8" s="3" t="str">
        <f>DETAILS!B8</f>
        <v>AHEM SHARMA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 t="str">
        <f>IFERROR(VLOOKUP(VLOOKUP($A8,'HALF YEARLY(Entry)'!$1:$1048576,9,0),'Grade 50'!$1:$1048576,2,0),VLOOKUP($A8,'HALF YEARLY(Entry)'!$1:$1048576,9,0))</f>
        <v>E</v>
      </c>
      <c r="J8" s="27" t="str">
        <f>IFERROR(VLOOKUP(VLOOKUP(A8,'HALF YEARLY(Entry)'!$1:$1048576,10,0),'Grade 50'!$1:$1048576,2,0),VLOOKUP(A8,'HALF YEARLY(Entry)'!$1:$1048576,10,0))</f>
        <v>E</v>
      </c>
      <c r="K8" s="27">
        <f>VLOOKUP($A8,'HALF YEARLY(Entry)'!$1:$1048576,11,0)</f>
        <v>0</v>
      </c>
      <c r="L8" s="27">
        <f>VLOOKUP($A8,'HALF YEARLY(Entry)'!$1:$1048576,12,0)</f>
        <v>0</v>
      </c>
      <c r="M8" s="27">
        <f>VLOOKUP($A8,'HALF YEARLY(Entry)'!$1:$1048576,13,0)</f>
        <v>0</v>
      </c>
      <c r="N8" s="27">
        <f>VLOOKUP($A8,'HALF YEARLY(Entry)'!$1:$1048576,14,0)</f>
        <v>0</v>
      </c>
      <c r="O8" s="32">
        <f>VLOOKUP($A8,'HALF YEARLY(Entry)'!$1:$1048576,15,0)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1556</v>
      </c>
      <c r="B9" s="3" t="str">
        <f>DETAILS!B9</f>
        <v>AKRATI VISHWAKARMA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 t="str">
        <f>IFERROR(VLOOKUP(VLOOKUP($A9,'HALF YEARLY(Entry)'!$1:$1048576,9,0),'Grade 50'!$1:$1048576,2,0),VLOOKUP($A9,'HALF YEARLY(Entry)'!$1:$1048576,9,0))</f>
        <v>E</v>
      </c>
      <c r="J9" s="27" t="str">
        <f>IFERROR(VLOOKUP(VLOOKUP(A9,'HALF YEARLY(Entry)'!$1:$1048576,10,0),'Grade 50'!$1:$1048576,2,0),VLOOKUP(A9,'HALF YEARLY(Entry)'!$1:$1048576,10,0))</f>
        <v>E</v>
      </c>
      <c r="K9" s="27">
        <f>VLOOKUP($A9,'HALF YEARLY(Entry)'!$1:$1048576,11,0)</f>
        <v>0</v>
      </c>
      <c r="L9" s="27">
        <f>VLOOKUP($A9,'HALF YEARLY(Entry)'!$1:$1048576,12,0)</f>
        <v>0</v>
      </c>
      <c r="M9" s="27">
        <f>VLOOKUP($A9,'HALF YEARLY(Entry)'!$1:$1048576,13,0)</f>
        <v>0</v>
      </c>
      <c r="N9" s="27">
        <f>VLOOKUP($A9,'HALF YEARLY(Entry)'!$1:$1048576,14,0)</f>
        <v>0</v>
      </c>
      <c r="O9" s="32">
        <f>VLOOKUP($A9,'HALF YEARLY(Entry)'!$1:$1048576,15,0)</f>
        <v>0</v>
      </c>
      <c r="P9" s="27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1915</v>
      </c>
      <c r="B10" s="3" t="str">
        <f>DETAILS!B10</f>
        <v>AKRITI SHUKLA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 t="str">
        <f>IFERROR(VLOOKUP(VLOOKUP($A10,'HALF YEARLY(Entry)'!$1:$1048576,9,0),'Grade 50'!$1:$1048576,2,0),VLOOKUP($A10,'HALF YEARLY(Entry)'!$1:$1048576,9,0))</f>
        <v>E</v>
      </c>
      <c r="J10" s="27" t="str">
        <f>IFERROR(VLOOKUP(VLOOKUP(A10,'HALF YEARLY(Entry)'!$1:$1048576,10,0),'Grade 50'!$1:$1048576,2,0),VLOOKUP(A10,'HALF YEARLY(Entry)'!$1:$1048576,10,0))</f>
        <v>E</v>
      </c>
      <c r="K10" s="27">
        <f>VLOOKUP($A10,'HALF YEARLY(Entry)'!$1:$1048576,11,0)</f>
        <v>0</v>
      </c>
      <c r="L10" s="27">
        <f>VLOOKUP($A10,'HALF YEARLY(Entry)'!$1:$1048576,12,0)</f>
        <v>0</v>
      </c>
      <c r="M10" s="27">
        <f>VLOOKUP($A10,'HALF YEARLY(Entry)'!$1:$1048576,13,0)</f>
        <v>0</v>
      </c>
      <c r="N10" s="27">
        <f>VLOOKUP($A10,'HALF YEARLY(Entry)'!$1:$1048576,14,0)</f>
        <v>0</v>
      </c>
      <c r="O10" s="32">
        <f>VLOOKUP($A10,'HALF YEARLY(Entry)'!$1:$1048576,15,0)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1563</v>
      </c>
      <c r="B11" s="3" t="str">
        <f>DETAILS!B11</f>
        <v>ANANYA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 t="str">
        <f>IFERROR(VLOOKUP(VLOOKUP($A11,'HALF YEARLY(Entry)'!$1:$1048576,9,0),'Grade 50'!$1:$1048576,2,0),VLOOKUP($A11,'HALF YEARLY(Entry)'!$1:$1048576,9,0))</f>
        <v>E</v>
      </c>
      <c r="J11" s="27" t="str">
        <f>IFERROR(VLOOKUP(VLOOKUP(A11,'HALF YEARLY(Entry)'!$1:$1048576,10,0),'Grade 50'!$1:$1048576,2,0),VLOOKUP(A11,'HALF YEARLY(Entry)'!$1:$1048576,10,0))</f>
        <v>E</v>
      </c>
      <c r="K11" s="27">
        <f>VLOOKUP($A11,'HALF YEARLY(Entry)'!$1:$1048576,11,0)</f>
        <v>0</v>
      </c>
      <c r="L11" s="27">
        <f>VLOOKUP($A11,'HALF YEARLY(Entry)'!$1:$1048576,12,0)</f>
        <v>0</v>
      </c>
      <c r="M11" s="27">
        <f>VLOOKUP($A11,'HALF YEARLY(Entry)'!$1:$1048576,13,0)</f>
        <v>0</v>
      </c>
      <c r="N11" s="27">
        <f>VLOOKUP($A11,'HALF YEARLY(Entry)'!$1:$1048576,14,0)</f>
        <v>0</v>
      </c>
      <c r="O11" s="32">
        <f>VLOOKUP($A11,'HALF YEARLY(Entry)'!$1:$1048576,15,0)</f>
        <v>0</v>
      </c>
      <c r="P11" s="27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1562</v>
      </c>
      <c r="B12" s="3" t="str">
        <f>DETAILS!B12</f>
        <v>ANKITA RAJPOOT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 t="str">
        <f>IFERROR(VLOOKUP(VLOOKUP($A12,'HALF YEARLY(Entry)'!$1:$1048576,9,0),'Grade 50'!$1:$1048576,2,0),VLOOKUP($A12,'HALF YEARLY(Entry)'!$1:$1048576,9,0))</f>
        <v>E</v>
      </c>
      <c r="J12" s="27" t="str">
        <f>IFERROR(VLOOKUP(VLOOKUP(A12,'HALF YEARLY(Entry)'!$1:$1048576,10,0),'Grade 50'!$1:$1048576,2,0),VLOOKUP(A12,'HALF YEARLY(Entry)'!$1:$1048576,10,0))</f>
        <v>E</v>
      </c>
      <c r="K12" s="27">
        <f>VLOOKUP($A12,'HALF YEARLY(Entry)'!$1:$1048576,11,0)</f>
        <v>0</v>
      </c>
      <c r="L12" s="27">
        <f>VLOOKUP($A12,'HALF YEARLY(Entry)'!$1:$1048576,12,0)</f>
        <v>0</v>
      </c>
      <c r="M12" s="27">
        <f>VLOOKUP($A12,'HALF YEARLY(Entry)'!$1:$1048576,13,0)</f>
        <v>0</v>
      </c>
      <c r="N12" s="27">
        <f>VLOOKUP($A12,'HALF YEARLY(Entry)'!$1:$1048576,14,0)</f>
        <v>0</v>
      </c>
      <c r="O12" s="32">
        <f>VLOOKUP($A12,'HALF YEARLY(Entry)'!$1:$1048576,15,0)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1547</v>
      </c>
      <c r="B13" s="3" t="str">
        <f>DETAILS!B13</f>
        <v>ANSHIKA PANDEY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 t="str">
        <f>IFERROR(VLOOKUP(VLOOKUP($A13,'HALF YEARLY(Entry)'!$1:$1048576,9,0),'Grade 50'!$1:$1048576,2,0),VLOOKUP($A13,'HALF YEARLY(Entry)'!$1:$1048576,9,0))</f>
        <v>E</v>
      </c>
      <c r="J13" s="27" t="str">
        <f>IFERROR(VLOOKUP(VLOOKUP(A13,'HALF YEARLY(Entry)'!$1:$1048576,10,0),'Grade 50'!$1:$1048576,2,0),VLOOKUP(A13,'HALF YEARLY(Entry)'!$1:$1048576,10,0))</f>
        <v>E</v>
      </c>
      <c r="K13" s="27">
        <f>VLOOKUP($A13,'HALF YEARLY(Entry)'!$1:$1048576,11,0)</f>
        <v>0</v>
      </c>
      <c r="L13" s="27">
        <f>VLOOKUP($A13,'HALF YEARLY(Entry)'!$1:$1048576,12,0)</f>
        <v>0</v>
      </c>
      <c r="M13" s="27">
        <f>VLOOKUP($A13,'HALF YEARLY(Entry)'!$1:$1048576,13,0)</f>
        <v>0</v>
      </c>
      <c r="N13" s="27">
        <f>VLOOKUP($A13,'HALF YEARLY(Entry)'!$1:$1048576,14,0)</f>
        <v>0</v>
      </c>
      <c r="O13" s="32">
        <f>VLOOKUP($A13,'HALF YEARLY(Entry)'!$1:$1048576,15,0)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1644</v>
      </c>
      <c r="B14" s="3" t="str">
        <f>DETAILS!B14</f>
        <v>ARADHYA SINGH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 t="str">
        <f>IFERROR(VLOOKUP(VLOOKUP($A14,'HALF YEARLY(Entry)'!$1:$1048576,9,0),'Grade 50'!$1:$1048576,2,0),VLOOKUP($A14,'HALF YEARLY(Entry)'!$1:$1048576,9,0))</f>
        <v>E</v>
      </c>
      <c r="J14" s="27" t="str">
        <f>IFERROR(VLOOKUP(VLOOKUP(A14,'HALF YEARLY(Entry)'!$1:$1048576,10,0),'Grade 50'!$1:$1048576,2,0),VLOOKUP(A14,'HALF YEARLY(Entry)'!$1:$1048576,10,0))</f>
        <v>E</v>
      </c>
      <c r="K14" s="27">
        <f>VLOOKUP($A14,'HALF YEARLY(Entry)'!$1:$1048576,11,0)</f>
        <v>0</v>
      </c>
      <c r="L14" s="27">
        <f>VLOOKUP($A14,'HALF YEARLY(Entry)'!$1:$1048576,12,0)</f>
        <v>0</v>
      </c>
      <c r="M14" s="27">
        <f>VLOOKUP($A14,'HALF YEARLY(Entry)'!$1:$1048576,13,0)</f>
        <v>0</v>
      </c>
      <c r="N14" s="27">
        <f>VLOOKUP($A14,'HALF YEARLY(Entry)'!$1:$1048576,14,0)</f>
        <v>0</v>
      </c>
      <c r="O14" s="32">
        <f>VLOOKUP($A14,'HALF YEARLY(Entry)'!$1:$1048576,15,0)</f>
        <v>0</v>
      </c>
      <c r="P14" s="27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1566</v>
      </c>
      <c r="B15" s="3" t="str">
        <f>DETAILS!B15</f>
        <v>ARIYAN PAL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 t="str">
        <f>IFERROR(VLOOKUP(VLOOKUP($A15,'HALF YEARLY(Entry)'!$1:$1048576,9,0),'Grade 50'!$1:$1048576,2,0),VLOOKUP($A15,'HALF YEARLY(Entry)'!$1:$1048576,9,0))</f>
        <v>E</v>
      </c>
      <c r="J15" s="27" t="str">
        <f>IFERROR(VLOOKUP(VLOOKUP(A15,'HALF YEARLY(Entry)'!$1:$1048576,10,0),'Grade 50'!$1:$1048576,2,0),VLOOKUP(A15,'HALF YEARLY(Entry)'!$1:$1048576,10,0))</f>
        <v>E</v>
      </c>
      <c r="K15" s="27">
        <f>VLOOKUP($A15,'HALF YEARLY(Entry)'!$1:$1048576,11,0)</f>
        <v>0</v>
      </c>
      <c r="L15" s="27">
        <f>VLOOKUP($A15,'HALF YEARLY(Entry)'!$1:$1048576,12,0)</f>
        <v>0</v>
      </c>
      <c r="M15" s="27">
        <f>VLOOKUP($A15,'HALF YEARLY(Entry)'!$1:$1048576,13,0)</f>
        <v>0</v>
      </c>
      <c r="N15" s="27">
        <f>VLOOKUP($A15,'HALF YEARLY(Entry)'!$1:$1048576,14,0)</f>
        <v>0</v>
      </c>
      <c r="O15" s="32">
        <f>VLOOKUP($A15,'HALF YEARLY(Entry)'!$1:$1048576,15,0)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1878</v>
      </c>
      <c r="B16" s="3" t="str">
        <f>DETAILS!B16</f>
        <v>AROHI VERMA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 t="str">
        <f>IFERROR(VLOOKUP(VLOOKUP($A16,'HALF YEARLY(Entry)'!$1:$1048576,9,0),'Grade 50'!$1:$1048576,2,0),VLOOKUP($A16,'HALF YEARLY(Entry)'!$1:$1048576,9,0))</f>
        <v>E</v>
      </c>
      <c r="J16" s="27" t="str">
        <f>IFERROR(VLOOKUP(VLOOKUP(A16,'HALF YEARLY(Entry)'!$1:$1048576,10,0),'Grade 50'!$1:$1048576,2,0),VLOOKUP(A16,'HALF YEARLY(Entry)'!$1:$1048576,10,0))</f>
        <v>E</v>
      </c>
      <c r="K16" s="27">
        <f>VLOOKUP($A16,'HALF YEARLY(Entry)'!$1:$1048576,11,0)</f>
        <v>0</v>
      </c>
      <c r="L16" s="27">
        <f>VLOOKUP($A16,'HALF YEARLY(Entry)'!$1:$1048576,12,0)</f>
        <v>0</v>
      </c>
      <c r="M16" s="27">
        <f>VLOOKUP($A16,'HALF YEARLY(Entry)'!$1:$1048576,13,0)</f>
        <v>0</v>
      </c>
      <c r="N16" s="27">
        <f>VLOOKUP($A16,'HALF YEARLY(Entry)'!$1:$1048576,14,0)</f>
        <v>0</v>
      </c>
      <c r="O16" s="32">
        <f>VLOOKUP($A16,'HALF YEARLY(Entry)'!$1:$1048576,15,0)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1809</v>
      </c>
      <c r="B17" s="3" t="str">
        <f>DETAILS!B17</f>
        <v>ARUNENDRA PRATAP SINGH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 t="str">
        <f>IFERROR(VLOOKUP(VLOOKUP($A17,'HALF YEARLY(Entry)'!$1:$1048576,9,0),'Grade 50'!$1:$1048576,2,0),VLOOKUP($A17,'HALF YEARLY(Entry)'!$1:$1048576,9,0))</f>
        <v>E</v>
      </c>
      <c r="J17" s="27" t="str">
        <f>IFERROR(VLOOKUP(VLOOKUP(A17,'HALF YEARLY(Entry)'!$1:$1048576,10,0),'Grade 50'!$1:$1048576,2,0),VLOOKUP(A17,'HALF YEARLY(Entry)'!$1:$1048576,10,0))</f>
        <v>E</v>
      </c>
      <c r="K17" s="27">
        <f>VLOOKUP($A17,'HALF YEARLY(Entry)'!$1:$1048576,11,0)</f>
        <v>0</v>
      </c>
      <c r="L17" s="27">
        <f>VLOOKUP($A17,'HALF YEARLY(Entry)'!$1:$1048576,12,0)</f>
        <v>0</v>
      </c>
      <c r="M17" s="27">
        <f>VLOOKUP($A17,'HALF YEARLY(Entry)'!$1:$1048576,13,0)</f>
        <v>0</v>
      </c>
      <c r="N17" s="27">
        <f>VLOOKUP($A17,'HALF YEARLY(Entry)'!$1:$1048576,14,0)</f>
        <v>0</v>
      </c>
      <c r="O17" s="32">
        <f>VLOOKUP($A17,'HALF YEARLY(Entry)'!$1:$1048576,15,0)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1920</v>
      </c>
      <c r="B18" s="3" t="str">
        <f>DETAILS!B18</f>
        <v>ATHARV SINGH CHAUHAN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 t="str">
        <f>IFERROR(VLOOKUP(VLOOKUP($A18,'HALF YEARLY(Entry)'!$1:$1048576,9,0),'Grade 50'!$1:$1048576,2,0),VLOOKUP($A18,'HALF YEARLY(Entry)'!$1:$1048576,9,0))</f>
        <v>E</v>
      </c>
      <c r="J18" s="27" t="str">
        <f>IFERROR(VLOOKUP(VLOOKUP(A18,'HALF YEARLY(Entry)'!$1:$1048576,10,0),'Grade 50'!$1:$1048576,2,0),VLOOKUP(A18,'HALF YEARLY(Entry)'!$1:$1048576,10,0))</f>
        <v>E</v>
      </c>
      <c r="K18" s="27">
        <f>VLOOKUP($A18,'HALF YEARLY(Entry)'!$1:$1048576,11,0)</f>
        <v>0</v>
      </c>
      <c r="L18" s="27">
        <f>VLOOKUP($A18,'HALF YEARLY(Entry)'!$1:$1048576,12,0)</f>
        <v>0</v>
      </c>
      <c r="M18" s="27">
        <f>VLOOKUP($A18,'HALF YEARLY(Entry)'!$1:$1048576,13,0)</f>
        <v>0</v>
      </c>
      <c r="N18" s="27">
        <f>VLOOKUP($A18,'HALF YEARLY(Entry)'!$1:$1048576,14,0)</f>
        <v>0</v>
      </c>
      <c r="O18" s="32">
        <f>VLOOKUP($A18,'HALF YEARLY(Entry)'!$1:$1048576,15,0)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1569</v>
      </c>
      <c r="B19" s="3" t="str">
        <f>DETAILS!B19</f>
        <v>AVNI VERMA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 t="str">
        <f>IFERROR(VLOOKUP(VLOOKUP($A19,'HALF YEARLY(Entry)'!$1:$1048576,9,0),'Grade 50'!$1:$1048576,2,0),VLOOKUP($A19,'HALF YEARLY(Entry)'!$1:$1048576,9,0))</f>
        <v>E</v>
      </c>
      <c r="J19" s="27" t="str">
        <f>IFERROR(VLOOKUP(VLOOKUP(A19,'HALF YEARLY(Entry)'!$1:$1048576,10,0),'Grade 50'!$1:$1048576,2,0),VLOOKUP(A19,'HALF YEARLY(Entry)'!$1:$1048576,10,0))</f>
        <v>E</v>
      </c>
      <c r="K19" s="27">
        <f>VLOOKUP($A19,'HALF YEARLY(Entry)'!$1:$1048576,11,0)</f>
        <v>0</v>
      </c>
      <c r="L19" s="27">
        <f>VLOOKUP($A19,'HALF YEARLY(Entry)'!$1:$1048576,12,0)</f>
        <v>0</v>
      </c>
      <c r="M19" s="27">
        <f>VLOOKUP($A19,'HALF YEARLY(Entry)'!$1:$1048576,13,0)</f>
        <v>0</v>
      </c>
      <c r="N19" s="27">
        <f>VLOOKUP($A19,'HALF YEARLY(Entry)'!$1:$1048576,14,0)</f>
        <v>0</v>
      </c>
      <c r="O19" s="32">
        <f>VLOOKUP($A19,'HALF YEARLY(Entry)'!$1:$1048576,15,0)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1789</v>
      </c>
      <c r="B20" s="3" t="str">
        <f>DETAILS!B20</f>
        <v>AYUSHI YADAV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 t="str">
        <f>IFERROR(VLOOKUP(VLOOKUP($A20,'HALF YEARLY(Entry)'!$1:$1048576,9,0),'Grade 50'!$1:$1048576,2,0),VLOOKUP($A20,'HALF YEARLY(Entry)'!$1:$1048576,9,0))</f>
        <v>E</v>
      </c>
      <c r="J20" s="27" t="str">
        <f>IFERROR(VLOOKUP(VLOOKUP(A20,'HALF YEARLY(Entry)'!$1:$1048576,10,0),'Grade 50'!$1:$1048576,2,0),VLOOKUP(A20,'HALF YEARLY(Entry)'!$1:$1048576,10,0))</f>
        <v>E</v>
      </c>
      <c r="K20" s="27">
        <f>VLOOKUP($A20,'HALF YEARLY(Entry)'!$1:$1048576,11,0)</f>
        <v>0</v>
      </c>
      <c r="L20" s="27">
        <f>VLOOKUP($A20,'HALF YEARLY(Entry)'!$1:$1048576,12,0)</f>
        <v>0</v>
      </c>
      <c r="M20" s="27">
        <f>VLOOKUP($A20,'HALF YEARLY(Entry)'!$1:$1048576,13,0)</f>
        <v>0</v>
      </c>
      <c r="N20" s="27">
        <f>VLOOKUP($A20,'HALF YEARLY(Entry)'!$1:$1048576,14,0)</f>
        <v>0</v>
      </c>
      <c r="O20" s="32">
        <f>VLOOKUP($A20,'HALF YEARLY(Entry)'!$1:$1048576,15,0)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1673</v>
      </c>
      <c r="B21" s="3" t="str">
        <f>DETAILS!B21</f>
        <v>DEVANSH SINGH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 t="str">
        <f>IFERROR(VLOOKUP(VLOOKUP($A21,'HALF YEARLY(Entry)'!$1:$1048576,9,0),'Grade 50'!$1:$1048576,2,0),VLOOKUP($A21,'HALF YEARLY(Entry)'!$1:$1048576,9,0))</f>
        <v>E</v>
      </c>
      <c r="J21" s="27" t="str">
        <f>IFERROR(VLOOKUP(VLOOKUP(A21,'HALF YEARLY(Entry)'!$1:$1048576,10,0),'Grade 50'!$1:$1048576,2,0),VLOOKUP(A21,'HALF YEARLY(Entry)'!$1:$1048576,10,0))</f>
        <v>E</v>
      </c>
      <c r="K21" s="27">
        <f>VLOOKUP($A21,'HALF YEARLY(Entry)'!$1:$1048576,11,0)</f>
        <v>0</v>
      </c>
      <c r="L21" s="27">
        <f>VLOOKUP($A21,'HALF YEARLY(Entry)'!$1:$1048576,12,0)</f>
        <v>0</v>
      </c>
      <c r="M21" s="27">
        <f>VLOOKUP($A21,'HALF YEARLY(Entry)'!$1:$1048576,13,0)</f>
        <v>0</v>
      </c>
      <c r="N21" s="27">
        <f>VLOOKUP($A21,'HALF YEARLY(Entry)'!$1:$1048576,14,0)</f>
        <v>0</v>
      </c>
      <c r="O21" s="32">
        <f>VLOOKUP($A21,'HALF YEARLY(Entry)'!$1:$1048576,15,0)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1649</v>
      </c>
      <c r="B22" s="3" t="str">
        <f>DETAILS!B22</f>
        <v>DEVISHA TIWARI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 t="str">
        <f>IFERROR(VLOOKUP(VLOOKUP($A22,'HALF YEARLY(Entry)'!$1:$1048576,9,0),'Grade 50'!$1:$1048576,2,0),VLOOKUP($A22,'HALF YEARLY(Entry)'!$1:$1048576,9,0))</f>
        <v>E</v>
      </c>
      <c r="J22" s="27" t="str">
        <f>IFERROR(VLOOKUP(VLOOKUP(A22,'HALF YEARLY(Entry)'!$1:$1048576,10,0),'Grade 50'!$1:$1048576,2,0),VLOOKUP(A22,'HALF YEARLY(Entry)'!$1:$1048576,10,0))</f>
        <v>E</v>
      </c>
      <c r="K22" s="27">
        <f>VLOOKUP($A22,'HALF YEARLY(Entry)'!$1:$1048576,11,0)</f>
        <v>0</v>
      </c>
      <c r="L22" s="27">
        <f>VLOOKUP($A22,'HALF YEARLY(Entry)'!$1:$1048576,12,0)</f>
        <v>0</v>
      </c>
      <c r="M22" s="27">
        <f>VLOOKUP($A22,'HALF YEARLY(Entry)'!$1:$1048576,13,0)</f>
        <v>0</v>
      </c>
      <c r="N22" s="27">
        <f>VLOOKUP($A22,'HALF YEARLY(Entry)'!$1:$1048576,14,0)</f>
        <v>0</v>
      </c>
      <c r="O22" s="32">
        <f>VLOOKUP($A22,'HALF YEARLY(Entry)'!$1:$1048576,15,0)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1791</v>
      </c>
      <c r="B23" s="3" t="str">
        <f>DETAILS!B23</f>
        <v>DIPANSH SRIVASTAVA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 t="str">
        <f>IFERROR(VLOOKUP(VLOOKUP($A23,'HALF YEARLY(Entry)'!$1:$1048576,9,0),'Grade 50'!$1:$1048576,2,0),VLOOKUP($A23,'HALF YEARLY(Entry)'!$1:$1048576,9,0))</f>
        <v>E</v>
      </c>
      <c r="J23" s="27" t="str">
        <f>IFERROR(VLOOKUP(VLOOKUP(A23,'HALF YEARLY(Entry)'!$1:$1048576,10,0),'Grade 50'!$1:$1048576,2,0),VLOOKUP(A23,'HALF YEARLY(Entry)'!$1:$1048576,10,0))</f>
        <v>E</v>
      </c>
      <c r="K23" s="27">
        <f>VLOOKUP($A23,'HALF YEARLY(Entry)'!$1:$1048576,11,0)</f>
        <v>0</v>
      </c>
      <c r="L23" s="27">
        <f>VLOOKUP($A23,'HALF YEARLY(Entry)'!$1:$1048576,12,0)</f>
        <v>0</v>
      </c>
      <c r="M23" s="27">
        <f>VLOOKUP($A23,'HALF YEARLY(Entry)'!$1:$1048576,13,0)</f>
        <v>0</v>
      </c>
      <c r="N23" s="27">
        <f>VLOOKUP($A23,'HALF YEARLY(Entry)'!$1:$1048576,14,0)</f>
        <v>0</v>
      </c>
      <c r="O23" s="32">
        <f>VLOOKUP($A23,'HALF YEARLY(Entry)'!$1:$1048576,15,0)</f>
        <v>0</v>
      </c>
      <c r="P23" s="27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1564</v>
      </c>
      <c r="B24" s="3" t="str">
        <f>DETAILS!B24</f>
        <v>GAURAV YADAV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 t="str">
        <f>IFERROR(VLOOKUP(VLOOKUP($A24,'HALF YEARLY(Entry)'!$1:$1048576,9,0),'Grade 50'!$1:$1048576,2,0),VLOOKUP($A24,'HALF YEARLY(Entry)'!$1:$1048576,9,0))</f>
        <v>E</v>
      </c>
      <c r="J24" s="27" t="str">
        <f>IFERROR(VLOOKUP(VLOOKUP(A24,'HALF YEARLY(Entry)'!$1:$1048576,10,0),'Grade 50'!$1:$1048576,2,0),VLOOKUP(A24,'HALF YEARLY(Entry)'!$1:$1048576,10,0))</f>
        <v>E</v>
      </c>
      <c r="K24" s="27">
        <f>VLOOKUP($A24,'HALF YEARLY(Entry)'!$1:$1048576,11,0)</f>
        <v>0</v>
      </c>
      <c r="L24" s="27">
        <f>VLOOKUP($A24,'HALF YEARLY(Entry)'!$1:$1048576,12,0)</f>
        <v>0</v>
      </c>
      <c r="M24" s="27">
        <f>VLOOKUP($A24,'HALF YEARLY(Entry)'!$1:$1048576,13,0)</f>
        <v>0</v>
      </c>
      <c r="N24" s="27">
        <f>VLOOKUP($A24,'HALF YEARLY(Entry)'!$1:$1048576,14,0)</f>
        <v>0</v>
      </c>
      <c r="O24" s="32">
        <f>VLOOKUP($A24,'HALF YEARLY(Entry)'!$1:$1048576,15,0)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1573</v>
      </c>
      <c r="B25" s="3" t="str">
        <f>DETAILS!B25</f>
        <v>HARIOM MISHRA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 t="str">
        <f>IFERROR(VLOOKUP(VLOOKUP($A25,'HALF YEARLY(Entry)'!$1:$1048576,9,0),'Grade 50'!$1:$1048576,2,0),VLOOKUP($A25,'HALF YEARLY(Entry)'!$1:$1048576,9,0))</f>
        <v>E</v>
      </c>
      <c r="J25" s="27" t="str">
        <f>IFERROR(VLOOKUP(VLOOKUP(A25,'HALF YEARLY(Entry)'!$1:$1048576,10,0),'Grade 50'!$1:$1048576,2,0),VLOOKUP(A25,'HALF YEARLY(Entry)'!$1:$1048576,10,0))</f>
        <v>E</v>
      </c>
      <c r="K25" s="27">
        <f>VLOOKUP($A25,'HALF YEARLY(Entry)'!$1:$1048576,11,0)</f>
        <v>0</v>
      </c>
      <c r="L25" s="27">
        <f>VLOOKUP($A25,'HALF YEARLY(Entry)'!$1:$1048576,12,0)</f>
        <v>0</v>
      </c>
      <c r="M25" s="27">
        <f>VLOOKUP($A25,'HALF YEARLY(Entry)'!$1:$1048576,13,0)</f>
        <v>0</v>
      </c>
      <c r="N25" s="27">
        <f>VLOOKUP($A25,'HALF YEARLY(Entry)'!$1:$1048576,14,0)</f>
        <v>0</v>
      </c>
      <c r="O25" s="32">
        <f>VLOOKUP($A25,'HALF YEARLY(Entry)'!$1:$1048576,15,0)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1561</v>
      </c>
      <c r="B26" s="3" t="str">
        <f>DETAILS!B26</f>
        <v>HARSHITA MEENA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 t="str">
        <f>IFERROR(VLOOKUP(VLOOKUP($A26,'HALF YEARLY(Entry)'!$1:$1048576,9,0),'Grade 50'!$1:$1048576,2,0),VLOOKUP($A26,'HALF YEARLY(Entry)'!$1:$1048576,9,0))</f>
        <v>E</v>
      </c>
      <c r="J26" s="27" t="str">
        <f>IFERROR(VLOOKUP(VLOOKUP(A26,'HALF YEARLY(Entry)'!$1:$1048576,10,0),'Grade 50'!$1:$1048576,2,0),VLOOKUP(A26,'HALF YEARLY(Entry)'!$1:$1048576,10,0))</f>
        <v>E</v>
      </c>
      <c r="K26" s="27">
        <f>VLOOKUP($A26,'HALF YEARLY(Entry)'!$1:$1048576,11,0)</f>
        <v>0</v>
      </c>
      <c r="L26" s="27">
        <f>VLOOKUP($A26,'HALF YEARLY(Entry)'!$1:$1048576,12,0)</f>
        <v>0</v>
      </c>
      <c r="M26" s="27">
        <f>VLOOKUP($A26,'HALF YEARLY(Entry)'!$1:$1048576,13,0)</f>
        <v>0</v>
      </c>
      <c r="N26" s="27">
        <f>VLOOKUP($A26,'HALF YEARLY(Entry)'!$1:$1048576,14,0)</f>
        <v>0</v>
      </c>
      <c r="O26" s="32">
        <f>VLOOKUP($A26,'HALF YEARLY(Entry)'!$1:$1048576,15,0)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1565</v>
      </c>
      <c r="B27" s="3" t="str">
        <f>DETAILS!B27</f>
        <v>JANVI SINGH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 t="str">
        <f>IFERROR(VLOOKUP(VLOOKUP($A27,'HALF YEARLY(Entry)'!$1:$1048576,9,0),'Grade 50'!$1:$1048576,2,0),VLOOKUP($A27,'HALF YEARLY(Entry)'!$1:$1048576,9,0))</f>
        <v>E</v>
      </c>
      <c r="J27" s="27" t="str">
        <f>IFERROR(VLOOKUP(VLOOKUP(A27,'HALF YEARLY(Entry)'!$1:$1048576,10,0),'Grade 50'!$1:$1048576,2,0),VLOOKUP(A27,'HALF YEARLY(Entry)'!$1:$1048576,10,0))</f>
        <v>E</v>
      </c>
      <c r="K27" s="27">
        <f>VLOOKUP($A27,'HALF YEARLY(Entry)'!$1:$1048576,11,0)</f>
        <v>0</v>
      </c>
      <c r="L27" s="27">
        <f>VLOOKUP($A27,'HALF YEARLY(Entry)'!$1:$1048576,12,0)</f>
        <v>0</v>
      </c>
      <c r="M27" s="27">
        <f>VLOOKUP($A27,'HALF YEARLY(Entry)'!$1:$1048576,13,0)</f>
        <v>0</v>
      </c>
      <c r="N27" s="27">
        <f>VLOOKUP($A27,'HALF YEARLY(Entry)'!$1:$1048576,14,0)</f>
        <v>0</v>
      </c>
      <c r="O27" s="32">
        <f>VLOOKUP($A27,'HALF YEARLY(Entry)'!$1:$1048576,15,0)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1870</v>
      </c>
      <c r="B28" s="3" t="str">
        <f>DETAILS!B28</f>
        <v>JANVI SINGH SENGAR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 t="str">
        <f>IFERROR(VLOOKUP(VLOOKUP($A28,'HALF YEARLY(Entry)'!$1:$1048576,9,0),'Grade 50'!$1:$1048576,2,0),VLOOKUP($A28,'HALF YEARLY(Entry)'!$1:$1048576,9,0))</f>
        <v>E</v>
      </c>
      <c r="J28" s="27" t="str">
        <f>IFERROR(VLOOKUP(VLOOKUP(A28,'HALF YEARLY(Entry)'!$1:$1048576,10,0),'Grade 50'!$1:$1048576,2,0),VLOOKUP(A28,'HALF YEARLY(Entry)'!$1:$1048576,10,0))</f>
        <v>E</v>
      </c>
      <c r="K28" s="27">
        <f>VLOOKUP($A28,'HALF YEARLY(Entry)'!$1:$1048576,11,0)</f>
        <v>0</v>
      </c>
      <c r="L28" s="27">
        <f>VLOOKUP($A28,'HALF YEARLY(Entry)'!$1:$1048576,12,0)</f>
        <v>0</v>
      </c>
      <c r="M28" s="27">
        <f>VLOOKUP($A28,'HALF YEARLY(Entry)'!$1:$1048576,13,0)</f>
        <v>0</v>
      </c>
      <c r="N28" s="27">
        <f>VLOOKUP($A28,'HALF YEARLY(Entry)'!$1:$1048576,14,0)</f>
        <v>0</v>
      </c>
      <c r="O28" s="32">
        <f>VLOOKUP($A28,'HALF YEARLY(Entry)'!$1:$1048576,15,0)</f>
        <v>0</v>
      </c>
      <c r="P28" s="27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1657</v>
      </c>
      <c r="B29" s="3" t="str">
        <f>DETAILS!B29</f>
        <v>KARNIKA VERMA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 t="str">
        <f>IFERROR(VLOOKUP(VLOOKUP($A29,'HALF YEARLY(Entry)'!$1:$1048576,9,0),'Grade 50'!$1:$1048576,2,0),VLOOKUP($A29,'HALF YEARLY(Entry)'!$1:$1048576,9,0))</f>
        <v>E</v>
      </c>
      <c r="J29" s="27" t="str">
        <f>IFERROR(VLOOKUP(VLOOKUP(A29,'HALF YEARLY(Entry)'!$1:$1048576,10,0),'Grade 50'!$1:$1048576,2,0),VLOOKUP(A29,'HALF YEARLY(Entry)'!$1:$1048576,10,0))</f>
        <v>E</v>
      </c>
      <c r="K29" s="27">
        <f>VLOOKUP($A29,'HALF YEARLY(Entry)'!$1:$1048576,11,0)</f>
        <v>0</v>
      </c>
      <c r="L29" s="27">
        <f>VLOOKUP($A29,'HALF YEARLY(Entry)'!$1:$1048576,12,0)</f>
        <v>0</v>
      </c>
      <c r="M29" s="27">
        <f>VLOOKUP($A29,'HALF YEARLY(Entry)'!$1:$1048576,13,0)</f>
        <v>0</v>
      </c>
      <c r="N29" s="27">
        <f>VLOOKUP($A29,'HALF YEARLY(Entry)'!$1:$1048576,14,0)</f>
        <v>0</v>
      </c>
      <c r="O29" s="32">
        <f>VLOOKUP($A29,'HALF YEARLY(Entry)'!$1:$1048576,15,0)</f>
        <v>0</v>
      </c>
      <c r="P29" s="27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1558</v>
      </c>
      <c r="B30" s="3" t="str">
        <f>DETAILS!B30</f>
        <v>KAVYA TIWARI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 t="str">
        <f>IFERROR(VLOOKUP(VLOOKUP($A30,'HALF YEARLY(Entry)'!$1:$1048576,9,0),'Grade 50'!$1:$1048576,2,0),VLOOKUP($A30,'HALF YEARLY(Entry)'!$1:$1048576,9,0))</f>
        <v>E</v>
      </c>
      <c r="J30" s="27" t="str">
        <f>IFERROR(VLOOKUP(VLOOKUP(A30,'HALF YEARLY(Entry)'!$1:$1048576,10,0),'Grade 50'!$1:$1048576,2,0),VLOOKUP(A30,'HALF YEARLY(Entry)'!$1:$1048576,10,0))</f>
        <v>E</v>
      </c>
      <c r="K30" s="27">
        <f>VLOOKUP($A30,'HALF YEARLY(Entry)'!$1:$1048576,11,0)</f>
        <v>0</v>
      </c>
      <c r="L30" s="27">
        <f>VLOOKUP($A30,'HALF YEARLY(Entry)'!$1:$1048576,12,0)</f>
        <v>0</v>
      </c>
      <c r="M30" s="27">
        <f>VLOOKUP($A30,'HALF YEARLY(Entry)'!$1:$1048576,13,0)</f>
        <v>0</v>
      </c>
      <c r="N30" s="27">
        <f>VLOOKUP($A30,'HALF YEARLY(Entry)'!$1:$1048576,14,0)</f>
        <v>0</v>
      </c>
      <c r="O30" s="32">
        <f>VLOOKUP($A30,'HALF YEARLY(Entry)'!$1:$1048576,15,0)</f>
        <v>0</v>
      </c>
      <c r="P30" s="27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1906</v>
      </c>
      <c r="B31" s="3" t="str">
        <f>DETAILS!B31</f>
        <v>KHUSHI PATEL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 t="str">
        <f>IFERROR(VLOOKUP(VLOOKUP($A31,'HALF YEARLY(Entry)'!$1:$1048576,9,0),'Grade 50'!$1:$1048576,2,0),VLOOKUP($A31,'HALF YEARLY(Entry)'!$1:$1048576,9,0))</f>
        <v>E</v>
      </c>
      <c r="J31" s="27" t="str">
        <f>IFERROR(VLOOKUP(VLOOKUP(A31,'HALF YEARLY(Entry)'!$1:$1048576,10,0),'Grade 50'!$1:$1048576,2,0),VLOOKUP(A31,'HALF YEARLY(Entry)'!$1:$1048576,10,0))</f>
        <v>E</v>
      </c>
      <c r="K31" s="27">
        <f>VLOOKUP($A31,'HALF YEARLY(Entry)'!$1:$1048576,11,0)</f>
        <v>0</v>
      </c>
      <c r="L31" s="27">
        <f>VLOOKUP($A31,'HALF YEARLY(Entry)'!$1:$1048576,12,0)</f>
        <v>0</v>
      </c>
      <c r="M31" s="27">
        <f>VLOOKUP($A31,'HALF YEARLY(Entry)'!$1:$1048576,13,0)</f>
        <v>0</v>
      </c>
      <c r="N31" s="27">
        <f>VLOOKUP($A31,'HALF YEARLY(Entry)'!$1:$1048576,14,0)</f>
        <v>0</v>
      </c>
      <c r="O31" s="32">
        <f>VLOOKUP($A31,'HALF YEARLY(Entry)'!$1:$1048576,15,0)</f>
        <v>0</v>
      </c>
      <c r="P31" s="27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1865</v>
      </c>
      <c r="B32" s="3" t="str">
        <f>DETAILS!B32</f>
        <v>MOHD SAIF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 t="str">
        <f>IFERROR(VLOOKUP(VLOOKUP($A32,'HALF YEARLY(Entry)'!$1:$1048576,9,0),'Grade 50'!$1:$1048576,2,0),VLOOKUP($A32,'HALF YEARLY(Entry)'!$1:$1048576,9,0))</f>
        <v>E</v>
      </c>
      <c r="J32" s="27" t="str">
        <f>IFERROR(VLOOKUP(VLOOKUP(A32,'HALF YEARLY(Entry)'!$1:$1048576,10,0),'Grade 50'!$1:$1048576,2,0),VLOOKUP(A32,'HALF YEARLY(Entry)'!$1:$1048576,10,0))</f>
        <v>E</v>
      </c>
      <c r="K32" s="27">
        <f>VLOOKUP($A32,'HALF YEARLY(Entry)'!$1:$1048576,11,0)</f>
        <v>0</v>
      </c>
      <c r="L32" s="27">
        <f>VLOOKUP($A32,'HALF YEARLY(Entry)'!$1:$1048576,12,0)</f>
        <v>0</v>
      </c>
      <c r="M32" s="27">
        <f>VLOOKUP($A32,'HALF YEARLY(Entry)'!$1:$1048576,13,0)</f>
        <v>0</v>
      </c>
      <c r="N32" s="27">
        <f>VLOOKUP($A32,'HALF YEARLY(Entry)'!$1:$1048576,14,0)</f>
        <v>0</v>
      </c>
      <c r="O32" s="32">
        <f>VLOOKUP($A32,'HALF YEARLY(Entry)'!$1:$1048576,15,0)</f>
        <v>0</v>
      </c>
      <c r="P32" s="27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1735</v>
      </c>
      <c r="B33" s="3" t="str">
        <f>DETAILS!B33</f>
        <v>PRAGATI SINGH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 t="str">
        <f>IFERROR(VLOOKUP(VLOOKUP($A33,'HALF YEARLY(Entry)'!$1:$1048576,9,0),'Grade 50'!$1:$1048576,2,0),VLOOKUP($A33,'HALF YEARLY(Entry)'!$1:$1048576,9,0))</f>
        <v>E</v>
      </c>
      <c r="J33" s="27" t="str">
        <f>IFERROR(VLOOKUP(VLOOKUP(A33,'HALF YEARLY(Entry)'!$1:$1048576,10,0),'Grade 50'!$1:$1048576,2,0),VLOOKUP(A33,'HALF YEARLY(Entry)'!$1:$1048576,10,0))</f>
        <v>E</v>
      </c>
      <c r="K33" s="27">
        <f>VLOOKUP($A33,'HALF YEARLY(Entry)'!$1:$1048576,11,0)</f>
        <v>0</v>
      </c>
      <c r="L33" s="27">
        <f>VLOOKUP($A33,'HALF YEARLY(Entry)'!$1:$1048576,12,0)</f>
        <v>0</v>
      </c>
      <c r="M33" s="27">
        <f>VLOOKUP($A33,'HALF YEARLY(Entry)'!$1:$1048576,13,0)</f>
        <v>0</v>
      </c>
      <c r="N33" s="27">
        <f>VLOOKUP($A33,'HALF YEARLY(Entry)'!$1:$1048576,14,0)</f>
        <v>0</v>
      </c>
      <c r="O33" s="32">
        <f>VLOOKUP($A33,'HALF YEARLY(Entry)'!$1:$1048576,15,0)</f>
        <v>0</v>
      </c>
      <c r="P33" s="27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1557</v>
      </c>
      <c r="B34" s="3" t="str">
        <f>DETAILS!B34</f>
        <v>PRISHA JAISWAL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 t="str">
        <f>IFERROR(VLOOKUP(VLOOKUP($A34,'HALF YEARLY(Entry)'!$1:$1048576,9,0),'Grade 50'!$1:$1048576,2,0),VLOOKUP($A34,'HALF YEARLY(Entry)'!$1:$1048576,9,0))</f>
        <v>E</v>
      </c>
      <c r="J34" s="27" t="str">
        <f>IFERROR(VLOOKUP(VLOOKUP(A34,'HALF YEARLY(Entry)'!$1:$1048576,10,0),'Grade 50'!$1:$1048576,2,0),VLOOKUP(A34,'HALF YEARLY(Entry)'!$1:$1048576,10,0))</f>
        <v>E</v>
      </c>
      <c r="K34" s="27">
        <f>VLOOKUP($A34,'HALF YEARLY(Entry)'!$1:$1048576,11,0)</f>
        <v>0</v>
      </c>
      <c r="L34" s="27">
        <f>VLOOKUP($A34,'HALF YEARLY(Entry)'!$1:$1048576,12,0)</f>
        <v>0</v>
      </c>
      <c r="M34" s="27">
        <f>VLOOKUP($A34,'HALF YEARLY(Entry)'!$1:$1048576,13,0)</f>
        <v>0</v>
      </c>
      <c r="N34" s="27">
        <f>VLOOKUP($A34,'HALF YEARLY(Entry)'!$1:$1048576,14,0)</f>
        <v>0</v>
      </c>
      <c r="O34" s="32">
        <f>VLOOKUP($A34,'HALF YEARLY(Entry)'!$1:$1048576,15,0)</f>
        <v>0</v>
      </c>
      <c r="P34" s="27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1560</v>
      </c>
      <c r="B35" s="3" t="str">
        <f>DETAILS!B35</f>
        <v>SHANTANU YADAV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 t="str">
        <f>IFERROR(VLOOKUP(VLOOKUP($A35,'HALF YEARLY(Entry)'!$1:$1048576,9,0),'Grade 50'!$1:$1048576,2,0),VLOOKUP($A35,'HALF YEARLY(Entry)'!$1:$1048576,9,0))</f>
        <v>E</v>
      </c>
      <c r="J35" s="27" t="str">
        <f>IFERROR(VLOOKUP(VLOOKUP(A35,'HALF YEARLY(Entry)'!$1:$1048576,10,0),'Grade 50'!$1:$1048576,2,0),VLOOKUP(A35,'HALF YEARLY(Entry)'!$1:$1048576,10,0))</f>
        <v>E</v>
      </c>
      <c r="K35" s="27">
        <f>VLOOKUP($A35,'HALF YEARLY(Entry)'!$1:$1048576,11,0)</f>
        <v>0</v>
      </c>
      <c r="L35" s="27">
        <f>VLOOKUP($A35,'HALF YEARLY(Entry)'!$1:$1048576,12,0)</f>
        <v>0</v>
      </c>
      <c r="M35" s="27">
        <f>VLOOKUP($A35,'HALF YEARLY(Entry)'!$1:$1048576,13,0)</f>
        <v>0</v>
      </c>
      <c r="N35" s="27">
        <f>VLOOKUP($A35,'HALF YEARLY(Entry)'!$1:$1048576,14,0)</f>
        <v>0</v>
      </c>
      <c r="O35" s="32">
        <f>VLOOKUP($A35,'HALF YEARLY(Entry)'!$1:$1048576,15,0)</f>
        <v>0</v>
      </c>
      <c r="P35" s="27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1890</v>
      </c>
      <c r="B36" s="3" t="str">
        <f>DETAILS!B36</f>
        <v>SHIVA YADAV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 t="str">
        <f>IFERROR(VLOOKUP(VLOOKUP($A36,'HALF YEARLY(Entry)'!$1:$1048576,9,0),'Grade 50'!$1:$1048576,2,0),VLOOKUP($A36,'HALF YEARLY(Entry)'!$1:$1048576,9,0))</f>
        <v>E</v>
      </c>
      <c r="J36" s="27" t="str">
        <f>IFERROR(VLOOKUP(VLOOKUP(A36,'HALF YEARLY(Entry)'!$1:$1048576,10,0),'Grade 50'!$1:$1048576,2,0),VLOOKUP(A36,'HALF YEARLY(Entry)'!$1:$1048576,10,0))</f>
        <v>E</v>
      </c>
      <c r="K36" s="27">
        <f>VLOOKUP($A36,'HALF YEARLY(Entry)'!$1:$1048576,11,0)</f>
        <v>0</v>
      </c>
      <c r="L36" s="27">
        <f>VLOOKUP($A36,'HALF YEARLY(Entry)'!$1:$1048576,12,0)</f>
        <v>0</v>
      </c>
      <c r="M36" s="27">
        <f>VLOOKUP($A36,'HALF YEARLY(Entry)'!$1:$1048576,13,0)</f>
        <v>0</v>
      </c>
      <c r="N36" s="27">
        <f>VLOOKUP($A36,'HALF YEARLY(Entry)'!$1:$1048576,14,0)</f>
        <v>0</v>
      </c>
      <c r="O36" s="32">
        <f>VLOOKUP($A36,'HALF YEARLY(Entry)'!$1:$1048576,15,0)</f>
        <v>0</v>
      </c>
      <c r="P36" s="27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1575</v>
      </c>
      <c r="B37" s="3" t="str">
        <f>DETAILS!B37</f>
        <v>SHIVIKA VERMA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 t="str">
        <f>IFERROR(VLOOKUP(VLOOKUP($A37,'HALF YEARLY(Entry)'!$1:$1048576,9,0),'Grade 50'!$1:$1048576,2,0),VLOOKUP($A37,'HALF YEARLY(Entry)'!$1:$1048576,9,0))</f>
        <v>E</v>
      </c>
      <c r="J37" s="27" t="str">
        <f>IFERROR(VLOOKUP(VLOOKUP(A37,'HALF YEARLY(Entry)'!$1:$1048576,10,0),'Grade 50'!$1:$1048576,2,0),VLOOKUP(A37,'HALF YEARLY(Entry)'!$1:$1048576,10,0))</f>
        <v>E</v>
      </c>
      <c r="K37" s="27">
        <f>VLOOKUP($A37,'HALF YEARLY(Entry)'!$1:$1048576,11,0)</f>
        <v>0</v>
      </c>
      <c r="L37" s="27">
        <f>VLOOKUP($A37,'HALF YEARLY(Entry)'!$1:$1048576,12,0)</f>
        <v>0</v>
      </c>
      <c r="M37" s="27">
        <f>VLOOKUP($A37,'HALF YEARLY(Entry)'!$1:$1048576,13,0)</f>
        <v>0</v>
      </c>
      <c r="N37" s="27">
        <f>VLOOKUP($A37,'HALF YEARLY(Entry)'!$1:$1048576,14,0)</f>
        <v>0</v>
      </c>
      <c r="O37" s="32">
        <f>VLOOKUP($A37,'HALF YEARLY(Entry)'!$1:$1048576,15,0)</f>
        <v>0</v>
      </c>
      <c r="P37" s="27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1732</v>
      </c>
      <c r="B38" s="3" t="str">
        <f>DETAILS!B38</f>
        <v>SUHAN ALI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 t="str">
        <f>IFERROR(VLOOKUP(VLOOKUP($A38,'HALF YEARLY(Entry)'!$1:$1048576,9,0),'Grade 50'!$1:$1048576,2,0),VLOOKUP($A38,'HALF YEARLY(Entry)'!$1:$1048576,9,0))</f>
        <v>E</v>
      </c>
      <c r="J38" s="27" t="str">
        <f>IFERROR(VLOOKUP(VLOOKUP(A38,'HALF YEARLY(Entry)'!$1:$1048576,10,0),'Grade 50'!$1:$1048576,2,0),VLOOKUP(A38,'HALF YEARLY(Entry)'!$1:$1048576,10,0))</f>
        <v>E</v>
      </c>
      <c r="K38" s="27">
        <f>VLOOKUP($A38,'HALF YEARLY(Entry)'!$1:$1048576,11,0)</f>
        <v>0</v>
      </c>
      <c r="L38" s="27">
        <f>VLOOKUP($A38,'HALF YEARLY(Entry)'!$1:$1048576,12,0)</f>
        <v>0</v>
      </c>
      <c r="M38" s="27">
        <f>VLOOKUP($A38,'HALF YEARLY(Entry)'!$1:$1048576,13,0)</f>
        <v>0</v>
      </c>
      <c r="N38" s="27">
        <f>VLOOKUP($A38,'HALF YEARLY(Entry)'!$1:$1048576,14,0)</f>
        <v>0</v>
      </c>
      <c r="O38" s="32">
        <f>VLOOKUP($A38,'HALF YEARLY(Entry)'!$1:$1048576,15,0)</f>
        <v>0</v>
      </c>
      <c r="P38" s="27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1706</v>
      </c>
      <c r="B39" s="3" t="str">
        <f>DETAILS!B39</f>
        <v>UTKARSH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 t="str">
        <f>IFERROR(VLOOKUP(VLOOKUP($A39,'HALF YEARLY(Entry)'!$1:$1048576,9,0),'Grade 50'!$1:$1048576,2,0),VLOOKUP($A39,'HALF YEARLY(Entry)'!$1:$1048576,9,0))</f>
        <v>E</v>
      </c>
      <c r="J39" s="27" t="str">
        <f>IFERROR(VLOOKUP(VLOOKUP(A39,'HALF YEARLY(Entry)'!$1:$1048576,10,0),'Grade 50'!$1:$1048576,2,0),VLOOKUP(A39,'HALF YEARLY(Entry)'!$1:$1048576,10,0))</f>
        <v>E</v>
      </c>
      <c r="K39" s="27">
        <f>VLOOKUP($A39,'HALF YEARLY(Entry)'!$1:$1048576,11,0)</f>
        <v>0</v>
      </c>
      <c r="L39" s="27">
        <f>VLOOKUP($A39,'HALF YEARLY(Entry)'!$1:$1048576,12,0)</f>
        <v>0</v>
      </c>
      <c r="M39" s="27">
        <f>VLOOKUP($A39,'HALF YEARLY(Entry)'!$1:$1048576,13,0)</f>
        <v>0</v>
      </c>
      <c r="N39" s="27">
        <f>VLOOKUP($A39,'HALF YEARLY(Entry)'!$1:$1048576,14,0)</f>
        <v>0</v>
      </c>
      <c r="O39" s="32">
        <f>VLOOKUP($A39,'HALF YEARLY(Entry)'!$1:$1048576,15,0)</f>
        <v>0</v>
      </c>
      <c r="P39" s="27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1567</v>
      </c>
      <c r="B40" s="3" t="str">
        <f>DETAILS!B40</f>
        <v>VAANYA YADAV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 t="str">
        <f>IFERROR(VLOOKUP(VLOOKUP($A40,'HALF YEARLY(Entry)'!$1:$1048576,9,0),'Grade 50'!$1:$1048576,2,0),VLOOKUP($A40,'HALF YEARLY(Entry)'!$1:$1048576,9,0))</f>
        <v>E</v>
      </c>
      <c r="J40" s="27" t="str">
        <f>IFERROR(VLOOKUP(VLOOKUP(A40,'HALF YEARLY(Entry)'!$1:$1048576,10,0),'Grade 50'!$1:$1048576,2,0),VLOOKUP(A40,'HALF YEARLY(Entry)'!$1:$1048576,10,0))</f>
        <v>E</v>
      </c>
      <c r="K40" s="27">
        <f>VLOOKUP($A40,'HALF YEARLY(Entry)'!$1:$1048576,11,0)</f>
        <v>0</v>
      </c>
      <c r="L40" s="27">
        <f>VLOOKUP($A40,'HALF YEARLY(Entry)'!$1:$1048576,12,0)</f>
        <v>0</v>
      </c>
      <c r="M40" s="27">
        <f>VLOOKUP($A40,'HALF YEARLY(Entry)'!$1:$1048576,13,0)</f>
        <v>0</v>
      </c>
      <c r="N40" s="27">
        <f>VLOOKUP($A40,'HALF YEARLY(Entry)'!$1:$1048576,14,0)</f>
        <v>0</v>
      </c>
      <c r="O40" s="32">
        <f>VLOOKUP($A40,'HALF YEARLY(Entry)'!$1:$1048576,15,0)</f>
        <v>0</v>
      </c>
      <c r="P40" s="27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1937</v>
      </c>
      <c r="B41" s="3" t="str">
        <f>DETAILS!B41</f>
        <v>VIVAAN  PAL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 t="str">
        <f>IFERROR(VLOOKUP(VLOOKUP($A41,'HALF YEARLY(Entry)'!$1:$1048576,9,0),'Grade 50'!$1:$1048576,2,0),VLOOKUP($A41,'HALF YEARLY(Entry)'!$1:$1048576,9,0))</f>
        <v>E</v>
      </c>
      <c r="J41" s="27" t="str">
        <f>IFERROR(VLOOKUP(VLOOKUP(A41,'HALF YEARLY(Entry)'!$1:$1048576,10,0),'Grade 50'!$1:$1048576,2,0),VLOOKUP(A41,'HALF YEARLY(Entry)'!$1:$1048576,10,0))</f>
        <v>E</v>
      </c>
      <c r="K41" s="27">
        <f>VLOOKUP($A41,'HALF YEARLY(Entry)'!$1:$1048576,11,0)</f>
        <v>0</v>
      </c>
      <c r="L41" s="27">
        <f>VLOOKUP($A41,'HALF YEARLY(Entry)'!$1:$1048576,12,0)</f>
        <v>0</v>
      </c>
      <c r="M41" s="27">
        <f>VLOOKUP($A41,'HALF YEARLY(Entry)'!$1:$1048576,13,0)</f>
        <v>0</v>
      </c>
      <c r="N41" s="27">
        <f>VLOOKUP($A41,'HALF YEARLY(Entry)'!$1:$1048576,14,0)</f>
        <v>0</v>
      </c>
      <c r="O41" s="32">
        <f>VLOOKUP($A41,'HALF YEARLY(Entry)'!$1:$1048576,15,0)</f>
        <v>0</v>
      </c>
      <c r="P41" s="27">
        <f t="shared" si="0"/>
        <v>0</v>
      </c>
      <c r="Q41" s="27" t="str">
        <f t="shared" si="1"/>
        <v>0 %</v>
      </c>
    </row>
  </sheetData>
  <sheetProtection algorithmName="SHA-512" hashValue="r4pMNzIb8tbOjaVQJE1fPjw3gXcGkIylF4Jdi8YOQbPxnCfHNFk7mDl/cyD57ZCOeJoJi2ZyJh1Q4dpwR4KVMA==" saltValue="uNU0gfw8vA6z8UutmV+RLQ==" spinCount="100000" sheet="1" objects="1" scenarios="1"/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29</v>
      </c>
    </row>
    <row r="3" spans="1:2" x14ac:dyDescent="0.3">
      <c r="A3">
        <v>49</v>
      </c>
      <c r="B3" t="s">
        <v>29</v>
      </c>
    </row>
    <row r="4" spans="1:2" x14ac:dyDescent="0.3">
      <c r="A4">
        <v>48</v>
      </c>
      <c r="B4" t="s">
        <v>29</v>
      </c>
    </row>
    <row r="5" spans="1:2" x14ac:dyDescent="0.3">
      <c r="A5">
        <v>47</v>
      </c>
      <c r="B5" t="s">
        <v>29</v>
      </c>
    </row>
    <row r="6" spans="1:2" x14ac:dyDescent="0.3">
      <c r="A6">
        <v>46</v>
      </c>
      <c r="B6" t="s">
        <v>29</v>
      </c>
    </row>
    <row r="7" spans="1:2" x14ac:dyDescent="0.3">
      <c r="A7">
        <v>45</v>
      </c>
      <c r="B7" t="s">
        <v>29</v>
      </c>
    </row>
    <row r="8" spans="1:2" x14ac:dyDescent="0.3">
      <c r="A8">
        <v>44</v>
      </c>
      <c r="B8" t="s">
        <v>29</v>
      </c>
    </row>
    <row r="9" spans="1:2" x14ac:dyDescent="0.3">
      <c r="A9">
        <v>43</v>
      </c>
      <c r="B9" t="s">
        <v>29</v>
      </c>
    </row>
    <row r="10" spans="1:2" x14ac:dyDescent="0.3">
      <c r="A10">
        <v>42</v>
      </c>
      <c r="B10" t="s">
        <v>29</v>
      </c>
    </row>
    <row r="11" spans="1:2" x14ac:dyDescent="0.3">
      <c r="A11">
        <v>41</v>
      </c>
      <c r="B11" t="s">
        <v>29</v>
      </c>
    </row>
    <row r="12" spans="1:2" x14ac:dyDescent="0.3">
      <c r="A12">
        <v>40</v>
      </c>
      <c r="B12" t="s">
        <v>30</v>
      </c>
    </row>
    <row r="13" spans="1:2" x14ac:dyDescent="0.3">
      <c r="A13">
        <v>39</v>
      </c>
      <c r="B13" t="s">
        <v>30</v>
      </c>
    </row>
    <row r="14" spans="1:2" x14ac:dyDescent="0.3">
      <c r="A14">
        <v>38</v>
      </c>
      <c r="B14" t="s">
        <v>30</v>
      </c>
    </row>
    <row r="15" spans="1:2" x14ac:dyDescent="0.3">
      <c r="A15">
        <v>37</v>
      </c>
      <c r="B15" t="s">
        <v>30</v>
      </c>
    </row>
    <row r="16" spans="1:2" x14ac:dyDescent="0.3">
      <c r="A16">
        <v>36</v>
      </c>
      <c r="B16" t="s">
        <v>30</v>
      </c>
    </row>
    <row r="17" spans="1:2" x14ac:dyDescent="0.3">
      <c r="A17">
        <v>35</v>
      </c>
      <c r="B17" t="s">
        <v>30</v>
      </c>
    </row>
    <row r="18" spans="1:2" x14ac:dyDescent="0.3">
      <c r="A18">
        <v>34</v>
      </c>
      <c r="B18" t="s">
        <v>30</v>
      </c>
    </row>
    <row r="19" spans="1:2" x14ac:dyDescent="0.3">
      <c r="A19">
        <v>33</v>
      </c>
      <c r="B19" t="s">
        <v>30</v>
      </c>
    </row>
    <row r="20" spans="1:2" x14ac:dyDescent="0.3">
      <c r="A20">
        <v>32</v>
      </c>
      <c r="B20" t="s">
        <v>30</v>
      </c>
    </row>
    <row r="21" spans="1:2" x14ac:dyDescent="0.3">
      <c r="A21">
        <v>31</v>
      </c>
      <c r="B21" t="s">
        <v>30</v>
      </c>
    </row>
    <row r="22" spans="1:2" x14ac:dyDescent="0.3">
      <c r="A22">
        <v>30</v>
      </c>
      <c r="B22" t="s">
        <v>31</v>
      </c>
    </row>
    <row r="23" spans="1:2" x14ac:dyDescent="0.3">
      <c r="A23">
        <v>29</v>
      </c>
      <c r="B23" t="s">
        <v>31</v>
      </c>
    </row>
    <row r="24" spans="1:2" x14ac:dyDescent="0.3">
      <c r="A24">
        <v>28</v>
      </c>
      <c r="B24" t="s">
        <v>31</v>
      </c>
    </row>
    <row r="25" spans="1:2" x14ac:dyDescent="0.3">
      <c r="A25">
        <v>27</v>
      </c>
      <c r="B25" t="s">
        <v>31</v>
      </c>
    </row>
    <row r="26" spans="1:2" x14ac:dyDescent="0.3">
      <c r="A26">
        <v>26</v>
      </c>
      <c r="B26" t="s">
        <v>31</v>
      </c>
    </row>
    <row r="27" spans="1:2" x14ac:dyDescent="0.3">
      <c r="A27">
        <v>25</v>
      </c>
      <c r="B27" t="s">
        <v>31</v>
      </c>
    </row>
    <row r="28" spans="1:2" x14ac:dyDescent="0.3">
      <c r="A28">
        <v>24</v>
      </c>
      <c r="B28" t="s">
        <v>31</v>
      </c>
    </row>
    <row r="29" spans="1:2" x14ac:dyDescent="0.3">
      <c r="A29">
        <v>23</v>
      </c>
      <c r="B29" t="s">
        <v>31</v>
      </c>
    </row>
    <row r="30" spans="1:2" x14ac:dyDescent="0.3">
      <c r="A30">
        <v>22</v>
      </c>
      <c r="B30" t="s">
        <v>31</v>
      </c>
    </row>
    <row r="31" spans="1:2" x14ac:dyDescent="0.3">
      <c r="A31">
        <v>21</v>
      </c>
      <c r="B31" t="s">
        <v>31</v>
      </c>
    </row>
    <row r="32" spans="1:2" x14ac:dyDescent="0.3">
      <c r="A32">
        <v>20</v>
      </c>
      <c r="B32" t="s">
        <v>32</v>
      </c>
    </row>
    <row r="33" spans="1:2" x14ac:dyDescent="0.3">
      <c r="A33">
        <v>19</v>
      </c>
      <c r="B33" t="s">
        <v>32</v>
      </c>
    </row>
    <row r="34" spans="1:2" x14ac:dyDescent="0.3">
      <c r="A34">
        <v>18</v>
      </c>
      <c r="B34" t="s">
        <v>32</v>
      </c>
    </row>
    <row r="35" spans="1:2" x14ac:dyDescent="0.3">
      <c r="A35">
        <v>17</v>
      </c>
      <c r="B35" t="s">
        <v>32</v>
      </c>
    </row>
    <row r="36" spans="1:2" x14ac:dyDescent="0.3">
      <c r="A36">
        <v>16</v>
      </c>
      <c r="B36" t="s">
        <v>33</v>
      </c>
    </row>
    <row r="37" spans="1:2" x14ac:dyDescent="0.3">
      <c r="A37">
        <v>15</v>
      </c>
      <c r="B37" t="s">
        <v>33</v>
      </c>
    </row>
    <row r="38" spans="1:2" x14ac:dyDescent="0.3">
      <c r="A38">
        <v>14</v>
      </c>
      <c r="B38" t="s">
        <v>33</v>
      </c>
    </row>
    <row r="39" spans="1:2" x14ac:dyDescent="0.3">
      <c r="A39">
        <v>13</v>
      </c>
      <c r="B39" t="s">
        <v>33</v>
      </c>
    </row>
    <row r="40" spans="1:2" x14ac:dyDescent="0.3">
      <c r="A40">
        <v>12</v>
      </c>
      <c r="B40" t="s">
        <v>33</v>
      </c>
    </row>
    <row r="41" spans="1:2" x14ac:dyDescent="0.3">
      <c r="A41">
        <v>11</v>
      </c>
      <c r="B41" t="s">
        <v>33</v>
      </c>
    </row>
    <row r="42" spans="1:2" x14ac:dyDescent="0.3">
      <c r="A42">
        <v>10</v>
      </c>
      <c r="B42" t="s">
        <v>33</v>
      </c>
    </row>
    <row r="43" spans="1:2" x14ac:dyDescent="0.3">
      <c r="A43">
        <v>9</v>
      </c>
      <c r="B43" t="s">
        <v>33</v>
      </c>
    </row>
    <row r="44" spans="1:2" x14ac:dyDescent="0.3">
      <c r="A44">
        <v>8</v>
      </c>
      <c r="B44" t="s">
        <v>33</v>
      </c>
    </row>
    <row r="45" spans="1:2" x14ac:dyDescent="0.3">
      <c r="A45">
        <v>7</v>
      </c>
      <c r="B45" t="s">
        <v>33</v>
      </c>
    </row>
    <row r="46" spans="1:2" x14ac:dyDescent="0.3">
      <c r="A46">
        <v>6</v>
      </c>
      <c r="B46" t="s">
        <v>33</v>
      </c>
    </row>
    <row r="47" spans="1:2" x14ac:dyDescent="0.3">
      <c r="A47">
        <v>5</v>
      </c>
      <c r="B47" t="s">
        <v>33</v>
      </c>
    </row>
    <row r="48" spans="1:2" x14ac:dyDescent="0.3">
      <c r="A48">
        <v>4</v>
      </c>
      <c r="B48" t="s">
        <v>33</v>
      </c>
    </row>
    <row r="49" spans="1:2" x14ac:dyDescent="0.3">
      <c r="A49">
        <v>3</v>
      </c>
      <c r="B49" t="s">
        <v>33</v>
      </c>
    </row>
    <row r="50" spans="1:2" x14ac:dyDescent="0.3">
      <c r="A50">
        <v>2</v>
      </c>
      <c r="B50" t="s">
        <v>33</v>
      </c>
    </row>
    <row r="51" spans="1:2" x14ac:dyDescent="0.3">
      <c r="A51">
        <v>1</v>
      </c>
      <c r="B51" t="s">
        <v>33</v>
      </c>
    </row>
    <row r="52" spans="1:2" x14ac:dyDescent="0.3">
      <c r="A52">
        <v>0</v>
      </c>
      <c r="B5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41"/>
  <sheetViews>
    <sheetView topLeftCell="N1" zoomScale="190" zoomScaleNormal="190" workbookViewId="0">
      <selection activeCell="Z4" sqref="Z4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23" width="4.5546875" bestFit="1" customWidth="1"/>
    <col min="24" max="24" width="4.33203125" bestFit="1" customWidth="1"/>
    <col min="25" max="25" width="4.88671875" bestFit="1" customWidth="1"/>
    <col min="26" max="26" width="3.33203125" bestFit="1" customWidth="1"/>
    <col min="27" max="27" width="5.44140625" bestFit="1" customWidth="1"/>
    <col min="28" max="28" width="14" customWidth="1"/>
    <col min="29" max="29" width="12.6640625" customWidth="1"/>
    <col min="30" max="30" width="11.6640625" customWidth="1"/>
    <col min="31" max="31" width="13.5546875" customWidth="1"/>
    <col min="32" max="32" width="12.6640625" customWidth="1"/>
    <col min="33" max="33" width="10.88671875" bestFit="1" customWidth="1"/>
    <col min="35" max="35" width="39.21875" customWidth="1"/>
  </cols>
  <sheetData>
    <row r="1" spans="1:36" x14ac:dyDescent="0.3">
      <c r="A1" s="49" t="s">
        <v>100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</row>
    <row r="2" spans="1:36" ht="24.75" customHeight="1" x14ac:dyDescent="0.3">
      <c r="A2" s="40" t="s">
        <v>101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72</v>
      </c>
      <c r="S2" s="40"/>
      <c r="T2" s="40"/>
      <c r="U2" s="40"/>
      <c r="V2" s="40"/>
      <c r="W2" s="40" t="s">
        <v>15</v>
      </c>
      <c r="X2" s="40"/>
      <c r="Y2" s="40"/>
      <c r="Z2" s="40"/>
      <c r="AA2" s="40"/>
      <c r="AB2" s="46" t="s">
        <v>56</v>
      </c>
      <c r="AC2" s="46" t="s">
        <v>57</v>
      </c>
      <c r="AD2" s="47" t="s">
        <v>60</v>
      </c>
      <c r="AE2" s="47" t="s">
        <v>58</v>
      </c>
      <c r="AF2" s="47" t="s">
        <v>59</v>
      </c>
      <c r="AG2" s="47" t="s">
        <v>61</v>
      </c>
      <c r="AH2" s="47" t="s">
        <v>62</v>
      </c>
      <c r="AI2" s="46" t="s">
        <v>63</v>
      </c>
      <c r="AJ2" s="45"/>
    </row>
    <row r="3" spans="1:36" ht="20.25" customHeight="1" x14ac:dyDescent="0.3">
      <c r="A3" s="40"/>
      <c r="B3" s="40"/>
      <c r="C3" s="26" t="s">
        <v>64</v>
      </c>
      <c r="D3" s="26" t="s">
        <v>97</v>
      </c>
      <c r="E3" s="26" t="s">
        <v>98</v>
      </c>
      <c r="F3" s="26" t="s">
        <v>69</v>
      </c>
      <c r="G3" s="26" t="s">
        <v>99</v>
      </c>
      <c r="H3" s="26" t="s">
        <v>64</v>
      </c>
      <c r="I3" s="26" t="s">
        <v>97</v>
      </c>
      <c r="J3" s="26" t="s">
        <v>98</v>
      </c>
      <c r="K3" s="26" t="s">
        <v>69</v>
      </c>
      <c r="L3" s="26" t="s">
        <v>99</v>
      </c>
      <c r="M3" s="26" t="s">
        <v>64</v>
      </c>
      <c r="N3" s="26" t="s">
        <v>97</v>
      </c>
      <c r="O3" s="26" t="s">
        <v>98</v>
      </c>
      <c r="P3" s="26" t="s">
        <v>69</v>
      </c>
      <c r="Q3" s="26" t="s">
        <v>99</v>
      </c>
      <c r="R3" s="26" t="s">
        <v>64</v>
      </c>
      <c r="S3" s="26" t="s">
        <v>97</v>
      </c>
      <c r="T3" s="26" t="s">
        <v>98</v>
      </c>
      <c r="U3" s="26" t="s">
        <v>69</v>
      </c>
      <c r="V3" s="26" t="s">
        <v>99</v>
      </c>
      <c r="W3" s="26" t="s">
        <v>64</v>
      </c>
      <c r="X3" s="26" t="s">
        <v>97</v>
      </c>
      <c r="Y3" s="26" t="s">
        <v>98</v>
      </c>
      <c r="Z3" s="26" t="s">
        <v>69</v>
      </c>
      <c r="AA3" s="26" t="s">
        <v>99</v>
      </c>
      <c r="AB3" s="46"/>
      <c r="AC3" s="46"/>
      <c r="AD3" s="48"/>
      <c r="AE3" s="48"/>
      <c r="AF3" s="48"/>
      <c r="AG3" s="48"/>
      <c r="AH3" s="48"/>
      <c r="AI3" s="46"/>
      <c r="AJ3" s="45"/>
    </row>
    <row r="4" spans="1:36" x14ac:dyDescent="0.3">
      <c r="A4" s="3">
        <f>DETAILS!A3</f>
        <v>1804</v>
      </c>
      <c r="B4" s="3" t="str">
        <f>DETAILS!B3</f>
        <v>AAKRITI SINGH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VLOOKUP($A4,'HALF YEARLY'!$1:$1048576,8,0)</f>
        <v>0</v>
      </c>
      <c r="AC4" s="27" t="str">
        <f>VLOOKUP($A4,'HALF YEARLY'!$1:$1048576,9,0)</f>
        <v>E</v>
      </c>
      <c r="AD4" s="27" t="str">
        <f>VLOOKUP($A4,'HALF YEARLY'!$1:$1048576,10,0)</f>
        <v>E</v>
      </c>
      <c r="AE4" s="27">
        <f>VLOOKUP($A4,'HALF YEARLY'!$1:$1048576,11,0)</f>
        <v>0</v>
      </c>
      <c r="AF4" s="27">
        <f>VLOOKUP($A4,'HALF YEARLY'!$1:$1048576,12,0)</f>
        <v>0</v>
      </c>
      <c r="AG4" s="27">
        <f>VLOOKUP($A4,'HALF YEARLY'!$1:$1048576,13,0)</f>
        <v>0</v>
      </c>
      <c r="AH4" s="27">
        <f>VLOOKUP($A4,'HALF YEARLY'!$1:$1048576,14,0)</f>
        <v>0</v>
      </c>
      <c r="AI4" s="32">
        <f>VLOOKUP($A4,'HALF YEARLY'!$1:$1048576,15,0)</f>
        <v>0</v>
      </c>
    </row>
    <row r="5" spans="1:36" x14ac:dyDescent="0.3">
      <c r="A5" s="3">
        <f>DETAILS!A4</f>
        <v>1571</v>
      </c>
      <c r="B5" s="3" t="str">
        <f>DETAILS!B4</f>
        <v>ABHIJEET PATEL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VLOOKUP($A5,'HALF YEARLY'!$1:$1048576,8,0)</f>
        <v>0</v>
      </c>
      <c r="AC5" s="27" t="str">
        <f>VLOOKUP($A5,'HALF YEARLY'!$1:$1048576,9,0)</f>
        <v>E</v>
      </c>
      <c r="AD5" s="27" t="str">
        <f>VLOOKUP($A5,'HALF YEARLY'!$1:$1048576,10,0)</f>
        <v>E</v>
      </c>
      <c r="AE5" s="27">
        <f>VLOOKUP($A5,'HALF YEARLY'!$1:$1048576,11,0)</f>
        <v>0</v>
      </c>
      <c r="AF5" s="27">
        <f>VLOOKUP($A5,'HALF YEARLY'!$1:$1048576,12,0)</f>
        <v>0</v>
      </c>
      <c r="AG5" s="27">
        <f>VLOOKUP($A5,'HALF YEARLY'!$1:$1048576,13,0)</f>
        <v>0</v>
      </c>
      <c r="AH5" s="27">
        <f>VLOOKUP($A5,'HALF YEARLY'!$1:$1048576,14,0)</f>
        <v>0</v>
      </c>
      <c r="AI5" s="32">
        <f>VLOOKUP($A5,'HALF YEARLY'!$1:$1048576,15,0)</f>
        <v>0</v>
      </c>
    </row>
    <row r="6" spans="1:36" x14ac:dyDescent="0.3">
      <c r="A6" s="3">
        <f>DETAILS!A5</f>
        <v>1881</v>
      </c>
      <c r="B6" s="3" t="str">
        <f>DETAILS!B5</f>
        <v>ADITI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VLOOKUP($A6,'HALF YEARLY'!$1:$1048576,8,0)</f>
        <v>0</v>
      </c>
      <c r="AC6" s="27" t="str">
        <f>VLOOKUP($A6,'HALF YEARLY'!$1:$1048576,9,0)</f>
        <v>E</v>
      </c>
      <c r="AD6" s="27" t="str">
        <f>VLOOKUP($A6,'HALF YEARLY'!$1:$1048576,10,0)</f>
        <v>E</v>
      </c>
      <c r="AE6" s="27">
        <f>VLOOKUP($A6,'HALF YEARLY'!$1:$1048576,11,0)</f>
        <v>0</v>
      </c>
      <c r="AF6" s="27">
        <f>VLOOKUP($A6,'HALF YEARLY'!$1:$1048576,12,0)</f>
        <v>0</v>
      </c>
      <c r="AG6" s="27">
        <f>VLOOKUP($A6,'HALF YEARLY'!$1:$1048576,13,0)</f>
        <v>0</v>
      </c>
      <c r="AH6" s="27">
        <f>VLOOKUP($A6,'HALF YEARLY'!$1:$1048576,14,0)</f>
        <v>0</v>
      </c>
      <c r="AI6" s="32">
        <f>VLOOKUP($A6,'HALF YEARLY'!$1:$1048576,15,0)</f>
        <v>0</v>
      </c>
    </row>
    <row r="7" spans="1:36" x14ac:dyDescent="0.3">
      <c r="A7" s="3">
        <f>DETAILS!A6</f>
        <v>1559</v>
      </c>
      <c r="B7" s="3" t="str">
        <f>DETAILS!B6</f>
        <v>ADITYA VERMA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VLOOKUP($A7,'HALF YEARLY'!$1:$1048576,8,0)</f>
        <v>0</v>
      </c>
      <c r="AC7" s="27" t="str">
        <f>VLOOKUP($A7,'HALF YEARLY'!$1:$1048576,9,0)</f>
        <v>E</v>
      </c>
      <c r="AD7" s="27" t="str">
        <f>VLOOKUP($A7,'HALF YEARLY'!$1:$1048576,10,0)</f>
        <v>E</v>
      </c>
      <c r="AE7" s="27">
        <f>VLOOKUP($A7,'HALF YEARLY'!$1:$1048576,11,0)</f>
        <v>0</v>
      </c>
      <c r="AF7" s="27">
        <f>VLOOKUP($A7,'HALF YEARLY'!$1:$1048576,12,0)</f>
        <v>0</v>
      </c>
      <c r="AG7" s="27">
        <f>VLOOKUP($A7,'HALF YEARLY'!$1:$1048576,13,0)</f>
        <v>0</v>
      </c>
      <c r="AH7" s="27">
        <f>VLOOKUP($A7,'HALF YEARLY'!$1:$1048576,14,0)</f>
        <v>0</v>
      </c>
      <c r="AI7" s="32">
        <f>VLOOKUP($A7,'HALF YEARLY'!$1:$1048576,15,0)</f>
        <v>0</v>
      </c>
    </row>
    <row r="8" spans="1:36" x14ac:dyDescent="0.3">
      <c r="A8" s="3">
        <f>DETAILS!A7</f>
        <v>1548</v>
      </c>
      <c r="B8" s="3" t="str">
        <f>DETAILS!B7</f>
        <v>ADVIK BAJPAI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VLOOKUP($A8,'HALF YEARLY'!$1:$1048576,8,0)</f>
        <v>0</v>
      </c>
      <c r="AC8" s="27" t="str">
        <f>VLOOKUP($A8,'HALF YEARLY'!$1:$1048576,9,0)</f>
        <v>E</v>
      </c>
      <c r="AD8" s="27" t="str">
        <f>VLOOKUP($A8,'HALF YEARLY'!$1:$1048576,10,0)</f>
        <v>E</v>
      </c>
      <c r="AE8" s="27">
        <f>VLOOKUP($A8,'HALF YEARLY'!$1:$1048576,11,0)</f>
        <v>0</v>
      </c>
      <c r="AF8" s="27">
        <f>VLOOKUP($A8,'HALF YEARLY'!$1:$1048576,12,0)</f>
        <v>0</v>
      </c>
      <c r="AG8" s="27">
        <f>VLOOKUP($A8,'HALF YEARLY'!$1:$1048576,13,0)</f>
        <v>0</v>
      </c>
      <c r="AH8" s="27">
        <f>VLOOKUP($A8,'HALF YEARLY'!$1:$1048576,14,0)</f>
        <v>0</v>
      </c>
      <c r="AI8" s="32">
        <f>VLOOKUP($A8,'HALF YEARLY'!$1:$1048576,15,0)</f>
        <v>0</v>
      </c>
    </row>
    <row r="9" spans="1:36" x14ac:dyDescent="0.3">
      <c r="A9" s="3">
        <f>DETAILS!A8</f>
        <v>1549</v>
      </c>
      <c r="B9" s="3" t="str">
        <f>DETAILS!B8</f>
        <v>AHEM SHARMA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VLOOKUP($A9,'HALF YEARLY'!$1:$1048576,8,0)</f>
        <v>0</v>
      </c>
      <c r="AC9" s="27" t="str">
        <f>VLOOKUP($A9,'HALF YEARLY'!$1:$1048576,9,0)</f>
        <v>E</v>
      </c>
      <c r="AD9" s="27" t="str">
        <f>VLOOKUP($A9,'HALF YEARLY'!$1:$1048576,10,0)</f>
        <v>E</v>
      </c>
      <c r="AE9" s="27">
        <f>VLOOKUP($A9,'HALF YEARLY'!$1:$1048576,11,0)</f>
        <v>0</v>
      </c>
      <c r="AF9" s="27">
        <f>VLOOKUP($A9,'HALF YEARLY'!$1:$1048576,12,0)</f>
        <v>0</v>
      </c>
      <c r="AG9" s="27">
        <f>VLOOKUP($A9,'HALF YEARLY'!$1:$1048576,13,0)</f>
        <v>0</v>
      </c>
      <c r="AH9" s="27">
        <f>VLOOKUP($A9,'HALF YEARLY'!$1:$1048576,14,0)</f>
        <v>0</v>
      </c>
      <c r="AI9" s="32">
        <f>VLOOKUP($A9,'HALF YEARLY'!$1:$1048576,15,0)</f>
        <v>0</v>
      </c>
    </row>
    <row r="10" spans="1:36" x14ac:dyDescent="0.3">
      <c r="A10" s="3">
        <f>DETAILS!A9</f>
        <v>1556</v>
      </c>
      <c r="B10" s="3" t="str">
        <f>DETAILS!B9</f>
        <v>AKRATI VISHWAKARMA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VLOOKUP($A10,'HALF YEARLY'!$1:$1048576,8,0)</f>
        <v>0</v>
      </c>
      <c r="AC10" s="27" t="str">
        <f>VLOOKUP($A10,'HALF YEARLY'!$1:$1048576,9,0)</f>
        <v>E</v>
      </c>
      <c r="AD10" s="27" t="str">
        <f>VLOOKUP($A10,'HALF YEARLY'!$1:$1048576,10,0)</f>
        <v>E</v>
      </c>
      <c r="AE10" s="27">
        <f>VLOOKUP($A10,'HALF YEARLY'!$1:$1048576,11,0)</f>
        <v>0</v>
      </c>
      <c r="AF10" s="27">
        <f>VLOOKUP($A10,'HALF YEARLY'!$1:$1048576,12,0)</f>
        <v>0</v>
      </c>
      <c r="AG10" s="27">
        <f>VLOOKUP($A10,'HALF YEARLY'!$1:$1048576,13,0)</f>
        <v>0</v>
      </c>
      <c r="AH10" s="27">
        <f>VLOOKUP($A10,'HALF YEARLY'!$1:$1048576,14,0)</f>
        <v>0</v>
      </c>
      <c r="AI10" s="32">
        <f>VLOOKUP($A10,'HALF YEARLY'!$1:$1048576,15,0)</f>
        <v>0</v>
      </c>
    </row>
    <row r="11" spans="1:36" x14ac:dyDescent="0.3">
      <c r="A11" s="3">
        <f>DETAILS!A10</f>
        <v>1915</v>
      </c>
      <c r="B11" s="3" t="str">
        <f>DETAILS!B10</f>
        <v>AKRITI SHUKLA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VLOOKUP($A11,'HALF YEARLY'!$1:$1048576,8,0)</f>
        <v>0</v>
      </c>
      <c r="AC11" s="27" t="str">
        <f>VLOOKUP($A11,'HALF YEARLY'!$1:$1048576,9,0)</f>
        <v>E</v>
      </c>
      <c r="AD11" s="27" t="str">
        <f>VLOOKUP($A11,'HALF YEARLY'!$1:$1048576,10,0)</f>
        <v>E</v>
      </c>
      <c r="AE11" s="27">
        <f>VLOOKUP($A11,'HALF YEARLY'!$1:$1048576,11,0)</f>
        <v>0</v>
      </c>
      <c r="AF11" s="27">
        <f>VLOOKUP($A11,'HALF YEARLY'!$1:$1048576,12,0)</f>
        <v>0</v>
      </c>
      <c r="AG11" s="27">
        <f>VLOOKUP($A11,'HALF YEARLY'!$1:$1048576,13,0)</f>
        <v>0</v>
      </c>
      <c r="AH11" s="27">
        <f>VLOOKUP($A11,'HALF YEARLY'!$1:$1048576,14,0)</f>
        <v>0</v>
      </c>
      <c r="AI11" s="32">
        <f>VLOOKUP($A11,'HALF YEARLY'!$1:$1048576,15,0)</f>
        <v>0</v>
      </c>
    </row>
    <row r="12" spans="1:36" x14ac:dyDescent="0.3">
      <c r="A12" s="3">
        <f>DETAILS!A11</f>
        <v>1563</v>
      </c>
      <c r="B12" s="3" t="str">
        <f>DETAILS!B11</f>
        <v>ANANYA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VLOOKUP($A12,'HALF YEARLY'!$1:$1048576,8,0)</f>
        <v>0</v>
      </c>
      <c r="AC12" s="27" t="str">
        <f>VLOOKUP($A12,'HALF YEARLY'!$1:$1048576,9,0)</f>
        <v>E</v>
      </c>
      <c r="AD12" s="27" t="str">
        <f>VLOOKUP($A12,'HALF YEARLY'!$1:$1048576,10,0)</f>
        <v>E</v>
      </c>
      <c r="AE12" s="27">
        <f>VLOOKUP($A12,'HALF YEARLY'!$1:$1048576,11,0)</f>
        <v>0</v>
      </c>
      <c r="AF12" s="27">
        <f>VLOOKUP($A12,'HALF YEARLY'!$1:$1048576,12,0)</f>
        <v>0</v>
      </c>
      <c r="AG12" s="27">
        <f>VLOOKUP($A12,'HALF YEARLY'!$1:$1048576,13,0)</f>
        <v>0</v>
      </c>
      <c r="AH12" s="27">
        <f>VLOOKUP($A12,'HALF YEARLY'!$1:$1048576,14,0)</f>
        <v>0</v>
      </c>
      <c r="AI12" s="32">
        <f>VLOOKUP($A12,'HALF YEARLY'!$1:$1048576,15,0)</f>
        <v>0</v>
      </c>
    </row>
    <row r="13" spans="1:36" x14ac:dyDescent="0.3">
      <c r="A13" s="3">
        <f>DETAILS!A12</f>
        <v>1562</v>
      </c>
      <c r="B13" s="3" t="str">
        <f>DETAILS!B12</f>
        <v>ANKITA RAJPOOT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VLOOKUP($A13,'HALF YEARLY'!$1:$1048576,8,0)</f>
        <v>0</v>
      </c>
      <c r="AC13" s="27" t="str">
        <f>VLOOKUP($A13,'HALF YEARLY'!$1:$1048576,9,0)</f>
        <v>E</v>
      </c>
      <c r="AD13" s="27" t="str">
        <f>VLOOKUP($A13,'HALF YEARLY'!$1:$1048576,10,0)</f>
        <v>E</v>
      </c>
      <c r="AE13" s="27">
        <f>VLOOKUP($A13,'HALF YEARLY'!$1:$1048576,11,0)</f>
        <v>0</v>
      </c>
      <c r="AF13" s="27">
        <f>VLOOKUP($A13,'HALF YEARLY'!$1:$1048576,12,0)</f>
        <v>0</v>
      </c>
      <c r="AG13" s="27">
        <f>VLOOKUP($A13,'HALF YEARLY'!$1:$1048576,13,0)</f>
        <v>0</v>
      </c>
      <c r="AH13" s="27">
        <f>VLOOKUP($A13,'HALF YEARLY'!$1:$1048576,14,0)</f>
        <v>0</v>
      </c>
      <c r="AI13" s="32">
        <f>VLOOKUP($A13,'HALF YEARLY'!$1:$1048576,15,0)</f>
        <v>0</v>
      </c>
    </row>
    <row r="14" spans="1:36" x14ac:dyDescent="0.3">
      <c r="A14" s="3">
        <f>DETAILS!A13</f>
        <v>1547</v>
      </c>
      <c r="B14" s="3" t="str">
        <f>DETAILS!B13</f>
        <v>ANSHIKA PANDEY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VLOOKUP($A14,'HALF YEARLY'!$1:$1048576,8,0)</f>
        <v>0</v>
      </c>
      <c r="AC14" s="27" t="str">
        <f>VLOOKUP($A14,'HALF YEARLY'!$1:$1048576,9,0)</f>
        <v>E</v>
      </c>
      <c r="AD14" s="27" t="str">
        <f>VLOOKUP($A14,'HALF YEARLY'!$1:$1048576,10,0)</f>
        <v>E</v>
      </c>
      <c r="AE14" s="27">
        <f>VLOOKUP($A14,'HALF YEARLY'!$1:$1048576,11,0)</f>
        <v>0</v>
      </c>
      <c r="AF14" s="27">
        <f>VLOOKUP($A14,'HALF YEARLY'!$1:$1048576,12,0)</f>
        <v>0</v>
      </c>
      <c r="AG14" s="27">
        <f>VLOOKUP($A14,'HALF YEARLY'!$1:$1048576,13,0)</f>
        <v>0</v>
      </c>
      <c r="AH14" s="27">
        <f>VLOOKUP($A14,'HALF YEARLY'!$1:$1048576,14,0)</f>
        <v>0</v>
      </c>
      <c r="AI14" s="32">
        <f>VLOOKUP($A14,'HALF YEARLY'!$1:$1048576,15,0)</f>
        <v>0</v>
      </c>
    </row>
    <row r="15" spans="1:36" x14ac:dyDescent="0.3">
      <c r="A15" s="3">
        <f>DETAILS!A14</f>
        <v>1644</v>
      </c>
      <c r="B15" s="3" t="str">
        <f>DETAILS!B14</f>
        <v>ARADHYA SINGH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VLOOKUP($A15,'HALF YEARLY'!$1:$1048576,8,0)</f>
        <v>0</v>
      </c>
      <c r="AC15" s="27" t="str">
        <f>VLOOKUP($A15,'HALF YEARLY'!$1:$1048576,9,0)</f>
        <v>E</v>
      </c>
      <c r="AD15" s="27" t="str">
        <f>VLOOKUP($A15,'HALF YEARLY'!$1:$1048576,10,0)</f>
        <v>E</v>
      </c>
      <c r="AE15" s="27">
        <f>VLOOKUP($A15,'HALF YEARLY'!$1:$1048576,11,0)</f>
        <v>0</v>
      </c>
      <c r="AF15" s="27">
        <f>VLOOKUP($A15,'HALF YEARLY'!$1:$1048576,12,0)</f>
        <v>0</v>
      </c>
      <c r="AG15" s="27">
        <f>VLOOKUP($A15,'HALF YEARLY'!$1:$1048576,13,0)</f>
        <v>0</v>
      </c>
      <c r="AH15" s="27">
        <f>VLOOKUP($A15,'HALF YEARLY'!$1:$1048576,14,0)</f>
        <v>0</v>
      </c>
      <c r="AI15" s="32">
        <f>VLOOKUP($A15,'HALF YEARLY'!$1:$1048576,15,0)</f>
        <v>0</v>
      </c>
    </row>
    <row r="16" spans="1:36" x14ac:dyDescent="0.3">
      <c r="A16" s="3">
        <f>DETAILS!A15</f>
        <v>1566</v>
      </c>
      <c r="B16" s="3" t="str">
        <f>DETAILS!B15</f>
        <v>ARIYAN PAL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VLOOKUP($A16,'HALF YEARLY'!$1:$1048576,8,0)</f>
        <v>0</v>
      </c>
      <c r="AC16" s="27" t="str">
        <f>VLOOKUP($A16,'HALF YEARLY'!$1:$1048576,9,0)</f>
        <v>E</v>
      </c>
      <c r="AD16" s="27" t="str">
        <f>VLOOKUP($A16,'HALF YEARLY'!$1:$1048576,10,0)</f>
        <v>E</v>
      </c>
      <c r="AE16" s="27">
        <f>VLOOKUP($A16,'HALF YEARLY'!$1:$1048576,11,0)</f>
        <v>0</v>
      </c>
      <c r="AF16" s="27">
        <f>VLOOKUP($A16,'HALF YEARLY'!$1:$1048576,12,0)</f>
        <v>0</v>
      </c>
      <c r="AG16" s="27">
        <f>VLOOKUP($A16,'HALF YEARLY'!$1:$1048576,13,0)</f>
        <v>0</v>
      </c>
      <c r="AH16" s="27">
        <f>VLOOKUP($A16,'HALF YEARLY'!$1:$1048576,14,0)</f>
        <v>0</v>
      </c>
      <c r="AI16" s="32">
        <f>VLOOKUP($A16,'HALF YEARLY'!$1:$1048576,15,0)</f>
        <v>0</v>
      </c>
    </row>
    <row r="17" spans="1:35" x14ac:dyDescent="0.3">
      <c r="A17" s="3">
        <f>DETAILS!A16</f>
        <v>1878</v>
      </c>
      <c r="B17" s="3" t="str">
        <f>DETAILS!B16</f>
        <v>AROHI VERMA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VLOOKUP($A17,'HALF YEARLY'!$1:$1048576,8,0)</f>
        <v>0</v>
      </c>
      <c r="AC17" s="27" t="str">
        <f>VLOOKUP($A17,'HALF YEARLY'!$1:$1048576,9,0)</f>
        <v>E</v>
      </c>
      <c r="AD17" s="27" t="str">
        <f>VLOOKUP($A17,'HALF YEARLY'!$1:$1048576,10,0)</f>
        <v>E</v>
      </c>
      <c r="AE17" s="27">
        <f>VLOOKUP($A17,'HALF YEARLY'!$1:$1048576,11,0)</f>
        <v>0</v>
      </c>
      <c r="AF17" s="27">
        <f>VLOOKUP($A17,'HALF YEARLY'!$1:$1048576,12,0)</f>
        <v>0</v>
      </c>
      <c r="AG17" s="27">
        <f>VLOOKUP($A17,'HALF YEARLY'!$1:$1048576,13,0)</f>
        <v>0</v>
      </c>
      <c r="AH17" s="27">
        <f>VLOOKUP($A17,'HALF YEARLY'!$1:$1048576,14,0)</f>
        <v>0</v>
      </c>
      <c r="AI17" s="32">
        <f>VLOOKUP($A17,'HALF YEARLY'!$1:$1048576,15,0)</f>
        <v>0</v>
      </c>
    </row>
    <row r="18" spans="1:35" x14ac:dyDescent="0.3">
      <c r="A18" s="3">
        <f>DETAILS!A17</f>
        <v>1809</v>
      </c>
      <c r="B18" s="3" t="str">
        <f>DETAILS!B17</f>
        <v>ARUNENDRA PRATAP SINGH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VLOOKUP($A18,'HALF YEARLY'!$1:$1048576,8,0)</f>
        <v>0</v>
      </c>
      <c r="AC18" s="27" t="str">
        <f>VLOOKUP($A18,'HALF YEARLY'!$1:$1048576,9,0)</f>
        <v>E</v>
      </c>
      <c r="AD18" s="27" t="str">
        <f>VLOOKUP($A18,'HALF YEARLY'!$1:$1048576,10,0)</f>
        <v>E</v>
      </c>
      <c r="AE18" s="27">
        <f>VLOOKUP($A18,'HALF YEARLY'!$1:$1048576,11,0)</f>
        <v>0</v>
      </c>
      <c r="AF18" s="27">
        <f>VLOOKUP($A18,'HALF YEARLY'!$1:$1048576,12,0)</f>
        <v>0</v>
      </c>
      <c r="AG18" s="27">
        <f>VLOOKUP($A18,'HALF YEARLY'!$1:$1048576,13,0)</f>
        <v>0</v>
      </c>
      <c r="AH18" s="27">
        <f>VLOOKUP($A18,'HALF YEARLY'!$1:$1048576,14,0)</f>
        <v>0</v>
      </c>
      <c r="AI18" s="32">
        <f>VLOOKUP($A18,'HALF YEARLY'!$1:$1048576,15,0)</f>
        <v>0</v>
      </c>
    </row>
    <row r="19" spans="1:35" x14ac:dyDescent="0.3">
      <c r="A19" s="3">
        <f>DETAILS!A18</f>
        <v>1920</v>
      </c>
      <c r="B19" s="3" t="str">
        <f>DETAILS!B18</f>
        <v>ATHARV SINGH CHAUHAN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VLOOKUP($A19,'HALF YEARLY'!$1:$1048576,8,0)</f>
        <v>0</v>
      </c>
      <c r="AC19" s="27" t="str">
        <f>VLOOKUP($A19,'HALF YEARLY'!$1:$1048576,9,0)</f>
        <v>E</v>
      </c>
      <c r="AD19" s="27" t="str">
        <f>VLOOKUP($A19,'HALF YEARLY'!$1:$1048576,10,0)</f>
        <v>E</v>
      </c>
      <c r="AE19" s="27">
        <f>VLOOKUP($A19,'HALF YEARLY'!$1:$1048576,11,0)</f>
        <v>0</v>
      </c>
      <c r="AF19" s="27">
        <f>VLOOKUP($A19,'HALF YEARLY'!$1:$1048576,12,0)</f>
        <v>0</v>
      </c>
      <c r="AG19" s="27">
        <f>VLOOKUP($A19,'HALF YEARLY'!$1:$1048576,13,0)</f>
        <v>0</v>
      </c>
      <c r="AH19" s="27">
        <f>VLOOKUP($A19,'HALF YEARLY'!$1:$1048576,14,0)</f>
        <v>0</v>
      </c>
      <c r="AI19" s="32">
        <f>VLOOKUP($A19,'HALF YEARLY'!$1:$1048576,15,0)</f>
        <v>0</v>
      </c>
    </row>
    <row r="20" spans="1:35" x14ac:dyDescent="0.3">
      <c r="A20" s="3">
        <f>DETAILS!A19</f>
        <v>1569</v>
      </c>
      <c r="B20" s="3" t="str">
        <f>DETAILS!B19</f>
        <v>AVNI VERMA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VLOOKUP($A20,'HALF YEARLY'!$1:$1048576,8,0)</f>
        <v>0</v>
      </c>
      <c r="AC20" s="27" t="str">
        <f>VLOOKUP($A20,'HALF YEARLY'!$1:$1048576,9,0)</f>
        <v>E</v>
      </c>
      <c r="AD20" s="27" t="str">
        <f>VLOOKUP($A20,'HALF YEARLY'!$1:$1048576,10,0)</f>
        <v>E</v>
      </c>
      <c r="AE20" s="27">
        <f>VLOOKUP($A20,'HALF YEARLY'!$1:$1048576,11,0)</f>
        <v>0</v>
      </c>
      <c r="AF20" s="27">
        <f>VLOOKUP($A20,'HALF YEARLY'!$1:$1048576,12,0)</f>
        <v>0</v>
      </c>
      <c r="AG20" s="27">
        <f>VLOOKUP($A20,'HALF YEARLY'!$1:$1048576,13,0)</f>
        <v>0</v>
      </c>
      <c r="AH20" s="27">
        <f>VLOOKUP($A20,'HALF YEARLY'!$1:$1048576,14,0)</f>
        <v>0</v>
      </c>
      <c r="AI20" s="32">
        <f>VLOOKUP($A20,'HALF YEARLY'!$1:$1048576,15,0)</f>
        <v>0</v>
      </c>
    </row>
    <row r="21" spans="1:35" x14ac:dyDescent="0.3">
      <c r="A21" s="3">
        <f>DETAILS!A20</f>
        <v>1789</v>
      </c>
      <c r="B21" s="3" t="str">
        <f>DETAILS!B20</f>
        <v>AYUSHI YADAV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VLOOKUP($A21,'HALF YEARLY'!$1:$1048576,8,0)</f>
        <v>0</v>
      </c>
      <c r="AC21" s="27" t="str">
        <f>VLOOKUP($A21,'HALF YEARLY'!$1:$1048576,9,0)</f>
        <v>E</v>
      </c>
      <c r="AD21" s="27" t="str">
        <f>VLOOKUP($A21,'HALF YEARLY'!$1:$1048576,10,0)</f>
        <v>E</v>
      </c>
      <c r="AE21" s="27">
        <f>VLOOKUP($A21,'HALF YEARLY'!$1:$1048576,11,0)</f>
        <v>0</v>
      </c>
      <c r="AF21" s="27">
        <f>VLOOKUP($A21,'HALF YEARLY'!$1:$1048576,12,0)</f>
        <v>0</v>
      </c>
      <c r="AG21" s="27">
        <f>VLOOKUP($A21,'HALF YEARLY'!$1:$1048576,13,0)</f>
        <v>0</v>
      </c>
      <c r="AH21" s="27">
        <f>VLOOKUP($A21,'HALF YEARLY'!$1:$1048576,14,0)</f>
        <v>0</v>
      </c>
      <c r="AI21" s="32">
        <f>VLOOKUP($A21,'HALF YEARLY'!$1:$1048576,15,0)</f>
        <v>0</v>
      </c>
    </row>
    <row r="22" spans="1:35" x14ac:dyDescent="0.3">
      <c r="A22" s="3">
        <f>DETAILS!A21</f>
        <v>1673</v>
      </c>
      <c r="B22" s="3" t="str">
        <f>DETAILS!B21</f>
        <v>DEVANSH SINGH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VLOOKUP($A22,'HALF YEARLY'!$1:$1048576,8,0)</f>
        <v>0</v>
      </c>
      <c r="AC22" s="27" t="str">
        <f>VLOOKUP($A22,'HALF YEARLY'!$1:$1048576,9,0)</f>
        <v>E</v>
      </c>
      <c r="AD22" s="27" t="str">
        <f>VLOOKUP($A22,'HALF YEARLY'!$1:$1048576,10,0)</f>
        <v>E</v>
      </c>
      <c r="AE22" s="27">
        <f>VLOOKUP($A22,'HALF YEARLY'!$1:$1048576,11,0)</f>
        <v>0</v>
      </c>
      <c r="AF22" s="27">
        <f>VLOOKUP($A22,'HALF YEARLY'!$1:$1048576,12,0)</f>
        <v>0</v>
      </c>
      <c r="AG22" s="27">
        <f>VLOOKUP($A22,'HALF YEARLY'!$1:$1048576,13,0)</f>
        <v>0</v>
      </c>
      <c r="AH22" s="27">
        <f>VLOOKUP($A22,'HALF YEARLY'!$1:$1048576,14,0)</f>
        <v>0</v>
      </c>
      <c r="AI22" s="32">
        <f>VLOOKUP($A22,'HALF YEARLY'!$1:$1048576,15,0)</f>
        <v>0</v>
      </c>
    </row>
    <row r="23" spans="1:35" x14ac:dyDescent="0.3">
      <c r="A23" s="3">
        <f>DETAILS!A22</f>
        <v>1649</v>
      </c>
      <c r="B23" s="3" t="str">
        <f>DETAILS!B22</f>
        <v>DEVISHA TIWARI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VLOOKUP($A23,'HALF YEARLY'!$1:$1048576,8,0)</f>
        <v>0</v>
      </c>
      <c r="AC23" s="27" t="str">
        <f>VLOOKUP($A23,'HALF YEARLY'!$1:$1048576,9,0)</f>
        <v>E</v>
      </c>
      <c r="AD23" s="27" t="str">
        <f>VLOOKUP($A23,'HALF YEARLY'!$1:$1048576,10,0)</f>
        <v>E</v>
      </c>
      <c r="AE23" s="27">
        <f>VLOOKUP($A23,'HALF YEARLY'!$1:$1048576,11,0)</f>
        <v>0</v>
      </c>
      <c r="AF23" s="27">
        <f>VLOOKUP($A23,'HALF YEARLY'!$1:$1048576,12,0)</f>
        <v>0</v>
      </c>
      <c r="AG23" s="27">
        <f>VLOOKUP($A23,'HALF YEARLY'!$1:$1048576,13,0)</f>
        <v>0</v>
      </c>
      <c r="AH23" s="27">
        <f>VLOOKUP($A23,'HALF YEARLY'!$1:$1048576,14,0)</f>
        <v>0</v>
      </c>
      <c r="AI23" s="32">
        <f>VLOOKUP($A23,'HALF YEARLY'!$1:$1048576,15,0)</f>
        <v>0</v>
      </c>
    </row>
    <row r="24" spans="1:35" x14ac:dyDescent="0.3">
      <c r="A24" s="3">
        <f>DETAILS!A23</f>
        <v>1791</v>
      </c>
      <c r="B24" s="3" t="str">
        <f>DETAILS!B23</f>
        <v>DIPANSH SRIVASTAVA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VLOOKUP($A24,'HALF YEARLY'!$1:$1048576,8,0)</f>
        <v>0</v>
      </c>
      <c r="AC24" s="27" t="str">
        <f>VLOOKUP($A24,'HALF YEARLY'!$1:$1048576,9,0)</f>
        <v>E</v>
      </c>
      <c r="AD24" s="27" t="str">
        <f>VLOOKUP($A24,'HALF YEARLY'!$1:$1048576,10,0)</f>
        <v>E</v>
      </c>
      <c r="AE24" s="27">
        <f>VLOOKUP($A24,'HALF YEARLY'!$1:$1048576,11,0)</f>
        <v>0</v>
      </c>
      <c r="AF24" s="27">
        <f>VLOOKUP($A24,'HALF YEARLY'!$1:$1048576,12,0)</f>
        <v>0</v>
      </c>
      <c r="AG24" s="27">
        <f>VLOOKUP($A24,'HALF YEARLY'!$1:$1048576,13,0)</f>
        <v>0</v>
      </c>
      <c r="AH24" s="27">
        <f>VLOOKUP($A24,'HALF YEARLY'!$1:$1048576,14,0)</f>
        <v>0</v>
      </c>
      <c r="AI24" s="32">
        <f>VLOOKUP($A24,'HALF YEARLY'!$1:$1048576,15,0)</f>
        <v>0</v>
      </c>
    </row>
    <row r="25" spans="1:35" x14ac:dyDescent="0.3">
      <c r="A25" s="3">
        <f>DETAILS!A24</f>
        <v>1564</v>
      </c>
      <c r="B25" s="3" t="str">
        <f>DETAILS!B24</f>
        <v>GAURAV YADAV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VLOOKUP($A25,'HALF YEARLY'!$1:$1048576,8,0)</f>
        <v>0</v>
      </c>
      <c r="AC25" s="27" t="str">
        <f>VLOOKUP($A25,'HALF YEARLY'!$1:$1048576,9,0)</f>
        <v>E</v>
      </c>
      <c r="AD25" s="27" t="str">
        <f>VLOOKUP($A25,'HALF YEARLY'!$1:$1048576,10,0)</f>
        <v>E</v>
      </c>
      <c r="AE25" s="27">
        <f>VLOOKUP($A25,'HALF YEARLY'!$1:$1048576,11,0)</f>
        <v>0</v>
      </c>
      <c r="AF25" s="27">
        <f>VLOOKUP($A25,'HALF YEARLY'!$1:$1048576,12,0)</f>
        <v>0</v>
      </c>
      <c r="AG25" s="27">
        <f>VLOOKUP($A25,'HALF YEARLY'!$1:$1048576,13,0)</f>
        <v>0</v>
      </c>
      <c r="AH25" s="27">
        <f>VLOOKUP($A25,'HALF YEARLY'!$1:$1048576,14,0)</f>
        <v>0</v>
      </c>
      <c r="AI25" s="32">
        <f>VLOOKUP($A25,'HALF YEARLY'!$1:$1048576,15,0)</f>
        <v>0</v>
      </c>
    </row>
    <row r="26" spans="1:35" x14ac:dyDescent="0.3">
      <c r="A26" s="3">
        <f>DETAILS!A25</f>
        <v>1573</v>
      </c>
      <c r="B26" s="3" t="str">
        <f>DETAILS!B25</f>
        <v>HARIOM MISHRA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VLOOKUP($A26,'HALF YEARLY'!$1:$1048576,8,0)</f>
        <v>0</v>
      </c>
      <c r="AC26" s="27" t="str">
        <f>VLOOKUP($A26,'HALF YEARLY'!$1:$1048576,9,0)</f>
        <v>E</v>
      </c>
      <c r="AD26" s="27" t="str">
        <f>VLOOKUP($A26,'HALF YEARLY'!$1:$1048576,10,0)</f>
        <v>E</v>
      </c>
      <c r="AE26" s="27">
        <f>VLOOKUP($A26,'HALF YEARLY'!$1:$1048576,11,0)</f>
        <v>0</v>
      </c>
      <c r="AF26" s="27">
        <f>VLOOKUP($A26,'HALF YEARLY'!$1:$1048576,12,0)</f>
        <v>0</v>
      </c>
      <c r="AG26" s="27">
        <f>VLOOKUP($A26,'HALF YEARLY'!$1:$1048576,13,0)</f>
        <v>0</v>
      </c>
      <c r="AH26" s="27">
        <f>VLOOKUP($A26,'HALF YEARLY'!$1:$1048576,14,0)</f>
        <v>0</v>
      </c>
      <c r="AI26" s="32">
        <f>VLOOKUP($A26,'HALF YEARLY'!$1:$1048576,15,0)</f>
        <v>0</v>
      </c>
    </row>
    <row r="27" spans="1:35" x14ac:dyDescent="0.3">
      <c r="A27" s="3">
        <f>DETAILS!A26</f>
        <v>1561</v>
      </c>
      <c r="B27" s="3" t="str">
        <f>DETAILS!B26</f>
        <v>HARSHITA MEENA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VLOOKUP($A27,'HALF YEARLY'!$1:$1048576,8,0)</f>
        <v>0</v>
      </c>
      <c r="AC27" s="27" t="str">
        <f>VLOOKUP($A27,'HALF YEARLY'!$1:$1048576,9,0)</f>
        <v>E</v>
      </c>
      <c r="AD27" s="27" t="str">
        <f>VLOOKUP($A27,'HALF YEARLY'!$1:$1048576,10,0)</f>
        <v>E</v>
      </c>
      <c r="AE27" s="27">
        <f>VLOOKUP($A27,'HALF YEARLY'!$1:$1048576,11,0)</f>
        <v>0</v>
      </c>
      <c r="AF27" s="27">
        <f>VLOOKUP($A27,'HALF YEARLY'!$1:$1048576,12,0)</f>
        <v>0</v>
      </c>
      <c r="AG27" s="27">
        <f>VLOOKUP($A27,'HALF YEARLY'!$1:$1048576,13,0)</f>
        <v>0</v>
      </c>
      <c r="AH27" s="27">
        <f>VLOOKUP($A27,'HALF YEARLY'!$1:$1048576,14,0)</f>
        <v>0</v>
      </c>
      <c r="AI27" s="32">
        <f>VLOOKUP($A27,'HALF YEARLY'!$1:$1048576,15,0)</f>
        <v>0</v>
      </c>
    </row>
    <row r="28" spans="1:35" x14ac:dyDescent="0.3">
      <c r="A28" s="3">
        <f>DETAILS!A27</f>
        <v>1565</v>
      </c>
      <c r="B28" s="3" t="str">
        <f>DETAILS!B27</f>
        <v>JANVI SINGH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VLOOKUP($A28,'HALF YEARLY'!$1:$1048576,8,0)</f>
        <v>0</v>
      </c>
      <c r="AC28" s="27" t="str">
        <f>VLOOKUP($A28,'HALF YEARLY'!$1:$1048576,9,0)</f>
        <v>E</v>
      </c>
      <c r="AD28" s="27" t="str">
        <f>VLOOKUP($A28,'HALF YEARLY'!$1:$1048576,10,0)</f>
        <v>E</v>
      </c>
      <c r="AE28" s="27">
        <f>VLOOKUP($A28,'HALF YEARLY'!$1:$1048576,11,0)</f>
        <v>0</v>
      </c>
      <c r="AF28" s="27">
        <f>VLOOKUP($A28,'HALF YEARLY'!$1:$1048576,12,0)</f>
        <v>0</v>
      </c>
      <c r="AG28" s="27">
        <f>VLOOKUP($A28,'HALF YEARLY'!$1:$1048576,13,0)</f>
        <v>0</v>
      </c>
      <c r="AH28" s="27">
        <f>VLOOKUP($A28,'HALF YEARLY'!$1:$1048576,14,0)</f>
        <v>0</v>
      </c>
      <c r="AI28" s="32">
        <f>VLOOKUP($A28,'HALF YEARLY'!$1:$1048576,15,0)</f>
        <v>0</v>
      </c>
    </row>
    <row r="29" spans="1:35" x14ac:dyDescent="0.3">
      <c r="A29" s="3">
        <f>DETAILS!A28</f>
        <v>1870</v>
      </c>
      <c r="B29" s="3" t="str">
        <f>DETAILS!B28</f>
        <v>JANVI SINGH SENGAR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VLOOKUP($A29,'HALF YEARLY'!$1:$1048576,8,0)</f>
        <v>0</v>
      </c>
      <c r="AC29" s="27" t="str">
        <f>VLOOKUP($A29,'HALF YEARLY'!$1:$1048576,9,0)</f>
        <v>E</v>
      </c>
      <c r="AD29" s="27" t="str">
        <f>VLOOKUP($A29,'HALF YEARLY'!$1:$1048576,10,0)</f>
        <v>E</v>
      </c>
      <c r="AE29" s="27">
        <f>VLOOKUP($A29,'HALF YEARLY'!$1:$1048576,11,0)</f>
        <v>0</v>
      </c>
      <c r="AF29" s="27">
        <f>VLOOKUP($A29,'HALF YEARLY'!$1:$1048576,12,0)</f>
        <v>0</v>
      </c>
      <c r="AG29" s="27">
        <f>VLOOKUP($A29,'HALF YEARLY'!$1:$1048576,13,0)</f>
        <v>0</v>
      </c>
      <c r="AH29" s="27">
        <f>VLOOKUP($A29,'HALF YEARLY'!$1:$1048576,14,0)</f>
        <v>0</v>
      </c>
      <c r="AI29" s="32">
        <f>VLOOKUP($A29,'HALF YEARLY'!$1:$1048576,15,0)</f>
        <v>0</v>
      </c>
    </row>
    <row r="30" spans="1:35" x14ac:dyDescent="0.3">
      <c r="A30" s="3">
        <f>DETAILS!A29</f>
        <v>1657</v>
      </c>
      <c r="B30" s="3" t="str">
        <f>DETAILS!B29</f>
        <v>KARNIKA VERMA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VLOOKUP($A30,'HALF YEARLY'!$1:$1048576,8,0)</f>
        <v>0</v>
      </c>
      <c r="AC30" s="27" t="str">
        <f>VLOOKUP($A30,'HALF YEARLY'!$1:$1048576,9,0)</f>
        <v>E</v>
      </c>
      <c r="AD30" s="27" t="str">
        <f>VLOOKUP($A30,'HALF YEARLY'!$1:$1048576,10,0)</f>
        <v>E</v>
      </c>
      <c r="AE30" s="27">
        <f>VLOOKUP($A30,'HALF YEARLY'!$1:$1048576,11,0)</f>
        <v>0</v>
      </c>
      <c r="AF30" s="27">
        <f>VLOOKUP($A30,'HALF YEARLY'!$1:$1048576,12,0)</f>
        <v>0</v>
      </c>
      <c r="AG30" s="27">
        <f>VLOOKUP($A30,'HALF YEARLY'!$1:$1048576,13,0)</f>
        <v>0</v>
      </c>
      <c r="AH30" s="27">
        <f>VLOOKUP($A30,'HALF YEARLY'!$1:$1048576,14,0)</f>
        <v>0</v>
      </c>
      <c r="AI30" s="32">
        <f>VLOOKUP($A30,'HALF YEARLY'!$1:$1048576,15,0)</f>
        <v>0</v>
      </c>
    </row>
    <row r="31" spans="1:35" x14ac:dyDescent="0.3">
      <c r="A31" s="3">
        <f>DETAILS!A30</f>
        <v>1558</v>
      </c>
      <c r="B31" s="3" t="str">
        <f>DETAILS!B30</f>
        <v>KAVYA TIWARI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VLOOKUP($A31,'HALF YEARLY'!$1:$1048576,8,0)</f>
        <v>0</v>
      </c>
      <c r="AC31" s="27" t="str">
        <f>VLOOKUP($A31,'HALF YEARLY'!$1:$1048576,9,0)</f>
        <v>E</v>
      </c>
      <c r="AD31" s="27" t="str">
        <f>VLOOKUP($A31,'HALF YEARLY'!$1:$1048576,10,0)</f>
        <v>E</v>
      </c>
      <c r="AE31" s="27">
        <f>VLOOKUP($A31,'HALF YEARLY'!$1:$1048576,11,0)</f>
        <v>0</v>
      </c>
      <c r="AF31" s="27">
        <f>VLOOKUP($A31,'HALF YEARLY'!$1:$1048576,12,0)</f>
        <v>0</v>
      </c>
      <c r="AG31" s="27">
        <f>VLOOKUP($A31,'HALF YEARLY'!$1:$1048576,13,0)</f>
        <v>0</v>
      </c>
      <c r="AH31" s="27">
        <f>VLOOKUP($A31,'HALF YEARLY'!$1:$1048576,14,0)</f>
        <v>0</v>
      </c>
      <c r="AI31" s="32">
        <f>VLOOKUP($A31,'HALF YEARLY'!$1:$1048576,15,0)</f>
        <v>0</v>
      </c>
    </row>
    <row r="32" spans="1:35" x14ac:dyDescent="0.3">
      <c r="A32" s="3">
        <f>DETAILS!A31</f>
        <v>1906</v>
      </c>
      <c r="B32" s="3" t="str">
        <f>DETAILS!B31</f>
        <v>KHUSHI PATEL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VLOOKUP($A32,'HALF YEARLY'!$1:$1048576,8,0)</f>
        <v>0</v>
      </c>
      <c r="AC32" s="27" t="str">
        <f>VLOOKUP($A32,'HALF YEARLY'!$1:$1048576,9,0)</f>
        <v>E</v>
      </c>
      <c r="AD32" s="27" t="str">
        <f>VLOOKUP($A32,'HALF YEARLY'!$1:$1048576,10,0)</f>
        <v>E</v>
      </c>
      <c r="AE32" s="27">
        <f>VLOOKUP($A32,'HALF YEARLY'!$1:$1048576,11,0)</f>
        <v>0</v>
      </c>
      <c r="AF32" s="27">
        <f>VLOOKUP($A32,'HALF YEARLY'!$1:$1048576,12,0)</f>
        <v>0</v>
      </c>
      <c r="AG32" s="27">
        <f>VLOOKUP($A32,'HALF YEARLY'!$1:$1048576,13,0)</f>
        <v>0</v>
      </c>
      <c r="AH32" s="27">
        <f>VLOOKUP($A32,'HALF YEARLY'!$1:$1048576,14,0)</f>
        <v>0</v>
      </c>
      <c r="AI32" s="32">
        <f>VLOOKUP($A32,'HALF YEARLY'!$1:$1048576,15,0)</f>
        <v>0</v>
      </c>
    </row>
    <row r="33" spans="1:35" x14ac:dyDescent="0.3">
      <c r="A33" s="3">
        <f>DETAILS!A32</f>
        <v>1865</v>
      </c>
      <c r="B33" s="3" t="str">
        <f>DETAILS!B32</f>
        <v>MOHD SAIF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VLOOKUP($A33,'HALF YEARLY'!$1:$1048576,8,0)</f>
        <v>0</v>
      </c>
      <c r="AC33" s="27" t="str">
        <f>VLOOKUP($A33,'HALF YEARLY'!$1:$1048576,9,0)</f>
        <v>E</v>
      </c>
      <c r="AD33" s="27" t="str">
        <f>VLOOKUP($A33,'HALF YEARLY'!$1:$1048576,10,0)</f>
        <v>E</v>
      </c>
      <c r="AE33" s="27">
        <f>VLOOKUP($A33,'HALF YEARLY'!$1:$1048576,11,0)</f>
        <v>0</v>
      </c>
      <c r="AF33" s="27">
        <f>VLOOKUP($A33,'HALF YEARLY'!$1:$1048576,12,0)</f>
        <v>0</v>
      </c>
      <c r="AG33" s="27">
        <f>VLOOKUP($A33,'HALF YEARLY'!$1:$1048576,13,0)</f>
        <v>0</v>
      </c>
      <c r="AH33" s="27">
        <f>VLOOKUP($A33,'HALF YEARLY'!$1:$1048576,14,0)</f>
        <v>0</v>
      </c>
      <c r="AI33" s="32">
        <f>VLOOKUP($A33,'HALF YEARLY'!$1:$1048576,15,0)</f>
        <v>0</v>
      </c>
    </row>
    <row r="34" spans="1:35" x14ac:dyDescent="0.3">
      <c r="A34" s="3">
        <f>DETAILS!A33</f>
        <v>1735</v>
      </c>
      <c r="B34" s="3" t="str">
        <f>DETAILS!B33</f>
        <v>PRAGATI SINGH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VLOOKUP($A34,'HALF YEARLY'!$1:$1048576,8,0)</f>
        <v>0</v>
      </c>
      <c r="AC34" s="27" t="str">
        <f>VLOOKUP($A34,'HALF YEARLY'!$1:$1048576,9,0)</f>
        <v>E</v>
      </c>
      <c r="AD34" s="27" t="str">
        <f>VLOOKUP($A34,'HALF YEARLY'!$1:$1048576,10,0)</f>
        <v>E</v>
      </c>
      <c r="AE34" s="27">
        <f>VLOOKUP($A34,'HALF YEARLY'!$1:$1048576,11,0)</f>
        <v>0</v>
      </c>
      <c r="AF34" s="27">
        <f>VLOOKUP($A34,'HALF YEARLY'!$1:$1048576,12,0)</f>
        <v>0</v>
      </c>
      <c r="AG34" s="27">
        <f>VLOOKUP($A34,'HALF YEARLY'!$1:$1048576,13,0)</f>
        <v>0</v>
      </c>
      <c r="AH34" s="27">
        <f>VLOOKUP($A34,'HALF YEARLY'!$1:$1048576,14,0)</f>
        <v>0</v>
      </c>
      <c r="AI34" s="32">
        <f>VLOOKUP($A34,'HALF YEARLY'!$1:$1048576,15,0)</f>
        <v>0</v>
      </c>
    </row>
    <row r="35" spans="1:35" x14ac:dyDescent="0.3">
      <c r="A35" s="3">
        <f>DETAILS!A34</f>
        <v>1557</v>
      </c>
      <c r="B35" s="3" t="str">
        <f>DETAILS!B34</f>
        <v>PRISHA JAISWAL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VLOOKUP($A35,'HALF YEARLY'!$1:$1048576,8,0)</f>
        <v>0</v>
      </c>
      <c r="AC35" s="27" t="str">
        <f>VLOOKUP($A35,'HALF YEARLY'!$1:$1048576,9,0)</f>
        <v>E</v>
      </c>
      <c r="AD35" s="27" t="str">
        <f>VLOOKUP($A35,'HALF YEARLY'!$1:$1048576,10,0)</f>
        <v>E</v>
      </c>
      <c r="AE35" s="27">
        <f>VLOOKUP($A35,'HALF YEARLY'!$1:$1048576,11,0)</f>
        <v>0</v>
      </c>
      <c r="AF35" s="27">
        <f>VLOOKUP($A35,'HALF YEARLY'!$1:$1048576,12,0)</f>
        <v>0</v>
      </c>
      <c r="AG35" s="27">
        <f>VLOOKUP($A35,'HALF YEARLY'!$1:$1048576,13,0)</f>
        <v>0</v>
      </c>
      <c r="AH35" s="27">
        <f>VLOOKUP($A35,'HALF YEARLY'!$1:$1048576,14,0)</f>
        <v>0</v>
      </c>
      <c r="AI35" s="32">
        <f>VLOOKUP($A35,'HALF YEARLY'!$1:$1048576,15,0)</f>
        <v>0</v>
      </c>
    </row>
    <row r="36" spans="1:35" x14ac:dyDescent="0.3">
      <c r="A36" s="3">
        <f>DETAILS!A35</f>
        <v>1560</v>
      </c>
      <c r="B36" s="3" t="str">
        <f>DETAILS!B35</f>
        <v>SHANTANU YADAV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VLOOKUP($A36,'HALF YEARLY'!$1:$1048576,8,0)</f>
        <v>0</v>
      </c>
      <c r="AC36" s="27" t="str">
        <f>VLOOKUP($A36,'HALF YEARLY'!$1:$1048576,9,0)</f>
        <v>E</v>
      </c>
      <c r="AD36" s="27" t="str">
        <f>VLOOKUP($A36,'HALF YEARLY'!$1:$1048576,10,0)</f>
        <v>E</v>
      </c>
      <c r="AE36" s="27">
        <f>VLOOKUP($A36,'HALF YEARLY'!$1:$1048576,11,0)</f>
        <v>0</v>
      </c>
      <c r="AF36" s="27">
        <f>VLOOKUP($A36,'HALF YEARLY'!$1:$1048576,12,0)</f>
        <v>0</v>
      </c>
      <c r="AG36" s="27">
        <f>VLOOKUP($A36,'HALF YEARLY'!$1:$1048576,13,0)</f>
        <v>0</v>
      </c>
      <c r="AH36" s="27">
        <f>VLOOKUP($A36,'HALF YEARLY'!$1:$1048576,14,0)</f>
        <v>0</v>
      </c>
      <c r="AI36" s="32">
        <f>VLOOKUP($A36,'HALF YEARLY'!$1:$1048576,15,0)</f>
        <v>0</v>
      </c>
    </row>
    <row r="37" spans="1:35" x14ac:dyDescent="0.3">
      <c r="A37" s="3">
        <f>DETAILS!A36</f>
        <v>1890</v>
      </c>
      <c r="B37" s="3" t="str">
        <f>DETAILS!B36</f>
        <v>SHIVA YADAV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VLOOKUP($A37,'HALF YEARLY'!$1:$1048576,8,0)</f>
        <v>0</v>
      </c>
      <c r="AC37" s="27" t="str">
        <f>VLOOKUP($A37,'HALF YEARLY'!$1:$1048576,9,0)</f>
        <v>E</v>
      </c>
      <c r="AD37" s="27" t="str">
        <f>VLOOKUP($A37,'HALF YEARLY'!$1:$1048576,10,0)</f>
        <v>E</v>
      </c>
      <c r="AE37" s="27">
        <f>VLOOKUP($A37,'HALF YEARLY'!$1:$1048576,11,0)</f>
        <v>0</v>
      </c>
      <c r="AF37" s="27">
        <f>VLOOKUP($A37,'HALF YEARLY'!$1:$1048576,12,0)</f>
        <v>0</v>
      </c>
      <c r="AG37" s="27">
        <f>VLOOKUP($A37,'HALF YEARLY'!$1:$1048576,13,0)</f>
        <v>0</v>
      </c>
      <c r="AH37" s="27">
        <f>VLOOKUP($A37,'HALF YEARLY'!$1:$1048576,14,0)</f>
        <v>0</v>
      </c>
      <c r="AI37" s="32">
        <f>VLOOKUP($A37,'HALF YEARLY'!$1:$1048576,15,0)</f>
        <v>0</v>
      </c>
    </row>
    <row r="38" spans="1:35" x14ac:dyDescent="0.3">
      <c r="A38" s="3">
        <f>DETAILS!A37</f>
        <v>1575</v>
      </c>
      <c r="B38" s="3" t="str">
        <f>DETAILS!B37</f>
        <v>SHIVIKA VERMA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VLOOKUP($A38,'HALF YEARLY'!$1:$1048576,8,0)</f>
        <v>0</v>
      </c>
      <c r="AC38" s="27" t="str">
        <f>VLOOKUP($A38,'HALF YEARLY'!$1:$1048576,9,0)</f>
        <v>E</v>
      </c>
      <c r="AD38" s="27" t="str">
        <f>VLOOKUP($A38,'HALF YEARLY'!$1:$1048576,10,0)</f>
        <v>E</v>
      </c>
      <c r="AE38" s="27">
        <f>VLOOKUP($A38,'HALF YEARLY'!$1:$1048576,11,0)</f>
        <v>0</v>
      </c>
      <c r="AF38" s="27">
        <f>VLOOKUP($A38,'HALF YEARLY'!$1:$1048576,12,0)</f>
        <v>0</v>
      </c>
      <c r="AG38" s="27">
        <f>VLOOKUP($A38,'HALF YEARLY'!$1:$1048576,13,0)</f>
        <v>0</v>
      </c>
      <c r="AH38" s="27">
        <f>VLOOKUP($A38,'HALF YEARLY'!$1:$1048576,14,0)</f>
        <v>0</v>
      </c>
      <c r="AI38" s="32">
        <f>VLOOKUP($A38,'HALF YEARLY'!$1:$1048576,15,0)</f>
        <v>0</v>
      </c>
    </row>
    <row r="39" spans="1:35" x14ac:dyDescent="0.3">
      <c r="A39" s="3">
        <f>DETAILS!A38</f>
        <v>1732</v>
      </c>
      <c r="B39" s="3" t="str">
        <f>DETAILS!B38</f>
        <v>SUHAN ALI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VLOOKUP($A39,'HALF YEARLY'!$1:$1048576,8,0)</f>
        <v>0</v>
      </c>
      <c r="AC39" s="27" t="str">
        <f>VLOOKUP($A39,'HALF YEARLY'!$1:$1048576,9,0)</f>
        <v>E</v>
      </c>
      <c r="AD39" s="27" t="str">
        <f>VLOOKUP($A39,'HALF YEARLY'!$1:$1048576,10,0)</f>
        <v>E</v>
      </c>
      <c r="AE39" s="27">
        <f>VLOOKUP($A39,'HALF YEARLY'!$1:$1048576,11,0)</f>
        <v>0</v>
      </c>
      <c r="AF39" s="27">
        <f>VLOOKUP($A39,'HALF YEARLY'!$1:$1048576,12,0)</f>
        <v>0</v>
      </c>
      <c r="AG39" s="27">
        <f>VLOOKUP($A39,'HALF YEARLY'!$1:$1048576,13,0)</f>
        <v>0</v>
      </c>
      <c r="AH39" s="27">
        <f>VLOOKUP($A39,'HALF YEARLY'!$1:$1048576,14,0)</f>
        <v>0</v>
      </c>
      <c r="AI39" s="32">
        <f>VLOOKUP($A39,'HALF YEARLY'!$1:$1048576,15,0)</f>
        <v>0</v>
      </c>
    </row>
    <row r="40" spans="1:35" x14ac:dyDescent="0.3">
      <c r="A40" s="3">
        <f>DETAILS!A39</f>
        <v>1706</v>
      </c>
      <c r="B40" s="3" t="str">
        <f>DETAILS!B39</f>
        <v>UTKARSH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VLOOKUP($A40,'HALF YEARLY'!$1:$1048576,8,0)</f>
        <v>0</v>
      </c>
      <c r="AC40" s="27" t="str">
        <f>VLOOKUP($A40,'HALF YEARLY'!$1:$1048576,9,0)</f>
        <v>E</v>
      </c>
      <c r="AD40" s="27" t="str">
        <f>VLOOKUP($A40,'HALF YEARLY'!$1:$1048576,10,0)</f>
        <v>E</v>
      </c>
      <c r="AE40" s="27">
        <f>VLOOKUP($A40,'HALF YEARLY'!$1:$1048576,11,0)</f>
        <v>0</v>
      </c>
      <c r="AF40" s="27">
        <f>VLOOKUP($A40,'HALF YEARLY'!$1:$1048576,12,0)</f>
        <v>0</v>
      </c>
      <c r="AG40" s="27">
        <f>VLOOKUP($A40,'HALF YEARLY'!$1:$1048576,13,0)</f>
        <v>0</v>
      </c>
      <c r="AH40" s="27">
        <f>VLOOKUP($A40,'HALF YEARLY'!$1:$1048576,14,0)</f>
        <v>0</v>
      </c>
      <c r="AI40" s="32">
        <f>VLOOKUP($A40,'HALF YEARLY'!$1:$1048576,15,0)</f>
        <v>0</v>
      </c>
    </row>
    <row r="41" spans="1:35" x14ac:dyDescent="0.3">
      <c r="A41" s="3">
        <f>DETAILS!A40</f>
        <v>1567</v>
      </c>
      <c r="B41" s="3" t="str">
        <f>DETAILS!B40</f>
        <v>VAANYA YADAV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VLOOKUP($A41,'HALF YEARLY'!$1:$1048576,8,0)</f>
        <v>0</v>
      </c>
      <c r="AC41" s="27" t="str">
        <f>VLOOKUP($A41,'HALF YEARLY'!$1:$1048576,9,0)</f>
        <v>E</v>
      </c>
      <c r="AD41" s="27" t="str">
        <f>VLOOKUP($A41,'HALF YEARLY'!$1:$1048576,10,0)</f>
        <v>E</v>
      </c>
      <c r="AE41" s="27">
        <f>VLOOKUP($A41,'HALF YEARLY'!$1:$1048576,11,0)</f>
        <v>0</v>
      </c>
      <c r="AF41" s="27">
        <f>VLOOKUP($A41,'HALF YEARLY'!$1:$1048576,12,0)</f>
        <v>0</v>
      </c>
      <c r="AG41" s="27">
        <f>VLOOKUP($A41,'HALF YEARLY'!$1:$1048576,13,0)</f>
        <v>0</v>
      </c>
      <c r="AH41" s="27">
        <f>VLOOKUP($A41,'HALF YEARLY'!$1:$1048576,14,0)</f>
        <v>0</v>
      </c>
      <c r="AI41" s="32">
        <f>VLOOKUP($A41,'HALF YEARLY'!$1:$1048576,15,0)</f>
        <v>0</v>
      </c>
    </row>
  </sheetData>
  <mergeCells count="17">
    <mergeCell ref="R2:V2"/>
    <mergeCell ref="W2:AA2"/>
    <mergeCell ref="A1:AI1"/>
    <mergeCell ref="A2:A3"/>
    <mergeCell ref="B2:B3"/>
    <mergeCell ref="C2:G2"/>
    <mergeCell ref="H2:L2"/>
    <mergeCell ref="M2:Q2"/>
    <mergeCell ref="AJ2:AJ3"/>
    <mergeCell ref="AB2:AB3"/>
    <mergeCell ref="AC2:AC3"/>
    <mergeCell ref="AD2:AD3"/>
    <mergeCell ref="AE2:AE3"/>
    <mergeCell ref="AF2:AF3"/>
    <mergeCell ref="AG2:AG3"/>
    <mergeCell ref="AH2:AH3"/>
    <mergeCell ref="AI2:A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34" zoomScaleNormal="100" workbookViewId="0">
      <selection activeCell="K9" sqref="K9:M9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9"/>
      <c r="C1" s="69"/>
      <c r="D1" s="69"/>
      <c r="E1" s="69"/>
      <c r="F1" s="69"/>
      <c r="G1" s="69"/>
      <c r="H1" s="69"/>
      <c r="I1" s="69"/>
      <c r="J1" s="69"/>
      <c r="K1" s="69"/>
      <c r="L1" s="7"/>
      <c r="M1" s="7"/>
      <c r="N1" s="8"/>
    </row>
    <row r="2" spans="1:14" ht="32.4" x14ac:dyDescent="0.3">
      <c r="A2" s="9"/>
      <c r="B2" s="70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10"/>
    </row>
    <row r="3" spans="1:14" ht="18" customHeight="1" x14ac:dyDescent="0.3">
      <c r="A3" s="9"/>
      <c r="B3" s="71" t="s">
        <v>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10"/>
    </row>
    <row r="4" spans="1:14" ht="16.2" customHeight="1" x14ac:dyDescent="0.3">
      <c r="A4" s="9"/>
      <c r="B4" s="72" t="s">
        <v>79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10"/>
    </row>
    <row r="5" spans="1:14" ht="16.2" customHeight="1" x14ac:dyDescent="0.3">
      <c r="A5" s="9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10"/>
    </row>
    <row r="6" spans="1:14" ht="18" customHeight="1" x14ac:dyDescent="0.3">
      <c r="A6" s="9"/>
      <c r="B6" s="73" t="s">
        <v>96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10"/>
    </row>
    <row r="7" spans="1:14" ht="20.25" customHeight="1" x14ac:dyDescent="0.3">
      <c r="A7" s="9"/>
      <c r="B7" s="74" t="s">
        <v>105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0"/>
    </row>
    <row r="8" spans="1:14" ht="18" customHeight="1" x14ac:dyDescent="0.3">
      <c r="A8" s="9"/>
      <c r="B8" s="54" t="s">
        <v>4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10"/>
    </row>
    <row r="9" spans="1:14" x14ac:dyDescent="0.3">
      <c r="A9" s="9"/>
      <c r="B9" s="4" t="s">
        <v>5</v>
      </c>
      <c r="C9" s="75" t="e">
        <f>":      "&amp;VLOOKUP($K$9,DETAILS!$1:$1048576,2,0)</f>
        <v>#N/A</v>
      </c>
      <c r="D9" s="75"/>
      <c r="E9" s="75"/>
      <c r="F9" s="75"/>
      <c r="G9" s="75"/>
      <c r="I9" s="75" t="s">
        <v>74</v>
      </c>
      <c r="J9" s="75"/>
      <c r="K9" s="75">
        <v>1</v>
      </c>
      <c r="L9" s="75"/>
      <c r="M9" s="76"/>
      <c r="N9" s="10"/>
    </row>
    <row r="10" spans="1:14" x14ac:dyDescent="0.3">
      <c r="A10" s="9"/>
      <c r="B10" s="4" t="s">
        <v>6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75</v>
      </c>
      <c r="J10" s="63"/>
      <c r="K10" s="63" t="e">
        <f>VLOOKUP($K$9,DETAILS!$1:$1048576,6,0)</f>
        <v>#N/A</v>
      </c>
      <c r="L10" s="63"/>
      <c r="M10" s="68"/>
      <c r="N10" s="10"/>
    </row>
    <row r="11" spans="1:14" x14ac:dyDescent="0.3">
      <c r="A11" s="9"/>
      <c r="B11" s="5" t="s">
        <v>7</v>
      </c>
      <c r="C11" s="66" t="e">
        <f>":      "&amp;VLOOKUP($K$9,DETAILS!$1:$1048576,4,0)</f>
        <v>#N/A</v>
      </c>
      <c r="D11" s="66"/>
      <c r="E11" s="66"/>
      <c r="F11" s="66"/>
      <c r="G11" s="66"/>
      <c r="H11" s="2"/>
      <c r="I11" s="66" t="s">
        <v>76</v>
      </c>
      <c r="J11" s="66"/>
      <c r="K11" s="66" t="e">
        <f>VLOOKUP($K$9,DETAILS!$1:$1048576,5,0)</f>
        <v>#N/A</v>
      </c>
      <c r="L11" s="66"/>
      <c r="M11" s="67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4" t="s">
        <v>77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10"/>
    </row>
    <row r="14" spans="1:14" ht="61.5" customHeight="1" x14ac:dyDescent="0.3">
      <c r="A14" s="9"/>
      <c r="B14" s="16" t="s">
        <v>44</v>
      </c>
      <c r="C14" s="56" t="s">
        <v>93</v>
      </c>
      <c r="D14" s="57"/>
      <c r="E14" s="56" t="s">
        <v>110</v>
      </c>
      <c r="F14" s="57"/>
      <c r="G14" s="56" t="s">
        <v>111</v>
      </c>
      <c r="H14" s="57"/>
      <c r="I14" s="56" t="s">
        <v>94</v>
      </c>
      <c r="J14" s="58"/>
      <c r="K14" s="57"/>
      <c r="L14" s="56" t="s">
        <v>95</v>
      </c>
      <c r="M14" s="57"/>
      <c r="N14" s="10"/>
    </row>
    <row r="15" spans="1:14" x14ac:dyDescent="0.3">
      <c r="A15" s="9"/>
      <c r="B15" s="3" t="s">
        <v>12</v>
      </c>
      <c r="C15" s="50" t="e">
        <f>VLOOKUP($K$9,'HY Compile'!$1:$1048576,3,0)</f>
        <v>#N/A</v>
      </c>
      <c r="D15" s="51"/>
      <c r="E15" s="50" t="e">
        <f>VLOOKUP($K$9,'HY Compile'!$1:$1048576,4,0)</f>
        <v>#N/A</v>
      </c>
      <c r="F15" s="51"/>
      <c r="G15" s="50" t="e">
        <f>VLOOKUP($K$9,'HY Compile'!$1:$1048576,5,0)</f>
        <v>#N/A</v>
      </c>
      <c r="H15" s="51"/>
      <c r="I15" s="50" t="e">
        <f>VLOOKUP($K$9,'HY Compile'!$1:$1048576,6,0)</f>
        <v>#N/A</v>
      </c>
      <c r="J15" s="52"/>
      <c r="K15" s="51"/>
      <c r="L15" s="50" t="e">
        <f>SUM(C15:K15)</f>
        <v>#N/A</v>
      </c>
      <c r="M15" s="51"/>
      <c r="N15" s="10"/>
    </row>
    <row r="16" spans="1:14" x14ac:dyDescent="0.3">
      <c r="A16" s="9"/>
      <c r="B16" s="3" t="s">
        <v>13</v>
      </c>
      <c r="C16" s="50" t="e">
        <f>VLOOKUP($K$9,'HY Compile'!$1:$1048576,8,0)</f>
        <v>#N/A</v>
      </c>
      <c r="D16" s="51"/>
      <c r="E16" s="50" t="e">
        <f>VLOOKUP($K$9,'HY Compile'!$1:$1048576,9,0)</f>
        <v>#N/A</v>
      </c>
      <c r="F16" s="51"/>
      <c r="G16" s="50" t="e">
        <f>VLOOKUP($K$9,'HY Compile'!$1:$1048576,10,0)</f>
        <v>#N/A</v>
      </c>
      <c r="H16" s="51"/>
      <c r="I16" s="50" t="e">
        <f>VLOOKUP($K$9,'HY Compile'!$1:$1048576,11,0)</f>
        <v>#N/A</v>
      </c>
      <c r="J16" s="52"/>
      <c r="K16" s="51"/>
      <c r="L16" s="50" t="e">
        <f t="shared" ref="L16:L19" si="0">SUM(C16:K16)</f>
        <v>#N/A</v>
      </c>
      <c r="M16" s="51"/>
      <c r="N16" s="10"/>
    </row>
    <row r="17" spans="1:14" x14ac:dyDescent="0.3">
      <c r="A17" s="9"/>
      <c r="B17" s="3" t="s">
        <v>14</v>
      </c>
      <c r="C17" s="50" t="e">
        <f>VLOOKUP($K$9,'HY Compile'!$1:$1048576,13,0)</f>
        <v>#N/A</v>
      </c>
      <c r="D17" s="51"/>
      <c r="E17" s="50" t="e">
        <f>VLOOKUP($K$9,'HY Compile'!$1:$1048576,14,0)</f>
        <v>#N/A</v>
      </c>
      <c r="F17" s="51"/>
      <c r="G17" s="50" t="e">
        <f>VLOOKUP($K$9,'HY Compile'!$1:$1048576,15,0)</f>
        <v>#N/A</v>
      </c>
      <c r="H17" s="51"/>
      <c r="I17" s="50" t="e">
        <f>VLOOKUP($K$9,'HY Compile'!$1:$1048576,16,0)</f>
        <v>#N/A</v>
      </c>
      <c r="J17" s="52"/>
      <c r="K17" s="51"/>
      <c r="L17" s="50" t="e">
        <f t="shared" si="0"/>
        <v>#N/A</v>
      </c>
      <c r="M17" s="51"/>
      <c r="N17" s="10"/>
    </row>
    <row r="18" spans="1:14" x14ac:dyDescent="0.3">
      <c r="A18" s="9"/>
      <c r="B18" s="3" t="s">
        <v>72</v>
      </c>
      <c r="C18" s="50" t="e">
        <f>VLOOKUP($K$9,'HY Compile'!$1:$1048576,18,0)</f>
        <v>#N/A</v>
      </c>
      <c r="D18" s="51"/>
      <c r="E18" s="50" t="e">
        <f>VLOOKUP($K$9,'HY Compile'!$1:$1048576,19,0)</f>
        <v>#N/A</v>
      </c>
      <c r="F18" s="51"/>
      <c r="G18" s="50" t="e">
        <f>VLOOKUP($K$9,'HY Compile'!$1:$1048576,20,0)</f>
        <v>#N/A</v>
      </c>
      <c r="H18" s="51"/>
      <c r="I18" s="50" t="e">
        <f>VLOOKUP($K$9,'HY Compile'!$1:$1048576,21,0)</f>
        <v>#N/A</v>
      </c>
      <c r="J18" s="52"/>
      <c r="K18" s="51"/>
      <c r="L18" s="50" t="e">
        <f t="shared" si="0"/>
        <v>#N/A</v>
      </c>
      <c r="M18" s="51"/>
      <c r="N18" s="10"/>
    </row>
    <row r="19" spans="1:14" x14ac:dyDescent="0.3">
      <c r="A19" s="9"/>
      <c r="B19" s="3" t="s">
        <v>15</v>
      </c>
      <c r="C19" s="50" t="e">
        <f>VLOOKUP($K$9,'HY Compile'!$1:$1048576,23,0)</f>
        <v>#N/A</v>
      </c>
      <c r="D19" s="51"/>
      <c r="E19" s="50" t="e">
        <f>VLOOKUP($K$9,'HY Compile'!$1:$1048576,24,0)</f>
        <v>#N/A</v>
      </c>
      <c r="F19" s="51"/>
      <c r="G19" s="50" t="e">
        <f>VLOOKUP($K$9,'HY Compile'!$1:$1048576,25,0)</f>
        <v>#N/A</v>
      </c>
      <c r="H19" s="51"/>
      <c r="I19" s="50" t="e">
        <f>VLOOKUP($K$9,'HY Compile'!$1:$1048576,26,0)</f>
        <v>#N/A</v>
      </c>
      <c r="J19" s="52"/>
      <c r="K19" s="51"/>
      <c r="L19" s="50" t="e">
        <f t="shared" si="0"/>
        <v>#N/A</v>
      </c>
      <c r="M19" s="51"/>
      <c r="N19" s="10"/>
    </row>
    <row r="20" spans="1:14" ht="24" customHeight="1" x14ac:dyDescent="0.3">
      <c r="A20" s="9"/>
      <c r="N20" s="10"/>
    </row>
    <row r="21" spans="1:14" ht="15.6" customHeight="1" x14ac:dyDescent="0.3">
      <c r="A21" s="9"/>
      <c r="B21" s="61" t="s">
        <v>16</v>
      </c>
      <c r="C21" s="62" t="e">
        <f>VLOOKUP($K$9,'HY Compile'!$1:$1048576,33,0)</f>
        <v>#N/A</v>
      </c>
      <c r="D21" s="62" t="e">
        <f>VLOOKUP($K$9,'HY Compile'!$1:$1048576,34,0)</f>
        <v>#N/A</v>
      </c>
      <c r="J21" s="20" t="s">
        <v>34</v>
      </c>
      <c r="K21" s="21"/>
      <c r="L21" s="64" t="e">
        <f>ROUND(SUM(L15:M19)/5,2)&amp;" %"</f>
        <v>#N/A</v>
      </c>
      <c r="M21" s="65"/>
      <c r="N21" s="10"/>
    </row>
    <row r="22" spans="1:14" ht="15.6" customHeight="1" x14ac:dyDescent="0.3">
      <c r="A22" s="9"/>
      <c r="B22" s="61"/>
      <c r="C22" s="62" t="e">
        <f>VLOOKUP($K$9,'HY Compile'!$1:$1048576,38,0)</f>
        <v>#N/A</v>
      </c>
      <c r="D22" s="62" t="e">
        <f>VLOOKUP($K$9,'HY Compile'!$1:$1048576,38,0)</f>
        <v>#N/A</v>
      </c>
      <c r="J22" s="20" t="s">
        <v>35</v>
      </c>
      <c r="K22" s="21"/>
      <c r="L22" s="64" t="e">
        <f>SUM(L15:M19)&amp; "/500"</f>
        <v>#N/A</v>
      </c>
      <c r="M22" s="65"/>
      <c r="N22" s="10"/>
    </row>
    <row r="23" spans="1:14" ht="14.4" customHeight="1" x14ac:dyDescent="0.3">
      <c r="A23" s="9"/>
      <c r="N23" s="10"/>
    </row>
    <row r="24" spans="1:14" ht="15.75" customHeight="1" x14ac:dyDescent="0.3">
      <c r="A24" s="9"/>
      <c r="N24" s="10"/>
    </row>
    <row r="25" spans="1:14" ht="18" customHeight="1" x14ac:dyDescent="0.3">
      <c r="A25" s="9"/>
      <c r="B25" s="54" t="s">
        <v>78</v>
      </c>
      <c r="C25" s="54"/>
      <c r="D25" s="54"/>
      <c r="E25" s="54"/>
      <c r="F25" s="54"/>
      <c r="G25" s="54"/>
      <c r="H25" s="54"/>
      <c r="I25" s="54"/>
      <c r="J25" s="54"/>
      <c r="K25" s="54" t="s">
        <v>17</v>
      </c>
      <c r="L25" s="54"/>
      <c r="M25" s="54"/>
      <c r="N25" s="10"/>
    </row>
    <row r="26" spans="1:14" x14ac:dyDescent="0.3">
      <c r="A26" s="9"/>
      <c r="B26" s="53" t="s">
        <v>18</v>
      </c>
      <c r="C26" s="53"/>
      <c r="D26" s="53"/>
      <c r="E26" s="53"/>
      <c r="F26" s="53"/>
      <c r="G26" s="53"/>
      <c r="H26" s="53"/>
      <c r="I26" s="53"/>
      <c r="J26" s="53"/>
      <c r="K26" s="50" t="e">
        <f>VLOOKUP($K$9,'HY Compile'!$1:$1048576,28,0)</f>
        <v>#N/A</v>
      </c>
      <c r="L26" s="52"/>
      <c r="M26" s="51"/>
      <c r="N26" s="10"/>
    </row>
    <row r="27" spans="1:14" x14ac:dyDescent="0.3">
      <c r="A27" s="9"/>
      <c r="B27" s="53" t="s">
        <v>19</v>
      </c>
      <c r="C27" s="53"/>
      <c r="D27" s="53"/>
      <c r="E27" s="53"/>
      <c r="F27" s="53"/>
      <c r="G27" s="53"/>
      <c r="H27" s="53"/>
      <c r="I27" s="53"/>
      <c r="J27" s="53"/>
      <c r="K27" s="50" t="e">
        <f>VLOOKUP($K$9,'HY Compile'!$1:$1048576,29,0)</f>
        <v>#N/A</v>
      </c>
      <c r="L27" s="52"/>
      <c r="M27" s="51"/>
      <c r="N27" s="10"/>
    </row>
    <row r="28" spans="1:14" x14ac:dyDescent="0.3">
      <c r="A28" s="9"/>
      <c r="B28" s="53" t="s">
        <v>20</v>
      </c>
      <c r="C28" s="53"/>
      <c r="D28" s="53"/>
      <c r="E28" s="53"/>
      <c r="F28" s="53"/>
      <c r="G28" s="53"/>
      <c r="H28" s="53"/>
      <c r="I28" s="53"/>
      <c r="J28" s="53"/>
      <c r="K28" s="50" t="e">
        <f>VLOOKUP($K$9,'HY Compile'!$1:$1048576,30,0)</f>
        <v>#N/A</v>
      </c>
      <c r="L28" s="52"/>
      <c r="M28" s="51"/>
      <c r="N28" s="10"/>
    </row>
    <row r="29" spans="1:14" x14ac:dyDescent="0.3">
      <c r="A29" s="9"/>
      <c r="B29" s="53" t="s">
        <v>21</v>
      </c>
      <c r="C29" s="53"/>
      <c r="D29" s="53"/>
      <c r="E29" s="53"/>
      <c r="F29" s="53"/>
      <c r="G29" s="53"/>
      <c r="H29" s="53"/>
      <c r="I29" s="53"/>
      <c r="J29" s="53"/>
      <c r="K29" s="50" t="e">
        <f>VLOOKUP($K$9,'HY Compile'!$1:$1048576,31,0)</f>
        <v>#N/A</v>
      </c>
      <c r="L29" s="52"/>
      <c r="M29" s="51"/>
      <c r="N29" s="10"/>
    </row>
    <row r="30" spans="1:14" x14ac:dyDescent="0.3">
      <c r="A30" s="9"/>
      <c r="B30" s="53" t="s">
        <v>22</v>
      </c>
      <c r="C30" s="53"/>
      <c r="D30" s="53"/>
      <c r="E30" s="53"/>
      <c r="F30" s="53"/>
      <c r="G30" s="53"/>
      <c r="H30" s="53"/>
      <c r="I30" s="53"/>
      <c r="J30" s="53"/>
      <c r="K30" s="50" t="e">
        <f>VLOOKUP($K$9,'HY Compile'!$1:$1048576,32,0)</f>
        <v>#N/A</v>
      </c>
      <c r="L30" s="52"/>
      <c r="M30" s="51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9" customFormat="1" ht="21" customHeight="1" x14ac:dyDescent="0.3">
      <c r="A32" s="17"/>
      <c r="B32" s="61" t="s">
        <v>23</v>
      </c>
      <c r="C32" s="61"/>
      <c r="D32" s="55" t="s">
        <v>24</v>
      </c>
      <c r="E32" s="55"/>
      <c r="F32" s="55" t="s">
        <v>25</v>
      </c>
      <c r="G32" s="55"/>
      <c r="H32" s="55" t="s">
        <v>26</v>
      </c>
      <c r="I32" s="55"/>
      <c r="J32" s="55" t="s">
        <v>27</v>
      </c>
      <c r="K32" s="55"/>
      <c r="L32" s="55" t="s">
        <v>113</v>
      </c>
      <c r="M32" s="55"/>
      <c r="N32" s="18"/>
    </row>
    <row r="33" spans="1:14" s="19" customFormat="1" ht="21" customHeight="1" x14ac:dyDescent="0.3">
      <c r="A33" s="17"/>
      <c r="B33" s="61" t="s">
        <v>28</v>
      </c>
      <c r="C33" s="61"/>
      <c r="D33" s="62" t="s">
        <v>29</v>
      </c>
      <c r="E33" s="62"/>
      <c r="F33" s="62" t="s">
        <v>30</v>
      </c>
      <c r="G33" s="62"/>
      <c r="H33" s="62" t="s">
        <v>31</v>
      </c>
      <c r="I33" s="62"/>
      <c r="J33" s="62" t="s">
        <v>32</v>
      </c>
      <c r="K33" s="62"/>
      <c r="L33" s="62" t="s">
        <v>33</v>
      </c>
      <c r="M33" s="62"/>
      <c r="N33" s="18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59" t="e">
        <f>"Class Teacher's Remark: "&amp;VLOOKUP($K$9,'HY Compile'!$1:$1048576,35,0)</f>
        <v>#N/A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10"/>
    </row>
    <row r="37" spans="1:14" x14ac:dyDescent="0.3">
      <c r="A37" s="9"/>
      <c r="E37" s="11"/>
      <c r="N37" s="10"/>
    </row>
    <row r="38" spans="1:14" x14ac:dyDescent="0.3">
      <c r="A38" s="9"/>
      <c r="B38" s="63" t="s">
        <v>102</v>
      </c>
      <c r="C38" s="63"/>
      <c r="N38" s="10"/>
    </row>
    <row r="39" spans="1:14" ht="19.2" customHeight="1" x14ac:dyDescent="0.3">
      <c r="A39" s="9"/>
      <c r="N39" s="10"/>
    </row>
    <row r="40" spans="1:14" s="19" customFormat="1" x14ac:dyDescent="0.3">
      <c r="A40" s="17"/>
      <c r="N40" s="18"/>
    </row>
    <row r="41" spans="1:14" ht="24" customHeight="1" x14ac:dyDescent="0.3">
      <c r="A41" s="9"/>
      <c r="B41" s="59" t="s">
        <v>36</v>
      </c>
      <c r="C41" s="59"/>
      <c r="D41" s="59"/>
      <c r="E41" s="19"/>
      <c r="F41" s="19"/>
      <c r="G41" s="19"/>
      <c r="H41" s="19"/>
      <c r="I41" s="19"/>
      <c r="J41" s="60" t="s">
        <v>37</v>
      </c>
      <c r="K41" s="60"/>
      <c r="L41" s="60"/>
      <c r="M41" s="60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algorithmName="SHA-512" hashValue="TdEbVOCu6KTsBvjSoNmyDTNvdsOWvcPCcd2SL82TQ+fG71x21PmI0xIWSkVj3xHOv2GL+VfGdLTHU5pc3QarMA==" saltValue="XX0vGDlwmXRQnMGRnkBh2w==" spinCount="100000" sheet="1" selectLockedCells="1"/>
  <protectedRanges>
    <protectedRange sqref="K9:M9" name="Range1"/>
  </protectedRanges>
  <dataConsolidate/>
  <mergeCells count="81"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C10:G10"/>
    <mergeCell ref="I10:J10"/>
    <mergeCell ref="C11:G11"/>
    <mergeCell ref="I11:J11"/>
    <mergeCell ref="E17:F17"/>
    <mergeCell ref="I15:K15"/>
    <mergeCell ref="I16:K16"/>
    <mergeCell ref="I17:K17"/>
    <mergeCell ref="G15:H15"/>
    <mergeCell ref="K11:M11"/>
    <mergeCell ref="B13:M13"/>
    <mergeCell ref="C15:D15"/>
    <mergeCell ref="C16:D16"/>
    <mergeCell ref="C17:D17"/>
    <mergeCell ref="E15:F15"/>
    <mergeCell ref="E16:F16"/>
    <mergeCell ref="L15:M15"/>
    <mergeCell ref="L16:M16"/>
    <mergeCell ref="B21:B22"/>
    <mergeCell ref="C21:C22"/>
    <mergeCell ref="D21:D22"/>
    <mergeCell ref="L21:M21"/>
    <mergeCell ref="L22:M22"/>
    <mergeCell ref="L17:M17"/>
    <mergeCell ref="G16:H16"/>
    <mergeCell ref="G17:H17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B36:M36"/>
    <mergeCell ref="B38:C38"/>
    <mergeCell ref="C14:D14"/>
    <mergeCell ref="E14:F14"/>
    <mergeCell ref="G14:H14"/>
    <mergeCell ref="I14:K14"/>
    <mergeCell ref="L14:M14"/>
    <mergeCell ref="D32:E32"/>
    <mergeCell ref="F32:G32"/>
    <mergeCell ref="H32:I32"/>
    <mergeCell ref="J32:K32"/>
    <mergeCell ref="L32:M32"/>
    <mergeCell ref="B28:J28"/>
    <mergeCell ref="K28:M28"/>
    <mergeCell ref="B29:J29"/>
    <mergeCell ref="K29:M29"/>
    <mergeCell ref="B25:J25"/>
    <mergeCell ref="K25:M25"/>
    <mergeCell ref="B26:J26"/>
    <mergeCell ref="K26:M26"/>
    <mergeCell ref="B27:J27"/>
    <mergeCell ref="K27:M27"/>
    <mergeCell ref="L18:M18"/>
    <mergeCell ref="C19:D19"/>
    <mergeCell ref="E19:F19"/>
    <mergeCell ref="G19:H19"/>
    <mergeCell ref="I19:K19"/>
    <mergeCell ref="L19:M19"/>
    <mergeCell ref="E18:F18"/>
    <mergeCell ref="I18:K18"/>
    <mergeCell ref="G18:H18"/>
    <mergeCell ref="C18:D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42"/>
  <sheetViews>
    <sheetView workbookViewId="0">
      <selection activeCell="J4" sqref="J4"/>
    </sheetView>
  </sheetViews>
  <sheetFormatPr defaultRowHeight="14.4" x14ac:dyDescent="0.3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 x14ac:dyDescent="0.3">
      <c r="A1" s="36" t="s">
        <v>88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">
      <c r="A2" s="40" t="s">
        <v>52</v>
      </c>
      <c r="B2" s="40" t="s">
        <v>53</v>
      </c>
      <c r="C2" s="40" t="s">
        <v>12</v>
      </c>
      <c r="D2" s="40" t="s">
        <v>13</v>
      </c>
      <c r="E2" s="40" t="s">
        <v>54</v>
      </c>
      <c r="F2" s="40" t="s">
        <v>72</v>
      </c>
      <c r="G2" s="38" t="s">
        <v>15</v>
      </c>
      <c r="H2" s="38" t="s">
        <v>85</v>
      </c>
      <c r="I2" s="38" t="s">
        <v>86</v>
      </c>
      <c r="J2" s="40" t="s">
        <v>81</v>
      </c>
      <c r="K2" s="40"/>
    </row>
    <row r="3" spans="1:11" x14ac:dyDescent="0.3">
      <c r="A3" s="40"/>
      <c r="B3" s="40"/>
      <c r="C3" s="40"/>
      <c r="D3" s="40"/>
      <c r="E3" s="40"/>
      <c r="F3" s="40"/>
      <c r="G3" s="39"/>
      <c r="H3" s="39"/>
      <c r="I3" s="39"/>
      <c r="J3" s="26" t="s">
        <v>82</v>
      </c>
      <c r="K3" s="26" t="s">
        <v>83</v>
      </c>
    </row>
    <row r="4" spans="1:11" x14ac:dyDescent="0.3">
      <c r="A4" s="28">
        <f>DETAILS!A3</f>
        <v>1804</v>
      </c>
      <c r="B4" s="29" t="str">
        <f>DETAILS!B3</f>
        <v>AAKRITI SINGH</v>
      </c>
      <c r="C4" s="29"/>
      <c r="D4" s="29"/>
      <c r="E4" s="29"/>
      <c r="F4" s="29"/>
      <c r="G4" s="29"/>
      <c r="H4" s="29"/>
      <c r="I4" s="29"/>
      <c r="J4" s="3"/>
      <c r="K4" s="3"/>
    </row>
    <row r="5" spans="1:11" x14ac:dyDescent="0.3">
      <c r="A5" s="23">
        <f>DETAILS!A4</f>
        <v>1571</v>
      </c>
      <c r="B5" s="3" t="str">
        <f>DETAILS!B4</f>
        <v>ABHIJEET PATEL</v>
      </c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23">
        <f>DETAILS!A5</f>
        <v>1881</v>
      </c>
      <c r="B6" s="3" t="str">
        <f>DETAILS!B5</f>
        <v>ADITI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23">
        <f>DETAILS!A6</f>
        <v>1559</v>
      </c>
      <c r="B7" s="3" t="str">
        <f>DETAILS!B6</f>
        <v>ADITYA VERMA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23">
        <f>DETAILS!A7</f>
        <v>1548</v>
      </c>
      <c r="B8" s="3" t="str">
        <f>DETAILS!B7</f>
        <v>ADVIK BAJPAI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23">
        <f>DETAILS!A8</f>
        <v>1549</v>
      </c>
      <c r="B9" s="3" t="str">
        <f>DETAILS!B8</f>
        <v>AHEM SHARMA</v>
      </c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23">
        <f>DETAILS!A9</f>
        <v>1556</v>
      </c>
      <c r="B10" s="3" t="str">
        <f>DETAILS!B9</f>
        <v>AKRATI VISHWAKARMA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23">
        <f>DETAILS!A10</f>
        <v>1915</v>
      </c>
      <c r="B11" s="3" t="str">
        <f>DETAILS!B10</f>
        <v>AKRITI SHUKLA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23">
        <f>DETAILS!A11</f>
        <v>1563</v>
      </c>
      <c r="B12" s="3" t="str">
        <f>DETAILS!B11</f>
        <v>ANANYA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23">
        <f>DETAILS!A12</f>
        <v>1562</v>
      </c>
      <c r="B13" s="3" t="str">
        <f>DETAILS!B12</f>
        <v>ANKITA RAJPOOT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23">
        <f>DETAILS!A13</f>
        <v>1547</v>
      </c>
      <c r="B14" s="3" t="str">
        <f>DETAILS!B13</f>
        <v>ANSHIKA PANDEY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23">
        <f>DETAILS!A14</f>
        <v>1644</v>
      </c>
      <c r="B15" s="3" t="str">
        <f>DETAILS!B14</f>
        <v>ARADHYA SINGH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23">
        <f>DETAILS!A15</f>
        <v>1566</v>
      </c>
      <c r="B16" s="3" t="str">
        <f>DETAILS!B15</f>
        <v>ARIYAN PAL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23">
        <f>DETAILS!A16</f>
        <v>1878</v>
      </c>
      <c r="B17" s="3" t="str">
        <f>DETAILS!B16</f>
        <v>AROHI VERMA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23">
        <f>DETAILS!A17</f>
        <v>1809</v>
      </c>
      <c r="B18" s="3" t="str">
        <f>DETAILS!B17</f>
        <v>ARUNENDRA PRATAP SINGH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23">
        <f>DETAILS!A18</f>
        <v>1920</v>
      </c>
      <c r="B19" s="3" t="str">
        <f>DETAILS!B18</f>
        <v>ATHARV SINGH CHAUHAN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23">
        <f>DETAILS!A19</f>
        <v>1569</v>
      </c>
      <c r="B20" s="3" t="str">
        <f>DETAILS!B19</f>
        <v>AVNI VERMA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23">
        <f>DETAILS!A20</f>
        <v>1789</v>
      </c>
      <c r="B21" s="3" t="str">
        <f>DETAILS!B20</f>
        <v>AYUSHI YADAV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23">
        <f>DETAILS!A21</f>
        <v>1673</v>
      </c>
      <c r="B22" s="3" t="str">
        <f>DETAILS!B21</f>
        <v>DEVANSH SINGH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23">
        <f>DETAILS!A22</f>
        <v>1649</v>
      </c>
      <c r="B23" s="3" t="str">
        <f>DETAILS!B22</f>
        <v>DEVISHA TIWARI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23">
        <f>DETAILS!A23</f>
        <v>1791</v>
      </c>
      <c r="B24" s="3" t="str">
        <f>DETAILS!B23</f>
        <v>DIPANSH SRIVASTAVA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23">
        <f>DETAILS!A24</f>
        <v>1564</v>
      </c>
      <c r="B25" s="3" t="str">
        <f>DETAILS!B24</f>
        <v>GAURAV YADAV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23">
        <f>DETAILS!A25</f>
        <v>1573</v>
      </c>
      <c r="B26" s="3" t="str">
        <f>DETAILS!B25</f>
        <v>HARIOM MISHRA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23">
        <f>DETAILS!A26</f>
        <v>1561</v>
      </c>
      <c r="B27" s="3" t="str">
        <f>DETAILS!B26</f>
        <v>HARSHITA MEENA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23">
        <f>DETAILS!A27</f>
        <v>1565</v>
      </c>
      <c r="B28" s="3" t="str">
        <f>DETAILS!B27</f>
        <v>JANVI SINGH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23">
        <f>DETAILS!A28</f>
        <v>1870</v>
      </c>
      <c r="B29" s="3" t="str">
        <f>DETAILS!B28</f>
        <v>JANVI SINGH SENGAR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23">
        <f>DETAILS!A29</f>
        <v>1657</v>
      </c>
      <c r="B30" s="3" t="str">
        <f>DETAILS!B29</f>
        <v>KARNIKA VERMA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23">
        <f>DETAILS!A30</f>
        <v>1558</v>
      </c>
      <c r="B31" s="3" t="str">
        <f>DETAILS!B30</f>
        <v>KAVYA TIWARI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23">
        <f>DETAILS!A31</f>
        <v>1906</v>
      </c>
      <c r="B32" s="3" t="str">
        <f>DETAILS!B31</f>
        <v>KHUSHI PATEL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23">
        <f>DETAILS!A32</f>
        <v>1865</v>
      </c>
      <c r="B33" s="3" t="str">
        <f>DETAILS!B32</f>
        <v>MOHD SAIF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23">
        <f>DETAILS!A33</f>
        <v>1735</v>
      </c>
      <c r="B34" s="3" t="str">
        <f>DETAILS!B33</f>
        <v>PRAGATI SINGH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23">
        <f>DETAILS!A34</f>
        <v>1557</v>
      </c>
      <c r="B35" s="3" t="str">
        <f>DETAILS!B34</f>
        <v>PRISHA JAISWAL</v>
      </c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23">
        <f>DETAILS!A35</f>
        <v>1560</v>
      </c>
      <c r="B36" s="3" t="str">
        <f>DETAILS!B35</f>
        <v>SHANTANU YADAV</v>
      </c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23">
        <f>DETAILS!A36</f>
        <v>1890</v>
      </c>
      <c r="B37" s="3" t="str">
        <f>DETAILS!B36</f>
        <v>SHIVA YADAV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23">
        <f>DETAILS!A37</f>
        <v>1575</v>
      </c>
      <c r="B38" s="3" t="str">
        <f>DETAILS!B37</f>
        <v>SHIVIKA VERMA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23">
        <f>DETAILS!A38</f>
        <v>1732</v>
      </c>
      <c r="B39" s="3" t="str">
        <f>DETAILS!B38</f>
        <v>SUHAN ALI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23">
        <f>DETAILS!A39</f>
        <v>1706</v>
      </c>
      <c r="B40" s="3" t="str">
        <f>DETAILS!B39</f>
        <v>UTKARSH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23">
        <f>DETAILS!A40</f>
        <v>1567</v>
      </c>
      <c r="B41" s="3" t="str">
        <f>DETAILS!B40</f>
        <v>VAANYA YADAV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23">
        <f>DETAILS!A41</f>
        <v>1937</v>
      </c>
      <c r="B42" s="3" t="str">
        <f>DETAILS!B41</f>
        <v>VIVAAN  PAL</v>
      </c>
      <c r="C42" s="3"/>
      <c r="D42" s="3"/>
      <c r="E42" s="3"/>
      <c r="F42" s="3"/>
      <c r="G42" s="3"/>
      <c r="H42" s="3"/>
      <c r="I42" s="3"/>
      <c r="J42" s="3"/>
      <c r="K42" s="3"/>
    </row>
  </sheetData>
  <mergeCells count="11">
    <mergeCell ref="I2:I3"/>
    <mergeCell ref="J2:K2"/>
    <mergeCell ref="A1:K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M42"/>
  <sheetViews>
    <sheetView workbookViewId="0">
      <selection activeCell="J4" sqref="J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 x14ac:dyDescent="0.3">
      <c r="A1" s="36" t="s">
        <v>88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1" t="s">
        <v>52</v>
      </c>
      <c r="B2" s="41" t="s">
        <v>53</v>
      </c>
      <c r="C2" s="38" t="s">
        <v>12</v>
      </c>
      <c r="D2" s="38" t="s">
        <v>13</v>
      </c>
      <c r="E2" s="38" t="s">
        <v>54</v>
      </c>
      <c r="F2" s="38" t="s">
        <v>72</v>
      </c>
      <c r="G2" s="38" t="s">
        <v>15</v>
      </c>
      <c r="H2" s="38" t="s">
        <v>85</v>
      </c>
      <c r="I2" s="38" t="s">
        <v>86</v>
      </c>
      <c r="J2" s="38" t="s">
        <v>55</v>
      </c>
      <c r="K2" s="38" t="s">
        <v>87</v>
      </c>
      <c r="L2" s="40" t="s">
        <v>81</v>
      </c>
      <c r="M2" s="40"/>
    </row>
    <row r="3" spans="1:13" x14ac:dyDescent="0.3">
      <c r="A3" s="42"/>
      <c r="B3" s="42"/>
      <c r="C3" s="39"/>
      <c r="D3" s="39"/>
      <c r="E3" s="39"/>
      <c r="F3" s="39"/>
      <c r="G3" s="39"/>
      <c r="H3" s="39"/>
      <c r="I3" s="39"/>
      <c r="J3" s="39"/>
      <c r="K3" s="39"/>
      <c r="L3" s="26" t="s">
        <v>82</v>
      </c>
      <c r="M3" s="26" t="s">
        <v>83</v>
      </c>
    </row>
    <row r="4" spans="1:13" x14ac:dyDescent="0.3">
      <c r="A4" s="23">
        <f>DETAILS!A3</f>
        <v>1804</v>
      </c>
      <c r="B4" s="3" t="str">
        <f>DETAILS!B3</f>
        <v>AAKRITI SINGH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IFERROR(ROUND((VLOOKUP(A4,'UT-2(Entry)'!$1:$1048576,6,0))/2,0),VLOOKUP(A4,'UT-2(Entry)'!$1:$1048576,6,0))</f>
        <v>0</v>
      </c>
      <c r="G4" s="27">
        <f>IFERROR(ROUND((VLOOKUP(A4,'UT-2(Entry)'!$1:$1048576,7,0))/2,0),VLOOKUP(A4,'UT-2(Entry)'!$1:$1048576,7,0))</f>
        <v>0</v>
      </c>
      <c r="H4" s="27" t="str">
        <f>IFERROR(VLOOKUP(VLOOKUP(A4,'UT-2(Entry)'!$1:$1048576,8,0),'Grade(40)'!$1:$1048576,2,0),VLOOKUP(A4,'UT-2(Entry)'!$1:$1048576,8,0))</f>
        <v>E</v>
      </c>
      <c r="I4" s="27" t="str">
        <f>IFERROR(VLOOKUP(VLOOKUP(A4,'UT-2(Entry)'!$1:$1048576,9,0),'Grade(40)'!$1:$1048576,2,0),VLOOKUP(A4,'UT-2(Entry)'!$1:$1048576,9,0))</f>
        <v>E</v>
      </c>
      <c r="J4" s="27">
        <f t="shared" ref="J4:J42" si="0">SUM(C4:G4)</f>
        <v>0</v>
      </c>
      <c r="K4" s="27" t="str">
        <f>ROUND(J4/1,2)&amp;" %"</f>
        <v>0 %</v>
      </c>
      <c r="L4" s="3">
        <f>VLOOKUP(A4,'UT-2(Entry)'!$1:$1048576,10,0)</f>
        <v>0</v>
      </c>
      <c r="M4" s="3">
        <f>VLOOKUP(A4,'UT-2(Entry)'!$1:$1048576,11,0)</f>
        <v>0</v>
      </c>
    </row>
    <row r="5" spans="1:13" x14ac:dyDescent="0.3">
      <c r="A5" s="23">
        <f>DETAILS!A4</f>
        <v>1571</v>
      </c>
      <c r="B5" s="3" t="str">
        <f>DETAILS!B4</f>
        <v>ABHIJEET PATEL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IFERROR(ROUND((VLOOKUP(A5,'UT-2(Entry)'!$1:$1048576,7,0))/2,0),VLOOKUP(A5,'UT-2(Entry)'!$1:$1048576,7,0))</f>
        <v>0</v>
      </c>
      <c r="H5" s="27" t="str">
        <f>IFERROR(VLOOKUP(VLOOKUP(A5,'UT-2(Entry)'!$1:$1048576,8,0),'Grade(40)'!$1:$1048576,2,0),VLOOKUP(A5,'UT-2(Entry)'!$1:$1048576,8,0))</f>
        <v>E</v>
      </c>
      <c r="I5" s="27" t="str">
        <f>IFERROR(VLOOKUP(VLOOKUP(A5,'UT-2(Entry)'!$1:$1048576,9,0),'Grade(40)'!$1:$1048576,2,0),VLOOKUP(A5,'UT-2(Entry)'!$1:$1048576,9,0))</f>
        <v>E</v>
      </c>
      <c r="J5" s="27">
        <f t="shared" si="0"/>
        <v>0</v>
      </c>
      <c r="K5" s="27" t="str">
        <f t="shared" ref="K5:K42" si="1">ROUND(J5/1,2)&amp;" %"</f>
        <v>0 %</v>
      </c>
      <c r="L5" s="3">
        <f>VLOOKUP(A5,'UT-2(Entry)'!$1:$1048576,10,0)</f>
        <v>0</v>
      </c>
      <c r="M5" s="3">
        <f>VLOOKUP(A5,'UT-2(Entry)'!$1:$1048576,11,0)</f>
        <v>0</v>
      </c>
    </row>
    <row r="6" spans="1:13" x14ac:dyDescent="0.3">
      <c r="A6" s="23">
        <f>DETAILS!A5</f>
        <v>1881</v>
      </c>
      <c r="B6" s="3" t="str">
        <f>DETAILS!B5</f>
        <v>ADITI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IFERROR(ROUND((VLOOKUP(A6,'UT-2(Entry)'!$1:$1048576,7,0))/2,0),VLOOKUP(A6,'UT-2(Entry)'!$1:$1048576,7,0))</f>
        <v>0</v>
      </c>
      <c r="H6" s="27" t="str">
        <f>IFERROR(VLOOKUP(VLOOKUP(A6,'UT-2(Entry)'!$1:$1048576,8,0),'Grade(40)'!$1:$1048576,2,0),VLOOKUP(A6,'UT-2(Entry)'!$1:$1048576,8,0))</f>
        <v>E</v>
      </c>
      <c r="I6" s="27" t="str">
        <f>IFERROR(VLOOKUP(VLOOKUP(A6,'UT-2(Entry)'!$1:$1048576,9,0),'Grade(40)'!$1:$1048576,2,0),VLOOKUP(A6,'UT-2(Entry)'!$1:$1048576,9,0))</f>
        <v>E</v>
      </c>
      <c r="J6" s="27">
        <f t="shared" si="0"/>
        <v>0</v>
      </c>
      <c r="K6" s="27" t="str">
        <f t="shared" si="1"/>
        <v>0 %</v>
      </c>
      <c r="L6" s="3">
        <f>VLOOKUP(A6,'UT-2(Entry)'!$1:$1048576,10,0)</f>
        <v>0</v>
      </c>
      <c r="M6" s="3">
        <f>VLOOKUP(A6,'UT-2(Entry)'!$1:$1048576,11,0)</f>
        <v>0</v>
      </c>
    </row>
    <row r="7" spans="1:13" x14ac:dyDescent="0.3">
      <c r="A7" s="23">
        <f>DETAILS!A6</f>
        <v>1559</v>
      </c>
      <c r="B7" s="3" t="str">
        <f>DETAILS!B6</f>
        <v>ADITYA VERMA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IFERROR(ROUND((VLOOKUP(A7,'UT-2(Entry)'!$1:$1048576,7,0))/2,0),VLOOKUP(A7,'UT-2(Entry)'!$1:$1048576,7,0))</f>
        <v>0</v>
      </c>
      <c r="H7" s="27" t="str">
        <f>IFERROR(VLOOKUP(VLOOKUP(A7,'UT-2(Entry)'!$1:$1048576,8,0),'Grade(40)'!$1:$1048576,2,0),VLOOKUP(A7,'UT-2(Entry)'!$1:$1048576,8,0))</f>
        <v>E</v>
      </c>
      <c r="I7" s="27" t="str">
        <f>IFERROR(VLOOKUP(VLOOKUP(A7,'UT-2(Entry)'!$1:$1048576,9,0),'Grade(40)'!$1:$1048576,2,0),VLOOKUP(A7,'UT-2(Entry)'!$1:$1048576,9,0))</f>
        <v>E</v>
      </c>
      <c r="J7" s="27">
        <f t="shared" si="0"/>
        <v>0</v>
      </c>
      <c r="K7" s="27" t="str">
        <f t="shared" si="1"/>
        <v>0 %</v>
      </c>
      <c r="L7" s="3">
        <f>VLOOKUP(A7,'UT-2(Entry)'!$1:$1048576,10,0)</f>
        <v>0</v>
      </c>
      <c r="M7" s="3">
        <f>VLOOKUP(A7,'UT-2(Entry)'!$1:$1048576,11,0)</f>
        <v>0</v>
      </c>
    </row>
    <row r="8" spans="1:13" x14ac:dyDescent="0.3">
      <c r="A8" s="23">
        <f>DETAILS!A7</f>
        <v>1548</v>
      </c>
      <c r="B8" s="3" t="str">
        <f>DETAILS!B7</f>
        <v>ADVIK BAJPAI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IFERROR(ROUND((VLOOKUP(A8,'UT-2(Entry)'!$1:$1048576,7,0))/2,0),VLOOKUP(A8,'UT-2(Entry)'!$1:$1048576,7,0))</f>
        <v>0</v>
      </c>
      <c r="H8" s="27" t="str">
        <f>IFERROR(VLOOKUP(VLOOKUP(A8,'UT-2(Entry)'!$1:$1048576,8,0),'Grade(40)'!$1:$1048576,2,0),VLOOKUP(A8,'UT-2(Entry)'!$1:$1048576,8,0))</f>
        <v>E</v>
      </c>
      <c r="I8" s="27" t="str">
        <f>IFERROR(VLOOKUP(VLOOKUP(A8,'UT-2(Entry)'!$1:$1048576,9,0),'Grade(40)'!$1:$1048576,2,0),VLOOKUP(A8,'UT-2(Entry)'!$1:$1048576,9,0))</f>
        <v>E</v>
      </c>
      <c r="J8" s="27">
        <f t="shared" si="0"/>
        <v>0</v>
      </c>
      <c r="K8" s="27" t="str">
        <f t="shared" si="1"/>
        <v>0 %</v>
      </c>
      <c r="L8" s="3">
        <f>VLOOKUP(A8,'UT-2(Entry)'!$1:$1048576,10,0)</f>
        <v>0</v>
      </c>
      <c r="M8" s="3">
        <f>VLOOKUP(A8,'UT-2(Entry)'!$1:$1048576,11,0)</f>
        <v>0</v>
      </c>
    </row>
    <row r="9" spans="1:13" x14ac:dyDescent="0.3">
      <c r="A9" s="23">
        <f>DETAILS!A8</f>
        <v>1549</v>
      </c>
      <c r="B9" s="3" t="str">
        <f>DETAILS!B8</f>
        <v>AHEM SHARMA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IFERROR(ROUND((VLOOKUP(A9,'UT-2(Entry)'!$1:$1048576,7,0))/2,0),VLOOKUP(A9,'UT-2(Entry)'!$1:$1048576,7,0))</f>
        <v>0</v>
      </c>
      <c r="H9" s="27" t="str">
        <f>IFERROR(VLOOKUP(VLOOKUP(A9,'UT-2(Entry)'!$1:$1048576,8,0),'Grade(40)'!$1:$1048576,2,0),VLOOKUP(A9,'UT-2(Entry)'!$1:$1048576,8,0))</f>
        <v>E</v>
      </c>
      <c r="I9" s="27" t="str">
        <f>IFERROR(VLOOKUP(VLOOKUP(A9,'UT-2(Entry)'!$1:$1048576,9,0),'Grade(40)'!$1:$1048576,2,0),VLOOKUP(A9,'UT-2(Entry)'!$1:$1048576,9,0))</f>
        <v>E</v>
      </c>
      <c r="J9" s="27">
        <f t="shared" si="0"/>
        <v>0</v>
      </c>
      <c r="K9" s="27" t="str">
        <f t="shared" si="1"/>
        <v>0 %</v>
      </c>
      <c r="L9" s="3">
        <f>VLOOKUP(A9,'UT-2(Entry)'!$1:$1048576,10,0)</f>
        <v>0</v>
      </c>
      <c r="M9" s="3">
        <f>VLOOKUP(A9,'UT-2(Entry)'!$1:$1048576,11,0)</f>
        <v>0</v>
      </c>
    </row>
    <row r="10" spans="1:13" x14ac:dyDescent="0.3">
      <c r="A10" s="23">
        <f>DETAILS!A9</f>
        <v>1556</v>
      </c>
      <c r="B10" s="3" t="str">
        <f>DETAILS!B9</f>
        <v>AKRATI VISHWAKARMA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IFERROR(ROUND((VLOOKUP(A10,'UT-2(Entry)'!$1:$1048576,7,0))/2,0),VLOOKUP(A10,'UT-2(Entry)'!$1:$1048576,7,0))</f>
        <v>0</v>
      </c>
      <c r="H10" s="27" t="str">
        <f>IFERROR(VLOOKUP(VLOOKUP(A10,'UT-2(Entry)'!$1:$1048576,8,0),'Grade(40)'!$1:$1048576,2,0),VLOOKUP(A10,'UT-2(Entry)'!$1:$1048576,8,0))</f>
        <v>E</v>
      </c>
      <c r="I10" s="27" t="str">
        <f>IFERROR(VLOOKUP(VLOOKUP(A10,'UT-2(Entry)'!$1:$1048576,9,0),'Grade(40)'!$1:$1048576,2,0),VLOOKUP(A10,'UT-2(Entry)'!$1:$1048576,9,0))</f>
        <v>E</v>
      </c>
      <c r="J10" s="27">
        <f t="shared" si="0"/>
        <v>0</v>
      </c>
      <c r="K10" s="27" t="str">
        <f t="shared" si="1"/>
        <v>0 %</v>
      </c>
      <c r="L10" s="3">
        <f>VLOOKUP(A10,'UT-2(Entry)'!$1:$1048576,10,0)</f>
        <v>0</v>
      </c>
      <c r="M10" s="3">
        <f>VLOOKUP(A10,'UT-2(Entry)'!$1:$1048576,11,0)</f>
        <v>0</v>
      </c>
    </row>
    <row r="11" spans="1:13" x14ac:dyDescent="0.3">
      <c r="A11" s="23">
        <f>DETAILS!A10</f>
        <v>1915</v>
      </c>
      <c r="B11" s="3" t="str">
        <f>DETAILS!B10</f>
        <v>AKRITI SHUKLA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IFERROR(ROUND((VLOOKUP(A11,'UT-2(Entry)'!$1:$1048576,7,0))/2,0),VLOOKUP(A11,'UT-2(Entry)'!$1:$1048576,7,0))</f>
        <v>0</v>
      </c>
      <c r="H11" s="27" t="str">
        <f>IFERROR(VLOOKUP(VLOOKUP(A11,'UT-2(Entry)'!$1:$1048576,8,0),'Grade(40)'!$1:$1048576,2,0),VLOOKUP(A11,'UT-2(Entry)'!$1:$1048576,8,0))</f>
        <v>E</v>
      </c>
      <c r="I11" s="27" t="str">
        <f>IFERROR(VLOOKUP(VLOOKUP(A11,'UT-2(Entry)'!$1:$1048576,9,0),'Grade(40)'!$1:$1048576,2,0),VLOOKUP(A11,'UT-2(Entry)'!$1:$1048576,9,0))</f>
        <v>E</v>
      </c>
      <c r="J11" s="27">
        <f t="shared" si="0"/>
        <v>0</v>
      </c>
      <c r="K11" s="27" t="str">
        <f t="shared" si="1"/>
        <v>0 %</v>
      </c>
      <c r="L11" s="3">
        <f>VLOOKUP(A11,'UT-2(Entry)'!$1:$1048576,10,0)</f>
        <v>0</v>
      </c>
      <c r="M11" s="3">
        <f>VLOOKUP(A11,'UT-2(Entry)'!$1:$1048576,11,0)</f>
        <v>0</v>
      </c>
    </row>
    <row r="12" spans="1:13" x14ac:dyDescent="0.3">
      <c r="A12" s="23">
        <f>DETAILS!A11</f>
        <v>1563</v>
      </c>
      <c r="B12" s="3" t="str">
        <f>DETAILS!B11</f>
        <v>ANANYA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IFERROR(ROUND((VLOOKUP(A12,'UT-2(Entry)'!$1:$1048576,7,0))/2,0),VLOOKUP(A12,'UT-2(Entry)'!$1:$1048576,7,0))</f>
        <v>0</v>
      </c>
      <c r="H12" s="27" t="str">
        <f>IFERROR(VLOOKUP(VLOOKUP(A12,'UT-2(Entry)'!$1:$1048576,8,0),'Grade(40)'!$1:$1048576,2,0),VLOOKUP(A12,'UT-2(Entry)'!$1:$1048576,8,0))</f>
        <v>E</v>
      </c>
      <c r="I12" s="27" t="str">
        <f>IFERROR(VLOOKUP(VLOOKUP(A12,'UT-2(Entry)'!$1:$1048576,9,0),'Grade(40)'!$1:$1048576,2,0),VLOOKUP(A12,'UT-2(Entry)'!$1:$1048576,9,0))</f>
        <v>E</v>
      </c>
      <c r="J12" s="27">
        <f t="shared" si="0"/>
        <v>0</v>
      </c>
      <c r="K12" s="27" t="str">
        <f t="shared" si="1"/>
        <v>0 %</v>
      </c>
      <c r="L12" s="3">
        <f>VLOOKUP(A12,'UT-2(Entry)'!$1:$1048576,10,0)</f>
        <v>0</v>
      </c>
      <c r="M12" s="3">
        <f>VLOOKUP(A12,'UT-2(Entry)'!$1:$1048576,11,0)</f>
        <v>0</v>
      </c>
    </row>
    <row r="13" spans="1:13" x14ac:dyDescent="0.3">
      <c r="A13" s="23">
        <f>DETAILS!A12</f>
        <v>1562</v>
      </c>
      <c r="B13" s="3" t="str">
        <f>DETAILS!B12</f>
        <v>ANKITA RAJPOOT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IFERROR(ROUND((VLOOKUP(A13,'UT-2(Entry)'!$1:$1048576,7,0))/2,0),VLOOKUP(A13,'UT-2(Entry)'!$1:$1048576,7,0))</f>
        <v>0</v>
      </c>
      <c r="H13" s="27" t="str">
        <f>IFERROR(VLOOKUP(VLOOKUP(A13,'UT-2(Entry)'!$1:$1048576,8,0),'Grade(40)'!$1:$1048576,2,0),VLOOKUP(A13,'UT-2(Entry)'!$1:$1048576,8,0))</f>
        <v>E</v>
      </c>
      <c r="I13" s="27" t="str">
        <f>IFERROR(VLOOKUP(VLOOKUP(A13,'UT-2(Entry)'!$1:$1048576,9,0),'Grade(40)'!$1:$1048576,2,0),VLOOKUP(A13,'UT-2(Entry)'!$1:$1048576,9,0))</f>
        <v>E</v>
      </c>
      <c r="J13" s="27">
        <f t="shared" si="0"/>
        <v>0</v>
      </c>
      <c r="K13" s="27" t="str">
        <f t="shared" si="1"/>
        <v>0 %</v>
      </c>
      <c r="L13" s="3">
        <f>VLOOKUP(A13,'UT-2(Entry)'!$1:$1048576,10,0)</f>
        <v>0</v>
      </c>
      <c r="M13" s="3">
        <f>VLOOKUP(A13,'UT-2(Entry)'!$1:$1048576,11,0)</f>
        <v>0</v>
      </c>
    </row>
    <row r="14" spans="1:13" x14ac:dyDescent="0.3">
      <c r="A14" s="23">
        <f>DETAILS!A13</f>
        <v>1547</v>
      </c>
      <c r="B14" s="3" t="str">
        <f>DETAILS!B13</f>
        <v>ANSHIKA PANDEY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IFERROR(ROUND((VLOOKUP(A14,'UT-2(Entry)'!$1:$1048576,7,0))/2,0),VLOOKUP(A14,'UT-2(Entry)'!$1:$1048576,7,0))</f>
        <v>0</v>
      </c>
      <c r="H14" s="27" t="str">
        <f>IFERROR(VLOOKUP(VLOOKUP(A14,'UT-2(Entry)'!$1:$1048576,8,0),'Grade(40)'!$1:$1048576,2,0),VLOOKUP(A14,'UT-2(Entry)'!$1:$1048576,8,0))</f>
        <v>E</v>
      </c>
      <c r="I14" s="27" t="str">
        <f>IFERROR(VLOOKUP(VLOOKUP(A14,'UT-2(Entry)'!$1:$1048576,9,0),'Grade(40)'!$1:$1048576,2,0),VLOOKUP(A14,'UT-2(Entry)'!$1:$1048576,9,0))</f>
        <v>E</v>
      </c>
      <c r="J14" s="27">
        <f t="shared" si="0"/>
        <v>0</v>
      </c>
      <c r="K14" s="27" t="str">
        <f t="shared" si="1"/>
        <v>0 %</v>
      </c>
      <c r="L14" s="3">
        <f>VLOOKUP(A14,'UT-2(Entry)'!$1:$1048576,10,0)</f>
        <v>0</v>
      </c>
      <c r="M14" s="3">
        <f>VLOOKUP(A14,'UT-2(Entry)'!$1:$1048576,11,0)</f>
        <v>0</v>
      </c>
    </row>
    <row r="15" spans="1:13" x14ac:dyDescent="0.3">
      <c r="A15" s="23">
        <f>DETAILS!A14</f>
        <v>1644</v>
      </c>
      <c r="B15" s="3" t="str">
        <f>DETAILS!B14</f>
        <v>ARADHYA SINGH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IFERROR(ROUND((VLOOKUP(A15,'UT-2(Entry)'!$1:$1048576,7,0))/2,0),VLOOKUP(A15,'UT-2(Entry)'!$1:$1048576,7,0))</f>
        <v>0</v>
      </c>
      <c r="H15" s="27" t="str">
        <f>IFERROR(VLOOKUP(VLOOKUP(A15,'UT-2(Entry)'!$1:$1048576,8,0),'Grade(40)'!$1:$1048576,2,0),VLOOKUP(A15,'UT-2(Entry)'!$1:$1048576,8,0))</f>
        <v>E</v>
      </c>
      <c r="I15" s="27" t="str">
        <f>IFERROR(VLOOKUP(VLOOKUP(A15,'UT-2(Entry)'!$1:$1048576,9,0),'Grade(40)'!$1:$1048576,2,0),VLOOKUP(A15,'UT-2(Entry)'!$1:$1048576,9,0))</f>
        <v>E</v>
      </c>
      <c r="J15" s="27">
        <f t="shared" si="0"/>
        <v>0</v>
      </c>
      <c r="K15" s="27" t="str">
        <f t="shared" si="1"/>
        <v>0 %</v>
      </c>
      <c r="L15" s="3">
        <f>VLOOKUP(A15,'UT-2(Entry)'!$1:$1048576,10,0)</f>
        <v>0</v>
      </c>
      <c r="M15" s="3">
        <f>VLOOKUP(A15,'UT-2(Entry)'!$1:$1048576,11,0)</f>
        <v>0</v>
      </c>
    </row>
    <row r="16" spans="1:13" x14ac:dyDescent="0.3">
      <c r="A16" s="23">
        <f>DETAILS!A15</f>
        <v>1566</v>
      </c>
      <c r="B16" s="3" t="str">
        <f>DETAILS!B15</f>
        <v>ARIYAN PAL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IFERROR(ROUND((VLOOKUP(A16,'UT-2(Entry)'!$1:$1048576,7,0))/2,0),VLOOKUP(A16,'UT-2(Entry)'!$1:$1048576,7,0))</f>
        <v>0</v>
      </c>
      <c r="H16" s="27" t="str">
        <f>IFERROR(VLOOKUP(VLOOKUP(A16,'UT-2(Entry)'!$1:$1048576,8,0),'Grade(40)'!$1:$1048576,2,0),VLOOKUP(A16,'UT-2(Entry)'!$1:$1048576,8,0))</f>
        <v>E</v>
      </c>
      <c r="I16" s="27" t="str">
        <f>IFERROR(VLOOKUP(VLOOKUP(A16,'UT-2(Entry)'!$1:$1048576,9,0),'Grade(40)'!$1:$1048576,2,0),VLOOKUP(A16,'UT-2(Entry)'!$1:$1048576,9,0))</f>
        <v>E</v>
      </c>
      <c r="J16" s="27">
        <f t="shared" si="0"/>
        <v>0</v>
      </c>
      <c r="K16" s="27" t="str">
        <f t="shared" si="1"/>
        <v>0 %</v>
      </c>
      <c r="L16" s="3">
        <f>VLOOKUP(A16,'UT-2(Entry)'!$1:$1048576,10,0)</f>
        <v>0</v>
      </c>
      <c r="M16" s="3">
        <f>VLOOKUP(A16,'UT-2(Entry)'!$1:$1048576,11,0)</f>
        <v>0</v>
      </c>
    </row>
    <row r="17" spans="1:13" x14ac:dyDescent="0.3">
      <c r="A17" s="23">
        <f>DETAILS!A16</f>
        <v>1878</v>
      </c>
      <c r="B17" s="3" t="str">
        <f>DETAILS!B16</f>
        <v>AROHI VERMA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IFERROR(ROUND((VLOOKUP(A17,'UT-2(Entry)'!$1:$1048576,7,0))/2,0),VLOOKUP(A17,'UT-2(Entry)'!$1:$1048576,7,0))</f>
        <v>0</v>
      </c>
      <c r="H17" s="27" t="str">
        <f>IFERROR(VLOOKUP(VLOOKUP(A17,'UT-2(Entry)'!$1:$1048576,8,0),'Grade(40)'!$1:$1048576,2,0),VLOOKUP(A17,'UT-2(Entry)'!$1:$1048576,8,0))</f>
        <v>E</v>
      </c>
      <c r="I17" s="27" t="str">
        <f>IFERROR(VLOOKUP(VLOOKUP(A17,'UT-2(Entry)'!$1:$1048576,9,0),'Grade(40)'!$1:$1048576,2,0),VLOOKUP(A17,'UT-2(Entry)'!$1:$1048576,9,0))</f>
        <v>E</v>
      </c>
      <c r="J17" s="27">
        <f t="shared" si="0"/>
        <v>0</v>
      </c>
      <c r="K17" s="27" t="str">
        <f t="shared" si="1"/>
        <v>0 %</v>
      </c>
      <c r="L17" s="3">
        <f>VLOOKUP(A17,'UT-2(Entry)'!$1:$1048576,10,0)</f>
        <v>0</v>
      </c>
      <c r="M17" s="3">
        <f>VLOOKUP(A17,'UT-2(Entry)'!$1:$1048576,11,0)</f>
        <v>0</v>
      </c>
    </row>
    <row r="18" spans="1:13" x14ac:dyDescent="0.3">
      <c r="A18" s="23">
        <f>DETAILS!A17</f>
        <v>1809</v>
      </c>
      <c r="B18" s="3" t="str">
        <f>DETAILS!B17</f>
        <v>ARUNENDRA PRATAP SINGH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IFERROR(ROUND((VLOOKUP(A18,'UT-2(Entry)'!$1:$1048576,7,0))/2,0),VLOOKUP(A18,'UT-2(Entry)'!$1:$1048576,7,0))</f>
        <v>0</v>
      </c>
      <c r="H18" s="27" t="str">
        <f>IFERROR(VLOOKUP(VLOOKUP(A18,'UT-2(Entry)'!$1:$1048576,8,0),'Grade(40)'!$1:$1048576,2,0),VLOOKUP(A18,'UT-2(Entry)'!$1:$1048576,8,0))</f>
        <v>E</v>
      </c>
      <c r="I18" s="27" t="str">
        <f>IFERROR(VLOOKUP(VLOOKUP(A18,'UT-2(Entry)'!$1:$1048576,9,0),'Grade(40)'!$1:$1048576,2,0),VLOOKUP(A18,'UT-2(Entry)'!$1:$1048576,9,0))</f>
        <v>E</v>
      </c>
      <c r="J18" s="27">
        <f t="shared" si="0"/>
        <v>0</v>
      </c>
      <c r="K18" s="27" t="str">
        <f t="shared" si="1"/>
        <v>0 %</v>
      </c>
      <c r="L18" s="3">
        <f>VLOOKUP(A18,'UT-2(Entry)'!$1:$1048576,10,0)</f>
        <v>0</v>
      </c>
      <c r="M18" s="3">
        <f>VLOOKUP(A18,'UT-2(Entry)'!$1:$1048576,11,0)</f>
        <v>0</v>
      </c>
    </row>
    <row r="19" spans="1:13" x14ac:dyDescent="0.3">
      <c r="A19" s="23">
        <f>DETAILS!A18</f>
        <v>1920</v>
      </c>
      <c r="B19" s="3" t="str">
        <f>DETAILS!B18</f>
        <v>ATHARV SINGH CHAUHAN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IFERROR(ROUND((VLOOKUP(A19,'UT-2(Entry)'!$1:$1048576,7,0))/2,0),VLOOKUP(A19,'UT-2(Entry)'!$1:$1048576,7,0))</f>
        <v>0</v>
      </c>
      <c r="H19" s="27" t="str">
        <f>IFERROR(VLOOKUP(VLOOKUP(A19,'UT-2(Entry)'!$1:$1048576,8,0),'Grade(40)'!$1:$1048576,2,0),VLOOKUP(A19,'UT-2(Entry)'!$1:$1048576,8,0))</f>
        <v>E</v>
      </c>
      <c r="I19" s="27" t="str">
        <f>IFERROR(VLOOKUP(VLOOKUP(A19,'UT-2(Entry)'!$1:$1048576,9,0),'Grade(40)'!$1:$1048576,2,0),VLOOKUP(A19,'UT-2(Entry)'!$1:$1048576,9,0))</f>
        <v>E</v>
      </c>
      <c r="J19" s="27">
        <f t="shared" si="0"/>
        <v>0</v>
      </c>
      <c r="K19" s="27" t="str">
        <f t="shared" si="1"/>
        <v>0 %</v>
      </c>
      <c r="L19" s="3">
        <f>VLOOKUP(A19,'UT-2(Entry)'!$1:$1048576,10,0)</f>
        <v>0</v>
      </c>
      <c r="M19" s="3">
        <f>VLOOKUP(A19,'UT-2(Entry)'!$1:$1048576,11,0)</f>
        <v>0</v>
      </c>
    </row>
    <row r="20" spans="1:13" x14ac:dyDescent="0.3">
      <c r="A20" s="23">
        <f>DETAILS!A19</f>
        <v>1569</v>
      </c>
      <c r="B20" s="3" t="str">
        <f>DETAILS!B19</f>
        <v>AVNI VERMA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IFERROR(ROUND((VLOOKUP(A20,'UT-2(Entry)'!$1:$1048576,7,0))/2,0),VLOOKUP(A20,'UT-2(Entry)'!$1:$1048576,7,0))</f>
        <v>0</v>
      </c>
      <c r="H20" s="27" t="str">
        <f>IFERROR(VLOOKUP(VLOOKUP(A20,'UT-2(Entry)'!$1:$1048576,8,0),'Grade(40)'!$1:$1048576,2,0),VLOOKUP(A20,'UT-2(Entry)'!$1:$1048576,8,0))</f>
        <v>E</v>
      </c>
      <c r="I20" s="27" t="str">
        <f>IFERROR(VLOOKUP(VLOOKUP(A20,'UT-2(Entry)'!$1:$1048576,9,0),'Grade(40)'!$1:$1048576,2,0),VLOOKUP(A20,'UT-2(Entry)'!$1:$1048576,9,0))</f>
        <v>E</v>
      </c>
      <c r="J20" s="27">
        <f t="shared" si="0"/>
        <v>0</v>
      </c>
      <c r="K20" s="27" t="str">
        <f t="shared" si="1"/>
        <v>0 %</v>
      </c>
      <c r="L20" s="3">
        <f>VLOOKUP(A20,'UT-2(Entry)'!$1:$1048576,10,0)</f>
        <v>0</v>
      </c>
      <c r="M20" s="3">
        <f>VLOOKUP(A20,'UT-2(Entry)'!$1:$1048576,11,0)</f>
        <v>0</v>
      </c>
    </row>
    <row r="21" spans="1:13" x14ac:dyDescent="0.3">
      <c r="A21" s="23">
        <f>DETAILS!A20</f>
        <v>1789</v>
      </c>
      <c r="B21" s="3" t="str">
        <f>DETAILS!B20</f>
        <v>AYUSHI YADAV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IFERROR(ROUND((VLOOKUP(A21,'UT-2(Entry)'!$1:$1048576,7,0))/2,0),VLOOKUP(A21,'UT-2(Entry)'!$1:$1048576,7,0))</f>
        <v>0</v>
      </c>
      <c r="H21" s="27" t="str">
        <f>IFERROR(VLOOKUP(VLOOKUP(A21,'UT-2(Entry)'!$1:$1048576,8,0),'Grade(40)'!$1:$1048576,2,0),VLOOKUP(A21,'UT-2(Entry)'!$1:$1048576,8,0))</f>
        <v>E</v>
      </c>
      <c r="I21" s="27" t="str">
        <f>IFERROR(VLOOKUP(VLOOKUP(A21,'UT-2(Entry)'!$1:$1048576,9,0),'Grade(40)'!$1:$1048576,2,0),VLOOKUP(A21,'UT-2(Entry)'!$1:$1048576,9,0))</f>
        <v>E</v>
      </c>
      <c r="J21" s="27">
        <f t="shared" si="0"/>
        <v>0</v>
      </c>
      <c r="K21" s="27" t="str">
        <f t="shared" si="1"/>
        <v>0 %</v>
      </c>
      <c r="L21" s="3">
        <f>VLOOKUP(A21,'UT-2(Entry)'!$1:$1048576,10,0)</f>
        <v>0</v>
      </c>
      <c r="M21" s="3">
        <f>VLOOKUP(A21,'UT-2(Entry)'!$1:$1048576,11,0)</f>
        <v>0</v>
      </c>
    </row>
    <row r="22" spans="1:13" x14ac:dyDescent="0.3">
      <c r="A22" s="23">
        <f>DETAILS!A21</f>
        <v>1673</v>
      </c>
      <c r="B22" s="3" t="str">
        <f>DETAILS!B21</f>
        <v>DEVANSH SINGH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IFERROR(ROUND((VLOOKUP(A22,'UT-2(Entry)'!$1:$1048576,7,0))/2,0),VLOOKUP(A22,'UT-2(Entry)'!$1:$1048576,7,0))</f>
        <v>0</v>
      </c>
      <c r="H22" s="27" t="str">
        <f>IFERROR(VLOOKUP(VLOOKUP(A22,'UT-2(Entry)'!$1:$1048576,8,0),'Grade(40)'!$1:$1048576,2,0),VLOOKUP(A22,'UT-2(Entry)'!$1:$1048576,8,0))</f>
        <v>E</v>
      </c>
      <c r="I22" s="27" t="str">
        <f>IFERROR(VLOOKUP(VLOOKUP(A22,'UT-2(Entry)'!$1:$1048576,9,0),'Grade(40)'!$1:$1048576,2,0),VLOOKUP(A22,'UT-2(Entry)'!$1:$1048576,9,0))</f>
        <v>E</v>
      </c>
      <c r="J22" s="27">
        <f t="shared" si="0"/>
        <v>0</v>
      </c>
      <c r="K22" s="27" t="str">
        <f t="shared" si="1"/>
        <v>0 %</v>
      </c>
      <c r="L22" s="3">
        <f>VLOOKUP(A22,'UT-2(Entry)'!$1:$1048576,10,0)</f>
        <v>0</v>
      </c>
      <c r="M22" s="3">
        <f>VLOOKUP(A22,'UT-2(Entry)'!$1:$1048576,11,0)</f>
        <v>0</v>
      </c>
    </row>
    <row r="23" spans="1:13" x14ac:dyDescent="0.3">
      <c r="A23" s="23">
        <f>DETAILS!A22</f>
        <v>1649</v>
      </c>
      <c r="B23" s="3" t="str">
        <f>DETAILS!B22</f>
        <v>DEVISHA TIWARI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IFERROR(ROUND((VLOOKUP(A23,'UT-2(Entry)'!$1:$1048576,7,0))/2,0),VLOOKUP(A23,'UT-2(Entry)'!$1:$1048576,7,0))</f>
        <v>0</v>
      </c>
      <c r="H23" s="27" t="str">
        <f>IFERROR(VLOOKUP(VLOOKUP(A23,'UT-2(Entry)'!$1:$1048576,8,0),'Grade(40)'!$1:$1048576,2,0),VLOOKUP(A23,'UT-2(Entry)'!$1:$1048576,8,0))</f>
        <v>E</v>
      </c>
      <c r="I23" s="27" t="str">
        <f>IFERROR(VLOOKUP(VLOOKUP(A23,'UT-2(Entry)'!$1:$1048576,9,0),'Grade(40)'!$1:$1048576,2,0),VLOOKUP(A23,'UT-2(Entry)'!$1:$1048576,9,0))</f>
        <v>E</v>
      </c>
      <c r="J23" s="27">
        <f t="shared" si="0"/>
        <v>0</v>
      </c>
      <c r="K23" s="27" t="str">
        <f t="shared" si="1"/>
        <v>0 %</v>
      </c>
      <c r="L23" s="3">
        <f>VLOOKUP(A23,'UT-2(Entry)'!$1:$1048576,10,0)</f>
        <v>0</v>
      </c>
      <c r="M23" s="3">
        <f>VLOOKUP(A23,'UT-2(Entry)'!$1:$1048576,11,0)</f>
        <v>0</v>
      </c>
    </row>
    <row r="24" spans="1:13" x14ac:dyDescent="0.3">
      <c r="A24" s="23">
        <f>DETAILS!A23</f>
        <v>1791</v>
      </c>
      <c r="B24" s="3" t="str">
        <f>DETAILS!B23</f>
        <v>DIPANSH SRIVASTAVA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IFERROR(ROUND((VLOOKUP(A24,'UT-2(Entry)'!$1:$1048576,7,0))/2,0),VLOOKUP(A24,'UT-2(Entry)'!$1:$1048576,7,0))</f>
        <v>0</v>
      </c>
      <c r="H24" s="27" t="str">
        <f>IFERROR(VLOOKUP(VLOOKUP(A24,'UT-2(Entry)'!$1:$1048576,8,0),'Grade(40)'!$1:$1048576,2,0),VLOOKUP(A24,'UT-2(Entry)'!$1:$1048576,8,0))</f>
        <v>E</v>
      </c>
      <c r="I24" s="27" t="str">
        <f>IFERROR(VLOOKUP(VLOOKUP(A24,'UT-2(Entry)'!$1:$1048576,9,0),'Grade(40)'!$1:$1048576,2,0),VLOOKUP(A24,'UT-2(Entry)'!$1:$1048576,9,0))</f>
        <v>E</v>
      </c>
      <c r="J24" s="27">
        <f t="shared" si="0"/>
        <v>0</v>
      </c>
      <c r="K24" s="27" t="str">
        <f t="shared" si="1"/>
        <v>0 %</v>
      </c>
      <c r="L24" s="3">
        <f>VLOOKUP(A24,'UT-2(Entry)'!$1:$1048576,10,0)</f>
        <v>0</v>
      </c>
      <c r="M24" s="3">
        <f>VLOOKUP(A24,'UT-2(Entry)'!$1:$1048576,11,0)</f>
        <v>0</v>
      </c>
    </row>
    <row r="25" spans="1:13" x14ac:dyDescent="0.3">
      <c r="A25" s="23">
        <f>DETAILS!A24</f>
        <v>1564</v>
      </c>
      <c r="B25" s="3" t="str">
        <f>DETAILS!B24</f>
        <v>GAURAV YADAV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IFERROR(ROUND((VLOOKUP(A25,'UT-2(Entry)'!$1:$1048576,7,0))/2,0),VLOOKUP(A25,'UT-2(Entry)'!$1:$1048576,7,0))</f>
        <v>0</v>
      </c>
      <c r="H25" s="27" t="str">
        <f>IFERROR(VLOOKUP(VLOOKUP(A25,'UT-2(Entry)'!$1:$1048576,8,0),'Grade(40)'!$1:$1048576,2,0),VLOOKUP(A25,'UT-2(Entry)'!$1:$1048576,8,0))</f>
        <v>E</v>
      </c>
      <c r="I25" s="27" t="str">
        <f>IFERROR(VLOOKUP(VLOOKUP(A25,'UT-2(Entry)'!$1:$1048576,9,0),'Grade(40)'!$1:$1048576,2,0),VLOOKUP(A25,'UT-2(Entry)'!$1:$1048576,9,0))</f>
        <v>E</v>
      </c>
      <c r="J25" s="27">
        <f t="shared" si="0"/>
        <v>0</v>
      </c>
      <c r="K25" s="27" t="str">
        <f t="shared" si="1"/>
        <v>0 %</v>
      </c>
      <c r="L25" s="3">
        <f>VLOOKUP(A25,'UT-2(Entry)'!$1:$1048576,10,0)</f>
        <v>0</v>
      </c>
      <c r="M25" s="3">
        <f>VLOOKUP(A25,'UT-2(Entry)'!$1:$1048576,11,0)</f>
        <v>0</v>
      </c>
    </row>
    <row r="26" spans="1:13" x14ac:dyDescent="0.3">
      <c r="A26" s="23">
        <f>DETAILS!A25</f>
        <v>1573</v>
      </c>
      <c r="B26" s="3" t="str">
        <f>DETAILS!B25</f>
        <v>HARIOM MISHRA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IFERROR(ROUND((VLOOKUP(A26,'UT-2(Entry)'!$1:$1048576,7,0))/2,0),VLOOKUP(A26,'UT-2(Entry)'!$1:$1048576,7,0))</f>
        <v>0</v>
      </c>
      <c r="H26" s="27" t="str">
        <f>IFERROR(VLOOKUP(VLOOKUP(A26,'UT-2(Entry)'!$1:$1048576,8,0),'Grade(40)'!$1:$1048576,2,0),VLOOKUP(A26,'UT-2(Entry)'!$1:$1048576,8,0))</f>
        <v>E</v>
      </c>
      <c r="I26" s="27" t="str">
        <f>IFERROR(VLOOKUP(VLOOKUP(A26,'UT-2(Entry)'!$1:$1048576,9,0),'Grade(40)'!$1:$1048576,2,0),VLOOKUP(A26,'UT-2(Entry)'!$1:$1048576,9,0))</f>
        <v>E</v>
      </c>
      <c r="J26" s="27">
        <f t="shared" si="0"/>
        <v>0</v>
      </c>
      <c r="K26" s="27" t="str">
        <f t="shared" si="1"/>
        <v>0 %</v>
      </c>
      <c r="L26" s="3">
        <f>VLOOKUP(A26,'UT-2(Entry)'!$1:$1048576,10,0)</f>
        <v>0</v>
      </c>
      <c r="M26" s="3">
        <f>VLOOKUP(A26,'UT-2(Entry)'!$1:$1048576,11,0)</f>
        <v>0</v>
      </c>
    </row>
    <row r="27" spans="1:13" x14ac:dyDescent="0.3">
      <c r="A27" s="23">
        <f>DETAILS!A26</f>
        <v>1561</v>
      </c>
      <c r="B27" s="3" t="str">
        <f>DETAILS!B26</f>
        <v>HARSHITA MEENA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IFERROR(ROUND((VLOOKUP(A27,'UT-2(Entry)'!$1:$1048576,7,0))/2,0),VLOOKUP(A27,'UT-2(Entry)'!$1:$1048576,7,0))</f>
        <v>0</v>
      </c>
      <c r="H27" s="27" t="str">
        <f>IFERROR(VLOOKUP(VLOOKUP(A27,'UT-2(Entry)'!$1:$1048576,8,0),'Grade(40)'!$1:$1048576,2,0),VLOOKUP(A27,'UT-2(Entry)'!$1:$1048576,8,0))</f>
        <v>E</v>
      </c>
      <c r="I27" s="27" t="str">
        <f>IFERROR(VLOOKUP(VLOOKUP(A27,'UT-2(Entry)'!$1:$1048576,9,0),'Grade(40)'!$1:$1048576,2,0),VLOOKUP(A27,'UT-2(Entry)'!$1:$1048576,9,0))</f>
        <v>E</v>
      </c>
      <c r="J27" s="27">
        <f t="shared" si="0"/>
        <v>0</v>
      </c>
      <c r="K27" s="27" t="str">
        <f t="shared" si="1"/>
        <v>0 %</v>
      </c>
      <c r="L27" s="3">
        <f>VLOOKUP(A27,'UT-2(Entry)'!$1:$1048576,10,0)</f>
        <v>0</v>
      </c>
      <c r="M27" s="3">
        <f>VLOOKUP(A27,'UT-2(Entry)'!$1:$1048576,11,0)</f>
        <v>0</v>
      </c>
    </row>
    <row r="28" spans="1:13" x14ac:dyDescent="0.3">
      <c r="A28" s="23">
        <f>DETAILS!A27</f>
        <v>1565</v>
      </c>
      <c r="B28" s="3" t="str">
        <f>DETAILS!B27</f>
        <v>JANVI SINGH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IFERROR(ROUND((VLOOKUP(A28,'UT-2(Entry)'!$1:$1048576,7,0))/2,0),VLOOKUP(A28,'UT-2(Entry)'!$1:$1048576,7,0))</f>
        <v>0</v>
      </c>
      <c r="H28" s="27" t="str">
        <f>IFERROR(VLOOKUP(VLOOKUP(A28,'UT-2(Entry)'!$1:$1048576,8,0),'Grade(40)'!$1:$1048576,2,0),VLOOKUP(A28,'UT-2(Entry)'!$1:$1048576,8,0))</f>
        <v>E</v>
      </c>
      <c r="I28" s="27" t="str">
        <f>IFERROR(VLOOKUP(VLOOKUP(A28,'UT-2(Entry)'!$1:$1048576,9,0),'Grade(40)'!$1:$1048576,2,0),VLOOKUP(A28,'UT-2(Entry)'!$1:$1048576,9,0))</f>
        <v>E</v>
      </c>
      <c r="J28" s="27">
        <f t="shared" si="0"/>
        <v>0</v>
      </c>
      <c r="K28" s="27" t="str">
        <f t="shared" si="1"/>
        <v>0 %</v>
      </c>
      <c r="L28" s="3">
        <f>VLOOKUP(A28,'UT-2(Entry)'!$1:$1048576,10,0)</f>
        <v>0</v>
      </c>
      <c r="M28" s="3">
        <f>VLOOKUP(A28,'UT-2(Entry)'!$1:$1048576,11,0)</f>
        <v>0</v>
      </c>
    </row>
    <row r="29" spans="1:13" x14ac:dyDescent="0.3">
      <c r="A29" s="23">
        <f>DETAILS!A28</f>
        <v>1870</v>
      </c>
      <c r="B29" s="3" t="str">
        <f>DETAILS!B28</f>
        <v>JANVI SINGH SENGAR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IFERROR(ROUND((VLOOKUP(A29,'UT-2(Entry)'!$1:$1048576,7,0))/2,0),VLOOKUP(A29,'UT-2(Entry)'!$1:$1048576,7,0))</f>
        <v>0</v>
      </c>
      <c r="H29" s="27" t="str">
        <f>IFERROR(VLOOKUP(VLOOKUP(A29,'UT-2(Entry)'!$1:$1048576,8,0),'Grade(40)'!$1:$1048576,2,0),VLOOKUP(A29,'UT-2(Entry)'!$1:$1048576,8,0))</f>
        <v>E</v>
      </c>
      <c r="I29" s="27" t="str">
        <f>IFERROR(VLOOKUP(VLOOKUP(A29,'UT-2(Entry)'!$1:$1048576,9,0),'Grade(40)'!$1:$1048576,2,0),VLOOKUP(A29,'UT-2(Entry)'!$1:$1048576,9,0))</f>
        <v>E</v>
      </c>
      <c r="J29" s="27">
        <f t="shared" si="0"/>
        <v>0</v>
      </c>
      <c r="K29" s="27" t="str">
        <f t="shared" si="1"/>
        <v>0 %</v>
      </c>
      <c r="L29" s="3">
        <f>VLOOKUP(A29,'UT-2(Entry)'!$1:$1048576,10,0)</f>
        <v>0</v>
      </c>
      <c r="M29" s="3">
        <f>VLOOKUP(A29,'UT-2(Entry)'!$1:$1048576,11,0)</f>
        <v>0</v>
      </c>
    </row>
    <row r="30" spans="1:13" x14ac:dyDescent="0.3">
      <c r="A30" s="23">
        <f>DETAILS!A29</f>
        <v>1657</v>
      </c>
      <c r="B30" s="3" t="str">
        <f>DETAILS!B29</f>
        <v>KARNIKA VERMA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IFERROR(ROUND((VLOOKUP(A30,'UT-2(Entry)'!$1:$1048576,7,0))/2,0),VLOOKUP(A30,'UT-2(Entry)'!$1:$1048576,7,0))</f>
        <v>0</v>
      </c>
      <c r="H30" s="27" t="str">
        <f>IFERROR(VLOOKUP(VLOOKUP(A30,'UT-2(Entry)'!$1:$1048576,8,0),'Grade(40)'!$1:$1048576,2,0),VLOOKUP(A30,'UT-2(Entry)'!$1:$1048576,8,0))</f>
        <v>E</v>
      </c>
      <c r="I30" s="27" t="str">
        <f>IFERROR(VLOOKUP(VLOOKUP(A30,'UT-2(Entry)'!$1:$1048576,9,0),'Grade(40)'!$1:$1048576,2,0),VLOOKUP(A30,'UT-2(Entry)'!$1:$1048576,9,0))</f>
        <v>E</v>
      </c>
      <c r="J30" s="27">
        <f t="shared" si="0"/>
        <v>0</v>
      </c>
      <c r="K30" s="27" t="str">
        <f t="shared" si="1"/>
        <v>0 %</v>
      </c>
      <c r="L30" s="3">
        <f>VLOOKUP(A30,'UT-2(Entry)'!$1:$1048576,10,0)</f>
        <v>0</v>
      </c>
      <c r="M30" s="3">
        <f>VLOOKUP(A30,'UT-2(Entry)'!$1:$1048576,11,0)</f>
        <v>0</v>
      </c>
    </row>
    <row r="31" spans="1:13" x14ac:dyDescent="0.3">
      <c r="A31" s="23">
        <f>DETAILS!A30</f>
        <v>1558</v>
      </c>
      <c r="B31" s="3" t="str">
        <f>DETAILS!B30</f>
        <v>KAVYA TIWARI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IFERROR(ROUND((VLOOKUP(A31,'UT-2(Entry)'!$1:$1048576,7,0))/2,0),VLOOKUP(A31,'UT-2(Entry)'!$1:$1048576,7,0))</f>
        <v>0</v>
      </c>
      <c r="H31" s="27" t="str">
        <f>IFERROR(VLOOKUP(VLOOKUP(A31,'UT-2(Entry)'!$1:$1048576,8,0),'Grade(40)'!$1:$1048576,2,0),VLOOKUP(A31,'UT-2(Entry)'!$1:$1048576,8,0))</f>
        <v>E</v>
      </c>
      <c r="I31" s="27" t="str">
        <f>IFERROR(VLOOKUP(VLOOKUP(A31,'UT-2(Entry)'!$1:$1048576,9,0),'Grade(40)'!$1:$1048576,2,0),VLOOKUP(A31,'UT-2(Entry)'!$1:$1048576,9,0))</f>
        <v>E</v>
      </c>
      <c r="J31" s="27">
        <f t="shared" si="0"/>
        <v>0</v>
      </c>
      <c r="K31" s="27" t="str">
        <f t="shared" si="1"/>
        <v>0 %</v>
      </c>
      <c r="L31" s="3">
        <f>VLOOKUP(A31,'UT-2(Entry)'!$1:$1048576,10,0)</f>
        <v>0</v>
      </c>
      <c r="M31" s="3">
        <f>VLOOKUP(A31,'UT-2(Entry)'!$1:$1048576,11,0)</f>
        <v>0</v>
      </c>
    </row>
    <row r="32" spans="1:13" x14ac:dyDescent="0.3">
      <c r="A32" s="23">
        <f>DETAILS!A31</f>
        <v>1906</v>
      </c>
      <c r="B32" s="3" t="str">
        <f>DETAILS!B31</f>
        <v>KHUSHI PATEL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IFERROR(ROUND((VLOOKUP(A32,'UT-2(Entry)'!$1:$1048576,7,0))/2,0),VLOOKUP(A32,'UT-2(Entry)'!$1:$1048576,7,0))</f>
        <v>0</v>
      </c>
      <c r="H32" s="27" t="str">
        <f>IFERROR(VLOOKUP(VLOOKUP(A32,'UT-2(Entry)'!$1:$1048576,8,0),'Grade(40)'!$1:$1048576,2,0),VLOOKUP(A32,'UT-2(Entry)'!$1:$1048576,8,0))</f>
        <v>E</v>
      </c>
      <c r="I32" s="27" t="str">
        <f>IFERROR(VLOOKUP(VLOOKUP(A32,'UT-2(Entry)'!$1:$1048576,9,0),'Grade(40)'!$1:$1048576,2,0),VLOOKUP(A32,'UT-2(Entry)'!$1:$1048576,9,0))</f>
        <v>E</v>
      </c>
      <c r="J32" s="27">
        <f t="shared" si="0"/>
        <v>0</v>
      </c>
      <c r="K32" s="27" t="str">
        <f t="shared" si="1"/>
        <v>0 %</v>
      </c>
      <c r="L32" s="3">
        <f>VLOOKUP(A32,'UT-2(Entry)'!$1:$1048576,10,0)</f>
        <v>0</v>
      </c>
      <c r="M32" s="3">
        <f>VLOOKUP(A32,'UT-2(Entry)'!$1:$1048576,11,0)</f>
        <v>0</v>
      </c>
    </row>
    <row r="33" spans="1:13" x14ac:dyDescent="0.3">
      <c r="A33" s="23">
        <f>DETAILS!A32</f>
        <v>1865</v>
      </c>
      <c r="B33" s="3" t="str">
        <f>DETAILS!B32</f>
        <v>MOHD SAIF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IFERROR(ROUND((VLOOKUP(A33,'UT-2(Entry)'!$1:$1048576,7,0))/2,0),VLOOKUP(A33,'UT-2(Entry)'!$1:$1048576,7,0))</f>
        <v>0</v>
      </c>
      <c r="H33" s="27" t="str">
        <f>IFERROR(VLOOKUP(VLOOKUP(A33,'UT-2(Entry)'!$1:$1048576,8,0),'Grade(40)'!$1:$1048576,2,0),VLOOKUP(A33,'UT-2(Entry)'!$1:$1048576,8,0))</f>
        <v>E</v>
      </c>
      <c r="I33" s="27" t="str">
        <f>IFERROR(VLOOKUP(VLOOKUP(A33,'UT-2(Entry)'!$1:$1048576,9,0),'Grade(40)'!$1:$1048576,2,0),VLOOKUP(A33,'UT-2(Entry)'!$1:$1048576,9,0))</f>
        <v>E</v>
      </c>
      <c r="J33" s="27">
        <f t="shared" si="0"/>
        <v>0</v>
      </c>
      <c r="K33" s="27" t="str">
        <f t="shared" si="1"/>
        <v>0 %</v>
      </c>
      <c r="L33" s="3">
        <f>VLOOKUP(A33,'UT-2(Entry)'!$1:$1048576,10,0)</f>
        <v>0</v>
      </c>
      <c r="M33" s="3">
        <f>VLOOKUP(A33,'UT-2(Entry)'!$1:$1048576,11,0)</f>
        <v>0</v>
      </c>
    </row>
    <row r="34" spans="1:13" x14ac:dyDescent="0.3">
      <c r="A34" s="23">
        <f>DETAILS!A33</f>
        <v>1735</v>
      </c>
      <c r="B34" s="3" t="str">
        <f>DETAILS!B33</f>
        <v>PRAGATI SINGH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IFERROR(ROUND((VLOOKUP(A34,'UT-2(Entry)'!$1:$1048576,7,0))/2,0),VLOOKUP(A34,'UT-2(Entry)'!$1:$1048576,7,0))</f>
        <v>0</v>
      </c>
      <c r="H34" s="27" t="str">
        <f>IFERROR(VLOOKUP(VLOOKUP(A34,'UT-2(Entry)'!$1:$1048576,8,0),'Grade(40)'!$1:$1048576,2,0),VLOOKUP(A34,'UT-2(Entry)'!$1:$1048576,8,0))</f>
        <v>E</v>
      </c>
      <c r="I34" s="27" t="str">
        <f>IFERROR(VLOOKUP(VLOOKUP(A34,'UT-2(Entry)'!$1:$1048576,9,0),'Grade(40)'!$1:$1048576,2,0),VLOOKUP(A34,'UT-2(Entry)'!$1:$1048576,9,0))</f>
        <v>E</v>
      </c>
      <c r="J34" s="27">
        <f t="shared" si="0"/>
        <v>0</v>
      </c>
      <c r="K34" s="27" t="str">
        <f t="shared" si="1"/>
        <v>0 %</v>
      </c>
      <c r="L34" s="3">
        <f>VLOOKUP(A34,'UT-2(Entry)'!$1:$1048576,10,0)</f>
        <v>0</v>
      </c>
      <c r="M34" s="3">
        <f>VLOOKUP(A34,'UT-2(Entry)'!$1:$1048576,11,0)</f>
        <v>0</v>
      </c>
    </row>
    <row r="35" spans="1:13" x14ac:dyDescent="0.3">
      <c r="A35" s="23">
        <f>DETAILS!A34</f>
        <v>1557</v>
      </c>
      <c r="B35" s="3" t="str">
        <f>DETAILS!B34</f>
        <v>PRISHA JAISWAL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IFERROR(ROUND((VLOOKUP(A35,'UT-2(Entry)'!$1:$1048576,7,0))/2,0),VLOOKUP(A35,'UT-2(Entry)'!$1:$1048576,7,0))</f>
        <v>0</v>
      </c>
      <c r="H35" s="27" t="str">
        <f>IFERROR(VLOOKUP(VLOOKUP(A35,'UT-2(Entry)'!$1:$1048576,8,0),'Grade(40)'!$1:$1048576,2,0),VLOOKUP(A35,'UT-2(Entry)'!$1:$1048576,8,0))</f>
        <v>E</v>
      </c>
      <c r="I35" s="27" t="str">
        <f>IFERROR(VLOOKUP(VLOOKUP(A35,'UT-2(Entry)'!$1:$1048576,9,0),'Grade(40)'!$1:$1048576,2,0),VLOOKUP(A35,'UT-2(Entry)'!$1:$1048576,9,0))</f>
        <v>E</v>
      </c>
      <c r="J35" s="27">
        <f t="shared" si="0"/>
        <v>0</v>
      </c>
      <c r="K35" s="27" t="str">
        <f t="shared" si="1"/>
        <v>0 %</v>
      </c>
      <c r="L35" s="3">
        <f>VLOOKUP(A35,'UT-2(Entry)'!$1:$1048576,10,0)</f>
        <v>0</v>
      </c>
      <c r="M35" s="3">
        <f>VLOOKUP(A35,'UT-2(Entry)'!$1:$1048576,11,0)</f>
        <v>0</v>
      </c>
    </row>
    <row r="36" spans="1:13" x14ac:dyDescent="0.3">
      <c r="A36" s="23">
        <f>DETAILS!A35</f>
        <v>1560</v>
      </c>
      <c r="B36" s="3" t="str">
        <f>DETAILS!B35</f>
        <v>SHANTANU YADAV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IFERROR(ROUND((VLOOKUP(A36,'UT-2(Entry)'!$1:$1048576,7,0))/2,0),VLOOKUP(A36,'UT-2(Entry)'!$1:$1048576,7,0))</f>
        <v>0</v>
      </c>
      <c r="H36" s="27" t="str">
        <f>IFERROR(VLOOKUP(VLOOKUP(A36,'UT-2(Entry)'!$1:$1048576,8,0),'Grade(40)'!$1:$1048576,2,0),VLOOKUP(A36,'UT-2(Entry)'!$1:$1048576,8,0))</f>
        <v>E</v>
      </c>
      <c r="I36" s="27" t="str">
        <f>IFERROR(VLOOKUP(VLOOKUP(A36,'UT-2(Entry)'!$1:$1048576,9,0),'Grade(40)'!$1:$1048576,2,0),VLOOKUP(A36,'UT-2(Entry)'!$1:$1048576,9,0))</f>
        <v>E</v>
      </c>
      <c r="J36" s="27">
        <f t="shared" si="0"/>
        <v>0</v>
      </c>
      <c r="K36" s="27" t="str">
        <f t="shared" si="1"/>
        <v>0 %</v>
      </c>
      <c r="L36" s="3">
        <f>VLOOKUP(A36,'UT-2(Entry)'!$1:$1048576,10,0)</f>
        <v>0</v>
      </c>
      <c r="M36" s="3">
        <f>VLOOKUP(A36,'UT-2(Entry)'!$1:$1048576,11,0)</f>
        <v>0</v>
      </c>
    </row>
    <row r="37" spans="1:13" x14ac:dyDescent="0.3">
      <c r="A37" s="23">
        <f>DETAILS!A36</f>
        <v>1890</v>
      </c>
      <c r="B37" s="3" t="str">
        <f>DETAILS!B36</f>
        <v>SHIVA YADAV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IFERROR(ROUND((VLOOKUP(A37,'UT-2(Entry)'!$1:$1048576,7,0))/2,0),VLOOKUP(A37,'UT-2(Entry)'!$1:$1048576,7,0))</f>
        <v>0</v>
      </c>
      <c r="H37" s="27" t="str">
        <f>IFERROR(VLOOKUP(VLOOKUP(A37,'UT-2(Entry)'!$1:$1048576,8,0),'Grade(40)'!$1:$1048576,2,0),VLOOKUP(A37,'UT-2(Entry)'!$1:$1048576,8,0))</f>
        <v>E</v>
      </c>
      <c r="I37" s="27" t="str">
        <f>IFERROR(VLOOKUP(VLOOKUP(A37,'UT-2(Entry)'!$1:$1048576,9,0),'Grade(40)'!$1:$1048576,2,0),VLOOKUP(A37,'UT-2(Entry)'!$1:$1048576,9,0))</f>
        <v>E</v>
      </c>
      <c r="J37" s="27">
        <f t="shared" si="0"/>
        <v>0</v>
      </c>
      <c r="K37" s="27" t="str">
        <f t="shared" si="1"/>
        <v>0 %</v>
      </c>
      <c r="L37" s="3">
        <f>VLOOKUP(A37,'UT-2(Entry)'!$1:$1048576,10,0)</f>
        <v>0</v>
      </c>
      <c r="M37" s="3">
        <f>VLOOKUP(A37,'UT-2(Entry)'!$1:$1048576,11,0)</f>
        <v>0</v>
      </c>
    </row>
    <row r="38" spans="1:13" x14ac:dyDescent="0.3">
      <c r="A38" s="23">
        <f>DETAILS!A37</f>
        <v>1575</v>
      </c>
      <c r="B38" s="3" t="str">
        <f>DETAILS!B37</f>
        <v>SHIVIKA VERMA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IFERROR(ROUND((VLOOKUP(A38,'UT-2(Entry)'!$1:$1048576,7,0))/2,0),VLOOKUP(A38,'UT-2(Entry)'!$1:$1048576,7,0))</f>
        <v>0</v>
      </c>
      <c r="H38" s="27" t="str">
        <f>IFERROR(VLOOKUP(VLOOKUP(A38,'UT-2(Entry)'!$1:$1048576,8,0),'Grade(40)'!$1:$1048576,2,0),VLOOKUP(A38,'UT-2(Entry)'!$1:$1048576,8,0))</f>
        <v>E</v>
      </c>
      <c r="I38" s="27" t="str">
        <f>IFERROR(VLOOKUP(VLOOKUP(A38,'UT-2(Entry)'!$1:$1048576,9,0),'Grade(40)'!$1:$1048576,2,0),VLOOKUP(A38,'UT-2(Entry)'!$1:$1048576,9,0))</f>
        <v>E</v>
      </c>
      <c r="J38" s="27">
        <f t="shared" si="0"/>
        <v>0</v>
      </c>
      <c r="K38" s="27" t="str">
        <f t="shared" si="1"/>
        <v>0 %</v>
      </c>
      <c r="L38" s="3">
        <f>VLOOKUP(A38,'UT-2(Entry)'!$1:$1048576,10,0)</f>
        <v>0</v>
      </c>
      <c r="M38" s="3">
        <f>VLOOKUP(A38,'UT-2(Entry)'!$1:$1048576,11,0)</f>
        <v>0</v>
      </c>
    </row>
    <row r="39" spans="1:13" x14ac:dyDescent="0.3">
      <c r="A39" s="23">
        <f>DETAILS!A38</f>
        <v>1732</v>
      </c>
      <c r="B39" s="3" t="str">
        <f>DETAILS!B38</f>
        <v>SUHAN ALI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IFERROR(ROUND((VLOOKUP(A39,'UT-2(Entry)'!$1:$1048576,7,0))/2,0),VLOOKUP(A39,'UT-2(Entry)'!$1:$1048576,7,0))</f>
        <v>0</v>
      </c>
      <c r="H39" s="27" t="str">
        <f>IFERROR(VLOOKUP(VLOOKUP(A39,'UT-2(Entry)'!$1:$1048576,8,0),'Grade(40)'!$1:$1048576,2,0),VLOOKUP(A39,'UT-2(Entry)'!$1:$1048576,8,0))</f>
        <v>E</v>
      </c>
      <c r="I39" s="27" t="str">
        <f>IFERROR(VLOOKUP(VLOOKUP(A39,'UT-2(Entry)'!$1:$1048576,9,0),'Grade(40)'!$1:$1048576,2,0),VLOOKUP(A39,'UT-2(Entry)'!$1:$1048576,9,0))</f>
        <v>E</v>
      </c>
      <c r="J39" s="27">
        <f t="shared" si="0"/>
        <v>0</v>
      </c>
      <c r="K39" s="27" t="str">
        <f t="shared" si="1"/>
        <v>0 %</v>
      </c>
      <c r="L39" s="3">
        <f>VLOOKUP(A39,'UT-2(Entry)'!$1:$1048576,10,0)</f>
        <v>0</v>
      </c>
      <c r="M39" s="3">
        <f>VLOOKUP(A39,'UT-2(Entry)'!$1:$1048576,11,0)</f>
        <v>0</v>
      </c>
    </row>
    <row r="40" spans="1:13" x14ac:dyDescent="0.3">
      <c r="A40" s="23">
        <f>DETAILS!A39</f>
        <v>1706</v>
      </c>
      <c r="B40" s="3" t="str">
        <f>DETAILS!B39</f>
        <v>UTKARSH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IFERROR(ROUND((VLOOKUP(A40,'UT-2(Entry)'!$1:$1048576,7,0))/2,0),VLOOKUP(A40,'UT-2(Entry)'!$1:$1048576,7,0))</f>
        <v>0</v>
      </c>
      <c r="H40" s="27" t="str">
        <f>IFERROR(VLOOKUP(VLOOKUP(A40,'UT-2(Entry)'!$1:$1048576,8,0),'Grade(40)'!$1:$1048576,2,0),VLOOKUP(A40,'UT-2(Entry)'!$1:$1048576,8,0))</f>
        <v>E</v>
      </c>
      <c r="I40" s="27" t="str">
        <f>IFERROR(VLOOKUP(VLOOKUP(A40,'UT-2(Entry)'!$1:$1048576,9,0),'Grade(40)'!$1:$1048576,2,0),VLOOKUP(A40,'UT-2(Entry)'!$1:$1048576,9,0))</f>
        <v>E</v>
      </c>
      <c r="J40" s="27">
        <f t="shared" si="0"/>
        <v>0</v>
      </c>
      <c r="K40" s="27" t="str">
        <f t="shared" si="1"/>
        <v>0 %</v>
      </c>
      <c r="L40" s="3">
        <f>VLOOKUP(A40,'UT-2(Entry)'!$1:$1048576,10,0)</f>
        <v>0</v>
      </c>
      <c r="M40" s="3">
        <f>VLOOKUP(A40,'UT-2(Entry)'!$1:$1048576,11,0)</f>
        <v>0</v>
      </c>
    </row>
    <row r="41" spans="1:13" x14ac:dyDescent="0.3">
      <c r="A41" s="23">
        <f>DETAILS!A40</f>
        <v>1567</v>
      </c>
      <c r="B41" s="3" t="str">
        <f>DETAILS!B40</f>
        <v>VAANYA YADAV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IFERROR(ROUND((VLOOKUP(A41,'UT-2(Entry)'!$1:$1048576,7,0))/2,0),VLOOKUP(A41,'UT-2(Entry)'!$1:$1048576,7,0))</f>
        <v>0</v>
      </c>
      <c r="H41" s="27" t="str">
        <f>IFERROR(VLOOKUP(VLOOKUP(A41,'UT-2(Entry)'!$1:$1048576,8,0),'Grade(40)'!$1:$1048576,2,0),VLOOKUP(A41,'UT-2(Entry)'!$1:$1048576,8,0))</f>
        <v>E</v>
      </c>
      <c r="I41" s="27" t="str">
        <f>IFERROR(VLOOKUP(VLOOKUP(A41,'UT-2(Entry)'!$1:$1048576,9,0),'Grade(40)'!$1:$1048576,2,0),VLOOKUP(A41,'UT-2(Entry)'!$1:$1048576,9,0))</f>
        <v>E</v>
      </c>
      <c r="J41" s="27">
        <f t="shared" si="0"/>
        <v>0</v>
      </c>
      <c r="K41" s="27" t="str">
        <f t="shared" si="1"/>
        <v>0 %</v>
      </c>
      <c r="L41" s="3">
        <f>VLOOKUP(A41,'UT-2(Entry)'!$1:$1048576,10,0)</f>
        <v>0</v>
      </c>
      <c r="M41" s="3">
        <f>VLOOKUP(A41,'UT-2(Entry)'!$1:$1048576,11,0)</f>
        <v>0</v>
      </c>
    </row>
    <row r="42" spans="1:13" x14ac:dyDescent="0.3">
      <c r="A42" s="23">
        <f>DETAILS!A41</f>
        <v>1937</v>
      </c>
      <c r="B42" s="3" t="str">
        <f>DETAILS!B41</f>
        <v>VIVAAN  PAL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IFERROR(ROUND((VLOOKUP(A42,'UT-2(Entry)'!$1:$1048576,7,0))/2,0),VLOOKUP(A42,'UT-2(Entry)'!$1:$1048576,7,0))</f>
        <v>0</v>
      </c>
      <c r="H42" s="27" t="str">
        <f>IFERROR(VLOOKUP(VLOOKUP(A42,'UT-2(Entry)'!$1:$1048576,8,0),'Grade(40)'!$1:$1048576,2,0),VLOOKUP(A42,'UT-2(Entry)'!$1:$1048576,8,0))</f>
        <v>E</v>
      </c>
      <c r="I42" s="27" t="str">
        <f>IFERROR(VLOOKUP(VLOOKUP(A42,'UT-2(Entry)'!$1:$1048576,9,0),'Grade(40)'!$1:$1048576,2,0),VLOOKUP(A42,'UT-2(Entry)'!$1:$1048576,9,0))</f>
        <v>E</v>
      </c>
      <c r="J42" s="27">
        <f t="shared" si="0"/>
        <v>0</v>
      </c>
      <c r="K42" s="27" t="str">
        <f t="shared" si="1"/>
        <v>0 %</v>
      </c>
      <c r="L42" s="3">
        <f>VLOOKUP(A42,'UT-2(Entry)'!$1:$1048576,10,0)</f>
        <v>0</v>
      </c>
      <c r="M42" s="3">
        <f>VLOOKUP(A42,'UT-2(Entry)'!$1:$1048576,11,0)</f>
        <v>0</v>
      </c>
    </row>
  </sheetData>
  <sheetProtection algorithmName="SHA-512" hashValue="1uXqqiRWpXOELVD/iNWFayVhlgeDCx83IHaRx6LwYLlKLDMeP8+PkFwQ8CS1sAKNtsy+WwbbYfiDhFgvyxFB+w==" saltValue="eWJ5n2TGoyfkCL73G8zDQA==" spinCount="100000" sheet="1" objects="1" scenarios="1"/>
  <mergeCells count="13">
    <mergeCell ref="I2:I3"/>
    <mergeCell ref="J2:J3"/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41"/>
  <sheetViews>
    <sheetView workbookViewId="0">
      <selection activeCell="H12" sqref="H12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106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1804</v>
      </c>
      <c r="B3" s="3" t="str">
        <f>DETAILS!B3</f>
        <v>AAKRITI SINGH</v>
      </c>
      <c r="C3" s="3"/>
      <c r="D3" s="3"/>
      <c r="E3" s="3"/>
      <c r="F3" s="3"/>
      <c r="G3" s="3"/>
    </row>
    <row r="4" spans="1:7" x14ac:dyDescent="0.3">
      <c r="A4" s="23">
        <f>DETAILS!A4</f>
        <v>1571</v>
      </c>
      <c r="B4" s="3" t="str">
        <f>DETAILS!B4</f>
        <v>ABHIJEET PATEL</v>
      </c>
      <c r="C4" s="3"/>
      <c r="D4" s="3"/>
      <c r="E4" s="3"/>
      <c r="F4" s="3"/>
      <c r="G4" s="3"/>
    </row>
    <row r="5" spans="1:7" x14ac:dyDescent="0.3">
      <c r="A5" s="23">
        <f>DETAILS!A5</f>
        <v>1881</v>
      </c>
      <c r="B5" s="3" t="str">
        <f>DETAILS!B5</f>
        <v>ADITI</v>
      </c>
      <c r="C5" s="3"/>
      <c r="D5" s="3"/>
      <c r="E5" s="3"/>
      <c r="F5" s="3"/>
      <c r="G5" s="3"/>
    </row>
    <row r="6" spans="1:7" x14ac:dyDescent="0.3">
      <c r="A6" s="23">
        <f>DETAILS!A6</f>
        <v>1559</v>
      </c>
      <c r="B6" s="3" t="str">
        <f>DETAILS!B6</f>
        <v>ADITYA VERMA</v>
      </c>
      <c r="C6" s="3"/>
      <c r="D6" s="3"/>
      <c r="E6" s="3"/>
      <c r="F6" s="3"/>
      <c r="G6" s="3"/>
    </row>
    <row r="7" spans="1:7" x14ac:dyDescent="0.3">
      <c r="A7" s="23">
        <f>DETAILS!A7</f>
        <v>1548</v>
      </c>
      <c r="B7" s="3" t="str">
        <f>DETAILS!B7</f>
        <v>ADVIK BAJPAI</v>
      </c>
      <c r="C7" s="3"/>
      <c r="D7" s="3"/>
      <c r="E7" s="3"/>
      <c r="F7" s="3"/>
      <c r="G7" s="3"/>
    </row>
    <row r="8" spans="1:7" x14ac:dyDescent="0.3">
      <c r="A8" s="23">
        <f>DETAILS!A8</f>
        <v>1549</v>
      </c>
      <c r="B8" s="3" t="str">
        <f>DETAILS!B8</f>
        <v>AHEM SHARMA</v>
      </c>
      <c r="C8" s="3"/>
      <c r="D8" s="3"/>
      <c r="E8" s="3"/>
      <c r="F8" s="3"/>
      <c r="G8" s="3"/>
    </row>
    <row r="9" spans="1:7" x14ac:dyDescent="0.3">
      <c r="A9" s="23">
        <f>DETAILS!A9</f>
        <v>1556</v>
      </c>
      <c r="B9" s="3" t="str">
        <f>DETAILS!B9</f>
        <v>AKRATI VISHWAKARMA</v>
      </c>
      <c r="C9" s="3"/>
      <c r="D9" s="3"/>
      <c r="E9" s="3"/>
      <c r="F9" s="3"/>
      <c r="G9" s="3"/>
    </row>
    <row r="10" spans="1:7" x14ac:dyDescent="0.3">
      <c r="A10" s="23">
        <f>DETAILS!A10</f>
        <v>1915</v>
      </c>
      <c r="B10" s="3" t="str">
        <f>DETAILS!B10</f>
        <v>AKRITI SHUKLA</v>
      </c>
      <c r="C10" s="3"/>
      <c r="D10" s="3"/>
      <c r="E10" s="3"/>
      <c r="F10" s="3"/>
      <c r="G10" s="3"/>
    </row>
    <row r="11" spans="1:7" x14ac:dyDescent="0.3">
      <c r="A11" s="23">
        <f>DETAILS!A11</f>
        <v>1563</v>
      </c>
      <c r="B11" s="3" t="str">
        <f>DETAILS!B11</f>
        <v>ANANYA</v>
      </c>
      <c r="C11" s="3"/>
      <c r="D11" s="3"/>
      <c r="E11" s="3"/>
      <c r="F11" s="3"/>
      <c r="G11" s="3"/>
    </row>
    <row r="12" spans="1:7" x14ac:dyDescent="0.3">
      <c r="A12" s="23">
        <f>DETAILS!A12</f>
        <v>1562</v>
      </c>
      <c r="B12" s="3" t="str">
        <f>DETAILS!B12</f>
        <v>ANKITA RAJPOOT</v>
      </c>
      <c r="C12" s="3"/>
      <c r="D12" s="3"/>
      <c r="E12" s="3"/>
      <c r="F12" s="3"/>
      <c r="G12" s="3"/>
    </row>
    <row r="13" spans="1:7" x14ac:dyDescent="0.3">
      <c r="A13" s="23">
        <f>DETAILS!A13</f>
        <v>1547</v>
      </c>
      <c r="B13" s="3" t="str">
        <f>DETAILS!B13</f>
        <v>ANSHIKA PANDEY</v>
      </c>
      <c r="C13" s="3"/>
      <c r="D13" s="3"/>
      <c r="E13" s="3"/>
      <c r="F13" s="3"/>
      <c r="G13" s="3"/>
    </row>
    <row r="14" spans="1:7" x14ac:dyDescent="0.3">
      <c r="A14" s="23">
        <f>DETAILS!A14</f>
        <v>1644</v>
      </c>
      <c r="B14" s="3" t="str">
        <f>DETAILS!B14</f>
        <v>ARADHYA SINGH</v>
      </c>
      <c r="C14" s="3"/>
      <c r="D14" s="3"/>
      <c r="E14" s="3"/>
      <c r="F14" s="3"/>
      <c r="G14" s="3"/>
    </row>
    <row r="15" spans="1:7" x14ac:dyDescent="0.3">
      <c r="A15" s="23">
        <f>DETAILS!A15</f>
        <v>1566</v>
      </c>
      <c r="B15" s="3" t="str">
        <f>DETAILS!B15</f>
        <v>ARIYAN PAL</v>
      </c>
      <c r="C15" s="3"/>
      <c r="D15" s="3"/>
      <c r="E15" s="3"/>
      <c r="F15" s="3"/>
      <c r="G15" s="3"/>
    </row>
    <row r="16" spans="1:7" x14ac:dyDescent="0.3">
      <c r="A16" s="23">
        <f>DETAILS!A16</f>
        <v>1878</v>
      </c>
      <c r="B16" s="3" t="str">
        <f>DETAILS!B16</f>
        <v>AROHI VERMA</v>
      </c>
      <c r="C16" s="3"/>
      <c r="D16" s="3"/>
      <c r="E16" s="3"/>
      <c r="F16" s="3"/>
      <c r="G16" s="3"/>
    </row>
    <row r="17" spans="1:7" x14ac:dyDescent="0.3">
      <c r="A17" s="23">
        <f>DETAILS!A17</f>
        <v>1809</v>
      </c>
      <c r="B17" s="3" t="str">
        <f>DETAILS!B17</f>
        <v>ARUNENDRA PRATAP SINGH</v>
      </c>
      <c r="C17" s="3"/>
      <c r="D17" s="3"/>
      <c r="E17" s="3"/>
      <c r="F17" s="3"/>
      <c r="G17" s="3"/>
    </row>
    <row r="18" spans="1:7" x14ac:dyDescent="0.3">
      <c r="A18" s="23">
        <f>DETAILS!A18</f>
        <v>1920</v>
      </c>
      <c r="B18" s="3" t="str">
        <f>DETAILS!B18</f>
        <v>ATHARV SINGH CHAUHAN</v>
      </c>
      <c r="C18" s="3"/>
      <c r="D18" s="3"/>
      <c r="E18" s="3"/>
      <c r="F18" s="3"/>
      <c r="G18" s="3"/>
    </row>
    <row r="19" spans="1:7" x14ac:dyDescent="0.3">
      <c r="A19" s="23">
        <f>DETAILS!A19</f>
        <v>1569</v>
      </c>
      <c r="B19" s="3" t="str">
        <f>DETAILS!B19</f>
        <v>AVNI VERMA</v>
      </c>
      <c r="C19" s="3"/>
      <c r="D19" s="3"/>
      <c r="E19" s="3"/>
      <c r="F19" s="3"/>
      <c r="G19" s="3"/>
    </row>
    <row r="20" spans="1:7" x14ac:dyDescent="0.3">
      <c r="A20" s="23">
        <f>DETAILS!A20</f>
        <v>1789</v>
      </c>
      <c r="B20" s="3" t="str">
        <f>DETAILS!B20</f>
        <v>AYUSHI YADAV</v>
      </c>
      <c r="C20" s="3"/>
      <c r="D20" s="3"/>
      <c r="E20" s="3"/>
      <c r="F20" s="3"/>
      <c r="G20" s="3"/>
    </row>
    <row r="21" spans="1:7" x14ac:dyDescent="0.3">
      <c r="A21" s="23">
        <f>DETAILS!A21</f>
        <v>1673</v>
      </c>
      <c r="B21" s="3" t="str">
        <f>DETAILS!B21</f>
        <v>DEVANSH SINGH</v>
      </c>
      <c r="C21" s="3"/>
      <c r="D21" s="3"/>
      <c r="E21" s="3"/>
      <c r="F21" s="3"/>
      <c r="G21" s="3"/>
    </row>
    <row r="22" spans="1:7" x14ac:dyDescent="0.3">
      <c r="A22" s="23">
        <f>DETAILS!A22</f>
        <v>1649</v>
      </c>
      <c r="B22" s="3" t="str">
        <f>DETAILS!B22</f>
        <v>DEVISHA TIWARI</v>
      </c>
      <c r="C22" s="3"/>
      <c r="D22" s="3"/>
      <c r="E22" s="3"/>
      <c r="F22" s="3"/>
      <c r="G22" s="3"/>
    </row>
    <row r="23" spans="1:7" x14ac:dyDescent="0.3">
      <c r="A23" s="23">
        <f>DETAILS!A23</f>
        <v>1791</v>
      </c>
      <c r="B23" s="3" t="str">
        <f>DETAILS!B23</f>
        <v>DIPANSH SRIVASTAVA</v>
      </c>
      <c r="C23" s="3"/>
      <c r="D23" s="3"/>
      <c r="E23" s="3"/>
      <c r="F23" s="3"/>
      <c r="G23" s="3"/>
    </row>
    <row r="24" spans="1:7" x14ac:dyDescent="0.3">
      <c r="A24" s="23">
        <f>DETAILS!A24</f>
        <v>1564</v>
      </c>
      <c r="B24" s="3" t="str">
        <f>DETAILS!B24</f>
        <v>GAURAV YADAV</v>
      </c>
      <c r="C24" s="3"/>
      <c r="D24" s="3"/>
      <c r="E24" s="3"/>
      <c r="F24" s="3"/>
      <c r="G24" s="3"/>
    </row>
    <row r="25" spans="1:7" x14ac:dyDescent="0.3">
      <c r="A25" s="23">
        <f>DETAILS!A25</f>
        <v>1573</v>
      </c>
      <c r="B25" s="3" t="str">
        <f>DETAILS!B25</f>
        <v>HARIOM MISHRA</v>
      </c>
      <c r="C25" s="3"/>
      <c r="D25" s="3"/>
      <c r="E25" s="3"/>
      <c r="F25" s="3"/>
      <c r="G25" s="3"/>
    </row>
    <row r="26" spans="1:7" x14ac:dyDescent="0.3">
      <c r="A26" s="23">
        <f>DETAILS!A26</f>
        <v>1561</v>
      </c>
      <c r="B26" s="3" t="str">
        <f>DETAILS!B26</f>
        <v>HARSHITA MEENA</v>
      </c>
      <c r="C26" s="3"/>
      <c r="D26" s="3"/>
      <c r="E26" s="3"/>
      <c r="F26" s="3"/>
      <c r="G26" s="3"/>
    </row>
    <row r="27" spans="1:7" x14ac:dyDescent="0.3">
      <c r="A27" s="23">
        <f>DETAILS!A27</f>
        <v>1565</v>
      </c>
      <c r="B27" s="3" t="str">
        <f>DETAILS!B27</f>
        <v>JANVI SINGH</v>
      </c>
      <c r="C27" s="3"/>
      <c r="D27" s="3"/>
      <c r="E27" s="3"/>
      <c r="F27" s="3"/>
      <c r="G27" s="3"/>
    </row>
    <row r="28" spans="1:7" x14ac:dyDescent="0.3">
      <c r="A28" s="23">
        <f>DETAILS!A28</f>
        <v>1870</v>
      </c>
      <c r="B28" s="3" t="str">
        <f>DETAILS!B28</f>
        <v>JANVI SINGH SENGAR</v>
      </c>
      <c r="C28" s="3"/>
      <c r="D28" s="3"/>
      <c r="E28" s="3"/>
      <c r="F28" s="3"/>
      <c r="G28" s="3"/>
    </row>
    <row r="29" spans="1:7" x14ac:dyDescent="0.3">
      <c r="A29" s="23">
        <f>DETAILS!A29</f>
        <v>1657</v>
      </c>
      <c r="B29" s="3" t="str">
        <f>DETAILS!B29</f>
        <v>KARNIKA VERMA</v>
      </c>
      <c r="C29" s="3"/>
      <c r="D29" s="3"/>
      <c r="E29" s="3"/>
      <c r="F29" s="3"/>
      <c r="G29" s="3"/>
    </row>
    <row r="30" spans="1:7" x14ac:dyDescent="0.3">
      <c r="A30" s="23">
        <f>DETAILS!A30</f>
        <v>1558</v>
      </c>
      <c r="B30" s="3" t="str">
        <f>DETAILS!B30</f>
        <v>KAVYA TIWARI</v>
      </c>
      <c r="C30" s="3"/>
      <c r="D30" s="3"/>
      <c r="E30" s="3"/>
      <c r="F30" s="3"/>
      <c r="G30" s="3"/>
    </row>
    <row r="31" spans="1:7" x14ac:dyDescent="0.3">
      <c r="A31" s="23">
        <f>DETAILS!A31</f>
        <v>1906</v>
      </c>
      <c r="B31" s="3" t="str">
        <f>DETAILS!B31</f>
        <v>KHUSHI PATEL</v>
      </c>
      <c r="C31" s="3"/>
      <c r="D31" s="3"/>
      <c r="E31" s="3"/>
      <c r="F31" s="3"/>
      <c r="G31" s="3"/>
    </row>
    <row r="32" spans="1:7" x14ac:dyDescent="0.3">
      <c r="A32" s="23">
        <f>DETAILS!A32</f>
        <v>1865</v>
      </c>
      <c r="B32" s="3" t="str">
        <f>DETAILS!B32</f>
        <v>MOHD SAIF</v>
      </c>
      <c r="C32" s="3"/>
      <c r="D32" s="3"/>
      <c r="E32" s="3"/>
      <c r="F32" s="3"/>
      <c r="G32" s="3"/>
    </row>
    <row r="33" spans="1:7" x14ac:dyDescent="0.3">
      <c r="A33" s="23">
        <f>DETAILS!A33</f>
        <v>1735</v>
      </c>
      <c r="B33" s="3" t="str">
        <f>DETAILS!B33</f>
        <v>PRAGATI SINGH</v>
      </c>
      <c r="C33" s="3"/>
      <c r="D33" s="3"/>
      <c r="E33" s="3"/>
      <c r="F33" s="3"/>
      <c r="G33" s="3"/>
    </row>
    <row r="34" spans="1:7" x14ac:dyDescent="0.3">
      <c r="A34" s="23">
        <f>DETAILS!A34</f>
        <v>1557</v>
      </c>
      <c r="B34" s="3" t="str">
        <f>DETAILS!B34</f>
        <v>PRISHA JAISWAL</v>
      </c>
      <c r="C34" s="3"/>
      <c r="D34" s="3"/>
      <c r="E34" s="3"/>
      <c r="F34" s="3"/>
      <c r="G34" s="3"/>
    </row>
    <row r="35" spans="1:7" x14ac:dyDescent="0.3">
      <c r="A35" s="23">
        <f>DETAILS!A35</f>
        <v>1560</v>
      </c>
      <c r="B35" s="3" t="str">
        <f>DETAILS!B35</f>
        <v>SHANTANU YADAV</v>
      </c>
      <c r="C35" s="3"/>
      <c r="D35" s="3"/>
      <c r="E35" s="3"/>
      <c r="F35" s="3"/>
      <c r="G35" s="3"/>
    </row>
    <row r="36" spans="1:7" x14ac:dyDescent="0.3">
      <c r="A36" s="23">
        <f>DETAILS!A36</f>
        <v>1890</v>
      </c>
      <c r="B36" s="3" t="str">
        <f>DETAILS!B36</f>
        <v>SHIVA YADAV</v>
      </c>
      <c r="C36" s="3"/>
      <c r="D36" s="3"/>
      <c r="E36" s="3"/>
      <c r="F36" s="3"/>
      <c r="G36" s="3"/>
    </row>
    <row r="37" spans="1:7" x14ac:dyDescent="0.3">
      <c r="A37" s="23">
        <f>DETAILS!A37</f>
        <v>1575</v>
      </c>
      <c r="B37" s="3" t="str">
        <f>DETAILS!B37</f>
        <v>SHIVIKA VERMA</v>
      </c>
      <c r="C37" s="3"/>
      <c r="D37" s="3"/>
      <c r="E37" s="3"/>
      <c r="F37" s="3"/>
      <c r="G37" s="3"/>
    </row>
    <row r="38" spans="1:7" x14ac:dyDescent="0.3">
      <c r="A38" s="23">
        <f>DETAILS!A38</f>
        <v>1732</v>
      </c>
      <c r="B38" s="3" t="str">
        <f>DETAILS!B38</f>
        <v>SUHAN ALI</v>
      </c>
      <c r="C38" s="3"/>
      <c r="D38" s="3"/>
      <c r="E38" s="3"/>
      <c r="F38" s="3"/>
      <c r="G38" s="3"/>
    </row>
    <row r="39" spans="1:7" x14ac:dyDescent="0.3">
      <c r="A39" s="23">
        <f>DETAILS!A39</f>
        <v>1706</v>
      </c>
      <c r="B39" s="3" t="str">
        <f>DETAILS!B39</f>
        <v>UTKARSH</v>
      </c>
      <c r="C39" s="3"/>
      <c r="D39" s="3"/>
      <c r="E39" s="3"/>
      <c r="F39" s="3"/>
      <c r="G39" s="3"/>
    </row>
    <row r="40" spans="1:7" x14ac:dyDescent="0.3">
      <c r="A40" s="23">
        <f>DETAILS!A40</f>
        <v>1567</v>
      </c>
      <c r="B40" s="3" t="str">
        <f>DETAILS!B40</f>
        <v>VAANYA YADAV</v>
      </c>
      <c r="C40" s="3"/>
      <c r="D40" s="3"/>
      <c r="E40" s="3"/>
      <c r="F40" s="3"/>
      <c r="G40" s="3"/>
    </row>
    <row r="41" spans="1:7" x14ac:dyDescent="0.3">
      <c r="A41" s="23">
        <f>DETAILS!A41</f>
        <v>1937</v>
      </c>
      <c r="B41" s="3" t="str">
        <f>DETAILS!B41</f>
        <v>VIVAAN  PAL</v>
      </c>
      <c r="C41" s="3"/>
      <c r="D41" s="3"/>
      <c r="E41" s="3"/>
      <c r="F41" s="3"/>
      <c r="G41" s="3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41"/>
  <sheetViews>
    <sheetView workbookViewId="0">
      <selection activeCell="G3" sqref="G3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112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1804</v>
      </c>
      <c r="B3" s="3" t="str">
        <f>DETAILS!B3</f>
        <v>AAKRITI SINGH</v>
      </c>
      <c r="C3" s="3"/>
      <c r="D3" s="3"/>
      <c r="E3" s="3"/>
      <c r="F3" s="3"/>
      <c r="G3" s="3"/>
    </row>
    <row r="4" spans="1:7" x14ac:dyDescent="0.3">
      <c r="A4" s="23">
        <f>DETAILS!A4</f>
        <v>1571</v>
      </c>
      <c r="B4" s="3" t="str">
        <f>DETAILS!B4</f>
        <v>ABHIJEET PATEL</v>
      </c>
      <c r="C4" s="3"/>
      <c r="D4" s="3"/>
      <c r="E4" s="3"/>
      <c r="F4" s="3"/>
      <c r="G4" s="3"/>
    </row>
    <row r="5" spans="1:7" x14ac:dyDescent="0.3">
      <c r="A5" s="23">
        <f>DETAILS!A5</f>
        <v>1881</v>
      </c>
      <c r="B5" s="3" t="str">
        <f>DETAILS!B5</f>
        <v>ADITI</v>
      </c>
      <c r="C5" s="3"/>
      <c r="D5" s="3"/>
      <c r="E5" s="3"/>
      <c r="F5" s="3"/>
      <c r="G5" s="3"/>
    </row>
    <row r="6" spans="1:7" x14ac:dyDescent="0.3">
      <c r="A6" s="23">
        <f>DETAILS!A6</f>
        <v>1559</v>
      </c>
      <c r="B6" s="3" t="str">
        <f>DETAILS!B6</f>
        <v>ADITYA VERMA</v>
      </c>
      <c r="C6" s="3"/>
      <c r="D6" s="3"/>
      <c r="E6" s="3"/>
      <c r="F6" s="3"/>
      <c r="G6" s="3"/>
    </row>
    <row r="7" spans="1:7" x14ac:dyDescent="0.3">
      <c r="A7" s="23">
        <f>DETAILS!A7</f>
        <v>1548</v>
      </c>
      <c r="B7" s="3" t="str">
        <f>DETAILS!B7</f>
        <v>ADVIK BAJPAI</v>
      </c>
      <c r="C7" s="3"/>
      <c r="D7" s="3"/>
      <c r="E7" s="3"/>
      <c r="F7" s="3"/>
      <c r="G7" s="3"/>
    </row>
    <row r="8" spans="1:7" x14ac:dyDescent="0.3">
      <c r="A8" s="23">
        <f>DETAILS!A8</f>
        <v>1549</v>
      </c>
      <c r="B8" s="3" t="str">
        <f>DETAILS!B8</f>
        <v>AHEM SHARMA</v>
      </c>
      <c r="C8" s="3"/>
      <c r="D8" s="3"/>
      <c r="E8" s="3"/>
      <c r="F8" s="3"/>
      <c r="G8" s="3"/>
    </row>
    <row r="9" spans="1:7" x14ac:dyDescent="0.3">
      <c r="A9" s="23">
        <f>DETAILS!A9</f>
        <v>1556</v>
      </c>
      <c r="B9" s="3" t="str">
        <f>DETAILS!B9</f>
        <v>AKRATI VISHWAKARMA</v>
      </c>
      <c r="C9" s="3"/>
      <c r="D9" s="3"/>
      <c r="E9" s="3"/>
      <c r="F9" s="3"/>
      <c r="G9" s="3"/>
    </row>
    <row r="10" spans="1:7" x14ac:dyDescent="0.3">
      <c r="A10" s="23">
        <f>DETAILS!A10</f>
        <v>1915</v>
      </c>
      <c r="B10" s="3" t="str">
        <f>DETAILS!B10</f>
        <v>AKRITI SHUKLA</v>
      </c>
      <c r="C10" s="3"/>
      <c r="D10" s="3"/>
      <c r="E10" s="3"/>
      <c r="F10" s="3"/>
      <c r="G10" s="3"/>
    </row>
    <row r="11" spans="1:7" x14ac:dyDescent="0.3">
      <c r="A11" s="23">
        <f>DETAILS!A11</f>
        <v>1563</v>
      </c>
      <c r="B11" s="3" t="str">
        <f>DETAILS!B11</f>
        <v>ANANYA</v>
      </c>
      <c r="C11" s="3"/>
      <c r="D11" s="3"/>
      <c r="E11" s="3"/>
      <c r="F11" s="3"/>
      <c r="G11" s="3"/>
    </row>
    <row r="12" spans="1:7" x14ac:dyDescent="0.3">
      <c r="A12" s="23">
        <f>DETAILS!A12</f>
        <v>1562</v>
      </c>
      <c r="B12" s="3" t="str">
        <f>DETAILS!B12</f>
        <v>ANKITA RAJPOOT</v>
      </c>
      <c r="C12" s="3"/>
      <c r="D12" s="3"/>
      <c r="E12" s="3"/>
      <c r="F12" s="3"/>
      <c r="G12" s="3"/>
    </row>
    <row r="13" spans="1:7" x14ac:dyDescent="0.3">
      <c r="A13" s="23">
        <f>DETAILS!A13</f>
        <v>1547</v>
      </c>
      <c r="B13" s="3" t="str">
        <f>DETAILS!B13</f>
        <v>ANSHIKA PANDEY</v>
      </c>
      <c r="C13" s="3"/>
      <c r="D13" s="3"/>
      <c r="E13" s="3"/>
      <c r="F13" s="3"/>
      <c r="G13" s="3"/>
    </row>
    <row r="14" spans="1:7" x14ac:dyDescent="0.3">
      <c r="A14" s="23">
        <f>DETAILS!A14</f>
        <v>1644</v>
      </c>
      <c r="B14" s="3" t="str">
        <f>DETAILS!B14</f>
        <v>ARADHYA SINGH</v>
      </c>
      <c r="C14" s="3"/>
      <c r="D14" s="3"/>
      <c r="E14" s="3"/>
      <c r="F14" s="3"/>
      <c r="G14" s="3"/>
    </row>
    <row r="15" spans="1:7" x14ac:dyDescent="0.3">
      <c r="A15" s="23">
        <f>DETAILS!A15</f>
        <v>1566</v>
      </c>
      <c r="B15" s="3" t="str">
        <f>DETAILS!B15</f>
        <v>ARIYAN PAL</v>
      </c>
      <c r="C15" s="3"/>
      <c r="D15" s="3"/>
      <c r="E15" s="3"/>
      <c r="F15" s="3"/>
      <c r="G15" s="3"/>
    </row>
    <row r="16" spans="1:7" x14ac:dyDescent="0.3">
      <c r="A16" s="23">
        <f>DETAILS!A16</f>
        <v>1878</v>
      </c>
      <c r="B16" s="3" t="str">
        <f>DETAILS!B16</f>
        <v>AROHI VERMA</v>
      </c>
      <c r="C16" s="3"/>
      <c r="D16" s="3"/>
      <c r="E16" s="3"/>
      <c r="F16" s="3"/>
      <c r="G16" s="3"/>
    </row>
    <row r="17" spans="1:7" x14ac:dyDescent="0.3">
      <c r="A17" s="23">
        <f>DETAILS!A17</f>
        <v>1809</v>
      </c>
      <c r="B17" s="3" t="str">
        <f>DETAILS!B17</f>
        <v>ARUNENDRA PRATAP SINGH</v>
      </c>
      <c r="C17" s="3"/>
      <c r="D17" s="3"/>
      <c r="E17" s="3"/>
      <c r="F17" s="3"/>
      <c r="G17" s="3"/>
    </row>
    <row r="18" spans="1:7" x14ac:dyDescent="0.3">
      <c r="A18" s="23">
        <f>DETAILS!A18</f>
        <v>1920</v>
      </c>
      <c r="B18" s="3" t="str">
        <f>DETAILS!B18</f>
        <v>ATHARV SINGH CHAUHAN</v>
      </c>
      <c r="C18" s="3"/>
      <c r="D18" s="3"/>
      <c r="E18" s="3"/>
      <c r="F18" s="3"/>
      <c r="G18" s="3"/>
    </row>
    <row r="19" spans="1:7" x14ac:dyDescent="0.3">
      <c r="A19" s="23">
        <f>DETAILS!A19</f>
        <v>1569</v>
      </c>
      <c r="B19" s="3" t="str">
        <f>DETAILS!B19</f>
        <v>AVNI VERMA</v>
      </c>
      <c r="C19" s="3"/>
      <c r="D19" s="3"/>
      <c r="E19" s="3"/>
      <c r="F19" s="3"/>
      <c r="G19" s="3"/>
    </row>
    <row r="20" spans="1:7" x14ac:dyDescent="0.3">
      <c r="A20" s="23">
        <f>DETAILS!A20</f>
        <v>1789</v>
      </c>
      <c r="B20" s="3" t="str">
        <f>DETAILS!B20</f>
        <v>AYUSHI YADAV</v>
      </c>
      <c r="C20" s="3"/>
      <c r="D20" s="3"/>
      <c r="E20" s="3"/>
      <c r="F20" s="3"/>
      <c r="G20" s="3"/>
    </row>
    <row r="21" spans="1:7" x14ac:dyDescent="0.3">
      <c r="A21" s="23">
        <f>DETAILS!A21</f>
        <v>1673</v>
      </c>
      <c r="B21" s="3" t="str">
        <f>DETAILS!B21</f>
        <v>DEVANSH SINGH</v>
      </c>
      <c r="C21" s="3"/>
      <c r="D21" s="3"/>
      <c r="E21" s="3"/>
      <c r="F21" s="3"/>
      <c r="G21" s="3"/>
    </row>
    <row r="22" spans="1:7" x14ac:dyDescent="0.3">
      <c r="A22" s="23">
        <f>DETAILS!A22</f>
        <v>1649</v>
      </c>
      <c r="B22" s="3" t="str">
        <f>DETAILS!B22</f>
        <v>DEVISHA TIWARI</v>
      </c>
      <c r="C22" s="3"/>
      <c r="D22" s="3"/>
      <c r="E22" s="3"/>
      <c r="F22" s="3"/>
      <c r="G22" s="3"/>
    </row>
    <row r="23" spans="1:7" x14ac:dyDescent="0.3">
      <c r="A23" s="23">
        <f>DETAILS!A23</f>
        <v>1791</v>
      </c>
      <c r="B23" s="3" t="str">
        <f>DETAILS!B23</f>
        <v>DIPANSH SRIVASTAVA</v>
      </c>
      <c r="C23" s="3"/>
      <c r="D23" s="3"/>
      <c r="E23" s="3"/>
      <c r="F23" s="3"/>
      <c r="G23" s="3"/>
    </row>
    <row r="24" spans="1:7" x14ac:dyDescent="0.3">
      <c r="A24" s="23">
        <f>DETAILS!A24</f>
        <v>1564</v>
      </c>
      <c r="B24" s="3" t="str">
        <f>DETAILS!B24</f>
        <v>GAURAV YADAV</v>
      </c>
      <c r="C24" s="3"/>
      <c r="D24" s="3"/>
      <c r="E24" s="3"/>
      <c r="F24" s="3"/>
      <c r="G24" s="3"/>
    </row>
    <row r="25" spans="1:7" x14ac:dyDescent="0.3">
      <c r="A25" s="23">
        <f>DETAILS!A25</f>
        <v>1573</v>
      </c>
      <c r="B25" s="3" t="str">
        <f>DETAILS!B25</f>
        <v>HARIOM MISHRA</v>
      </c>
      <c r="C25" s="3"/>
      <c r="D25" s="3"/>
      <c r="E25" s="3"/>
      <c r="F25" s="3"/>
      <c r="G25" s="3"/>
    </row>
    <row r="26" spans="1:7" x14ac:dyDescent="0.3">
      <c r="A26" s="23">
        <f>DETAILS!A26</f>
        <v>1561</v>
      </c>
      <c r="B26" s="3" t="str">
        <f>DETAILS!B26</f>
        <v>HARSHITA MEENA</v>
      </c>
      <c r="C26" s="3"/>
      <c r="D26" s="3"/>
      <c r="E26" s="3"/>
      <c r="F26" s="3"/>
      <c r="G26" s="3"/>
    </row>
    <row r="27" spans="1:7" x14ac:dyDescent="0.3">
      <c r="A27" s="23">
        <f>DETAILS!A27</f>
        <v>1565</v>
      </c>
      <c r="B27" s="3" t="str">
        <f>DETAILS!B27</f>
        <v>JANVI SINGH</v>
      </c>
      <c r="C27" s="3"/>
      <c r="D27" s="3"/>
      <c r="E27" s="3"/>
      <c r="F27" s="3"/>
      <c r="G27" s="3"/>
    </row>
    <row r="28" spans="1:7" x14ac:dyDescent="0.3">
      <c r="A28" s="23">
        <f>DETAILS!A28</f>
        <v>1870</v>
      </c>
      <c r="B28" s="3" t="str">
        <f>DETAILS!B28</f>
        <v>JANVI SINGH SENGAR</v>
      </c>
      <c r="C28" s="3"/>
      <c r="D28" s="3"/>
      <c r="E28" s="3"/>
      <c r="F28" s="3"/>
      <c r="G28" s="3"/>
    </row>
    <row r="29" spans="1:7" x14ac:dyDescent="0.3">
      <c r="A29" s="23">
        <f>DETAILS!A29</f>
        <v>1657</v>
      </c>
      <c r="B29" s="3" t="str">
        <f>DETAILS!B29</f>
        <v>KARNIKA VERMA</v>
      </c>
      <c r="C29" s="3"/>
      <c r="D29" s="3"/>
      <c r="E29" s="3"/>
      <c r="F29" s="3"/>
      <c r="G29" s="3"/>
    </row>
    <row r="30" spans="1:7" x14ac:dyDescent="0.3">
      <c r="A30" s="23">
        <f>DETAILS!A30</f>
        <v>1558</v>
      </c>
      <c r="B30" s="3" t="str">
        <f>DETAILS!B30</f>
        <v>KAVYA TIWARI</v>
      </c>
      <c r="C30" s="3"/>
      <c r="D30" s="3"/>
      <c r="E30" s="3"/>
      <c r="F30" s="3"/>
      <c r="G30" s="3"/>
    </row>
    <row r="31" spans="1:7" x14ac:dyDescent="0.3">
      <c r="A31" s="23">
        <f>DETAILS!A31</f>
        <v>1906</v>
      </c>
      <c r="B31" s="3" t="str">
        <f>DETAILS!B31</f>
        <v>KHUSHI PATEL</v>
      </c>
      <c r="C31" s="3"/>
      <c r="D31" s="3"/>
      <c r="E31" s="3"/>
      <c r="F31" s="3"/>
      <c r="G31" s="3"/>
    </row>
    <row r="32" spans="1:7" x14ac:dyDescent="0.3">
      <c r="A32" s="23">
        <f>DETAILS!A32</f>
        <v>1865</v>
      </c>
      <c r="B32" s="3" t="str">
        <f>DETAILS!B32</f>
        <v>MOHD SAIF</v>
      </c>
      <c r="C32" s="3"/>
      <c r="D32" s="3"/>
      <c r="E32" s="3"/>
      <c r="F32" s="3"/>
      <c r="G32" s="3"/>
    </row>
    <row r="33" spans="1:7" x14ac:dyDescent="0.3">
      <c r="A33" s="23">
        <f>DETAILS!A33</f>
        <v>1735</v>
      </c>
      <c r="B33" s="3" t="str">
        <f>DETAILS!B33</f>
        <v>PRAGATI SINGH</v>
      </c>
      <c r="C33" s="3"/>
      <c r="D33" s="3"/>
      <c r="E33" s="3"/>
      <c r="F33" s="3"/>
      <c r="G33" s="3"/>
    </row>
    <row r="34" spans="1:7" x14ac:dyDescent="0.3">
      <c r="A34" s="23">
        <f>DETAILS!A34</f>
        <v>1557</v>
      </c>
      <c r="B34" s="3" t="str">
        <f>DETAILS!B34</f>
        <v>PRISHA JAISWAL</v>
      </c>
      <c r="C34" s="3"/>
      <c r="D34" s="3"/>
      <c r="E34" s="3"/>
      <c r="F34" s="3"/>
      <c r="G34" s="3"/>
    </row>
    <row r="35" spans="1:7" x14ac:dyDescent="0.3">
      <c r="A35" s="23">
        <f>DETAILS!A35</f>
        <v>1560</v>
      </c>
      <c r="B35" s="3" t="str">
        <f>DETAILS!B35</f>
        <v>SHANTANU YADAV</v>
      </c>
      <c r="C35" s="3"/>
      <c r="D35" s="3"/>
      <c r="E35" s="3"/>
      <c r="F35" s="3"/>
      <c r="G35" s="3"/>
    </row>
    <row r="36" spans="1:7" x14ac:dyDescent="0.3">
      <c r="A36" s="23">
        <f>DETAILS!A36</f>
        <v>1890</v>
      </c>
      <c r="B36" s="3" t="str">
        <f>DETAILS!B36</f>
        <v>SHIVA YADAV</v>
      </c>
      <c r="C36" s="3"/>
      <c r="D36" s="3"/>
      <c r="E36" s="3"/>
      <c r="F36" s="3"/>
      <c r="G36" s="3"/>
    </row>
    <row r="37" spans="1:7" x14ac:dyDescent="0.3">
      <c r="A37" s="23">
        <f>DETAILS!A37</f>
        <v>1575</v>
      </c>
      <c r="B37" s="3" t="str">
        <f>DETAILS!B37</f>
        <v>SHIVIKA VERMA</v>
      </c>
      <c r="C37" s="3"/>
      <c r="D37" s="3"/>
      <c r="E37" s="3"/>
      <c r="F37" s="3"/>
      <c r="G37" s="3"/>
    </row>
    <row r="38" spans="1:7" x14ac:dyDescent="0.3">
      <c r="A38" s="23">
        <f>DETAILS!A38</f>
        <v>1732</v>
      </c>
      <c r="B38" s="3" t="str">
        <f>DETAILS!B38</f>
        <v>SUHAN ALI</v>
      </c>
      <c r="C38" s="3"/>
      <c r="D38" s="3"/>
      <c r="E38" s="3"/>
      <c r="F38" s="3"/>
      <c r="G38" s="3"/>
    </row>
    <row r="39" spans="1:7" x14ac:dyDescent="0.3">
      <c r="A39" s="23">
        <f>DETAILS!A39</f>
        <v>1706</v>
      </c>
      <c r="B39" s="3" t="str">
        <f>DETAILS!B39</f>
        <v>UTKARSH</v>
      </c>
      <c r="C39" s="3"/>
      <c r="D39" s="3"/>
      <c r="E39" s="3"/>
      <c r="F39" s="3"/>
      <c r="G39" s="3"/>
    </row>
    <row r="40" spans="1:7" x14ac:dyDescent="0.3">
      <c r="A40" s="23">
        <f>DETAILS!A40</f>
        <v>1567</v>
      </c>
      <c r="B40" s="3" t="str">
        <f>DETAILS!B40</f>
        <v>VAANYA YADAV</v>
      </c>
      <c r="C40" s="3"/>
      <c r="D40" s="3"/>
      <c r="E40" s="3"/>
      <c r="F40" s="3"/>
      <c r="G40" s="3"/>
    </row>
    <row r="41" spans="1:7" x14ac:dyDescent="0.3">
      <c r="A41" s="23">
        <f>DETAILS!A41</f>
        <v>1937</v>
      </c>
      <c r="B41" s="3" t="str">
        <f>DETAILS!B41</f>
        <v>VIVAAN  PAL</v>
      </c>
      <c r="C41" s="3"/>
      <c r="D41" s="3"/>
      <c r="E41" s="3"/>
      <c r="F41" s="3"/>
      <c r="G41" s="3"/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70" zoomScaleNormal="70" workbookViewId="0">
      <selection activeCell="Q3" sqref="Q3:Q41"/>
    </sheetView>
  </sheetViews>
  <sheetFormatPr defaultRowHeight="14.4" x14ac:dyDescent="0.3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107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89</v>
      </c>
      <c r="N2" s="31" t="s">
        <v>90</v>
      </c>
      <c r="O2" s="31" t="s">
        <v>91</v>
      </c>
      <c r="P2" s="31" t="s">
        <v>55</v>
      </c>
      <c r="Q2" s="31" t="s">
        <v>80</v>
      </c>
    </row>
    <row r="3" spans="1:17" x14ac:dyDescent="0.3">
      <c r="A3" s="23">
        <f>DETAILS!A3</f>
        <v>1804</v>
      </c>
      <c r="B3" s="3" t="str">
        <f>DETAILS!B3</f>
        <v>AAKRITI SINGH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SUM(C3:G3)</f>
        <v>0</v>
      </c>
      <c r="Q3" s="27" t="str">
        <f>ROUND(P3/4,2)&amp;" %"</f>
        <v>0 %</v>
      </c>
    </row>
    <row r="4" spans="1:17" x14ac:dyDescent="0.3">
      <c r="A4" s="23">
        <f>DETAILS!A4</f>
        <v>1571</v>
      </c>
      <c r="B4" s="3" t="str">
        <f>DETAILS!B4</f>
        <v>ABHIJEET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SUM(C4:G4)</f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1881</v>
      </c>
      <c r="B5" s="3" t="str">
        <f>DETAILS!B5</f>
        <v>ADITI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1559</v>
      </c>
      <c r="B6" s="3" t="str">
        <f>DETAILS!B6</f>
        <v>ADITYA VERMA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1548</v>
      </c>
      <c r="B7" s="3" t="str">
        <f>DETAILS!B7</f>
        <v>ADVIK BAJPAI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7" t="str">
        <f t="shared" si="1"/>
        <v>0 %</v>
      </c>
    </row>
    <row r="8" spans="1:17" x14ac:dyDescent="0.3">
      <c r="A8" s="23">
        <f>DETAILS!A8</f>
        <v>1549</v>
      </c>
      <c r="B8" s="3" t="str">
        <f>DETAILS!B8</f>
        <v>AHEM SHARMA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1556</v>
      </c>
      <c r="B9" s="3" t="str">
        <f>DETAILS!B9</f>
        <v>AKRATI VISHWAKARMA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1915</v>
      </c>
      <c r="B10" s="3" t="str">
        <f>DETAILS!B10</f>
        <v>AKRITI SHUKLA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1563</v>
      </c>
      <c r="B11" s="3" t="str">
        <f>DETAILS!B11</f>
        <v>ANANYA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1562</v>
      </c>
      <c r="B12" s="3" t="str">
        <f>DETAILS!B12</f>
        <v>ANKITA RAJPOOT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1547</v>
      </c>
      <c r="B13" s="3" t="str">
        <f>DETAILS!B13</f>
        <v>ANSHIKA PANDEY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1644</v>
      </c>
      <c r="B14" s="3" t="str">
        <f>DETAILS!B14</f>
        <v>ARADHYA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1566</v>
      </c>
      <c r="B15" s="3" t="str">
        <f>DETAILS!B15</f>
        <v>ARIYAN PAL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1878</v>
      </c>
      <c r="B16" s="3" t="str">
        <f>DETAILS!B16</f>
        <v>AROHI VERMA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1809</v>
      </c>
      <c r="B17" s="3" t="str">
        <f>DETAILS!B17</f>
        <v>ARUNENDRA PRATAP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1920</v>
      </c>
      <c r="B18" s="3" t="str">
        <f>DETAILS!B18</f>
        <v>ATHARV SINGH CHAUHAN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1569</v>
      </c>
      <c r="B19" s="3" t="str">
        <f>DETAILS!B19</f>
        <v>AVNI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1789</v>
      </c>
      <c r="B20" s="3" t="str">
        <f>DETAILS!B20</f>
        <v>AYUSHI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1673</v>
      </c>
      <c r="B21" s="3" t="str">
        <f>DETAILS!B21</f>
        <v>DEVANSH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1649</v>
      </c>
      <c r="B22" s="3" t="str">
        <f>DETAILS!B22</f>
        <v>DEVISHA TIWARI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1791</v>
      </c>
      <c r="B23" s="3" t="str">
        <f>DETAILS!B23</f>
        <v>DIPANSH SRIVASTAVA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1564</v>
      </c>
      <c r="B24" s="3" t="str">
        <f>DETAILS!B24</f>
        <v>GAURAV YADAV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1573</v>
      </c>
      <c r="B25" s="3" t="str">
        <f>DETAILS!B25</f>
        <v>HARIOM MISHRA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1561</v>
      </c>
      <c r="B26" s="3" t="str">
        <f>DETAILS!B26</f>
        <v>HARSHITA MEENA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1565</v>
      </c>
      <c r="B27" s="3" t="str">
        <f>DETAILS!B27</f>
        <v>JANVI SINGH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1870</v>
      </c>
      <c r="B28" s="3" t="str">
        <f>DETAILS!B28</f>
        <v>JANVI SINGH SENGAR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1657</v>
      </c>
      <c r="B29" s="3" t="str">
        <f>DETAILS!B29</f>
        <v>KARNIKA VERMA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1558</v>
      </c>
      <c r="B30" s="3" t="str">
        <f>DETAILS!B30</f>
        <v>KAVYA TIWARI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1906</v>
      </c>
      <c r="B31" s="3" t="str">
        <f>DETAILS!B31</f>
        <v>KHUSHI PATEL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1865</v>
      </c>
      <c r="B32" s="3" t="str">
        <f>DETAILS!B32</f>
        <v>MOHD SAIF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1735</v>
      </c>
      <c r="B33" s="3" t="str">
        <f>DETAILS!B33</f>
        <v>PRAGATI SINGH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1557</v>
      </c>
      <c r="B34" s="3" t="str">
        <f>DETAILS!B34</f>
        <v>PRISHA JAISWAL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1560</v>
      </c>
      <c r="B35" s="3" t="str">
        <f>DETAILS!B35</f>
        <v>SHANTANU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1890</v>
      </c>
      <c r="B36" s="3" t="str">
        <f>DETAILS!B36</f>
        <v>SHIVA YADAV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1575</v>
      </c>
      <c r="B37" s="3" t="str">
        <f>DETAILS!B37</f>
        <v>SHIVIKA VERMA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1732</v>
      </c>
      <c r="B38" s="3" t="str">
        <f>DETAILS!B38</f>
        <v>SUHAN ALI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1706</v>
      </c>
      <c r="B39" s="3" t="str">
        <f>DETAILS!B39</f>
        <v>UTKARSH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1567</v>
      </c>
      <c r="B40" s="3" t="str">
        <f>DETAILS!B40</f>
        <v>VAANYA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1937</v>
      </c>
      <c r="B41" s="3" t="str">
        <f>DETAILS!B41</f>
        <v>VIVAAN  PAL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7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="70" zoomScaleNormal="70" workbookViewId="0">
      <selection activeCell="S4" sqref="S4"/>
    </sheetView>
  </sheetViews>
  <sheetFormatPr defaultRowHeight="14.4" x14ac:dyDescent="0.3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107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89</v>
      </c>
      <c r="N2" s="31" t="s">
        <v>90</v>
      </c>
      <c r="O2" s="31" t="s">
        <v>91</v>
      </c>
      <c r="P2" s="31" t="s">
        <v>55</v>
      </c>
      <c r="Q2" s="31" t="s">
        <v>80</v>
      </c>
    </row>
    <row r="3" spans="1:17" x14ac:dyDescent="0.3">
      <c r="A3" s="23">
        <f>DETAILS!A3</f>
        <v>1804</v>
      </c>
      <c r="B3" s="3" t="str">
        <f>DETAILS!B3</f>
        <v>AAKRITI SINGH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 t="str">
        <f>IFERROR(VLOOKUP(VLOOKUP(A3,'Annual(Entry)'!$1:$1048576,9,0),'Grade 50'!$1:$1048576,2,0),VLOOKUP(A3,'Annual(Entry)'!$1:$1048576,9,0))</f>
        <v>E</v>
      </c>
      <c r="J3" s="27" t="str">
        <f>IFERROR(VLOOKUP(VLOOKUP(A3,'Annual(Entry)'!$1:$1048576,10,0),'Grade 50'!$1:$1048576,2,0),VLOOKUP(A3,'Annual(Entry)'!$1:$1048576,10,0))</f>
        <v>E</v>
      </c>
      <c r="K3" s="27">
        <f>VLOOKUP($A3,'Annual(Entry)'!$1:$1048576,11,0)</f>
        <v>0</v>
      </c>
      <c r="L3" s="27">
        <f>VLOOKUP($A3,'Annual(Entry)'!$1:$1048576,12,0)</f>
        <v>0</v>
      </c>
      <c r="M3" s="27">
        <f>VLOOKUP($A3,'Annual(Entry)'!$1:$1048576,13,0)</f>
        <v>0</v>
      </c>
      <c r="N3" s="27">
        <f>VLOOKUP($A3,'Annual(Entry)'!$1:$1048576,14,0)</f>
        <v>0</v>
      </c>
      <c r="O3" s="32">
        <f>VLOOKUP($A3,'Annual(Entry)'!$1:$1048576,15,0)</f>
        <v>0</v>
      </c>
      <c r="P3" s="27">
        <f t="shared" ref="P3:P41" si="0">SUM(C3:G3)</f>
        <v>0</v>
      </c>
      <c r="Q3" s="27" t="str">
        <f>ROUND(P3/4,2)&amp;" %"</f>
        <v>0 %</v>
      </c>
    </row>
    <row r="4" spans="1:17" x14ac:dyDescent="0.3">
      <c r="A4" s="23">
        <f>DETAILS!A4</f>
        <v>1571</v>
      </c>
      <c r="B4" s="3" t="str">
        <f>DETAILS!B4</f>
        <v>ABHIJEET PATEL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 t="str">
        <f>IFERROR(VLOOKUP(VLOOKUP(A4,'Annual(Entry)'!$1:$1048576,9,0),'Grade 50'!$1:$1048576,2,0),VLOOKUP(A4,'Annual(Entry)'!$1:$1048576,9,0))</f>
        <v>E</v>
      </c>
      <c r="J4" s="27" t="str">
        <f>IFERROR(VLOOKUP(VLOOKUP(A4,'Annual(Entry)'!$1:$1048576,10,0),'Grade 50'!$1:$1048576,2,0),VLOOKUP(A4,'Annual(Entry)'!$1:$1048576,10,0))</f>
        <v>E</v>
      </c>
      <c r="K4" s="27">
        <f>VLOOKUP($A4,'Annual(Entry)'!$1:$1048576,11,0)</f>
        <v>0</v>
      </c>
      <c r="L4" s="27">
        <f>VLOOKUP($A4,'Annual(Entry)'!$1:$1048576,12,0)</f>
        <v>0</v>
      </c>
      <c r="M4" s="27">
        <f>VLOOKUP($A4,'Annual(Entry)'!$1:$1048576,13,0)</f>
        <v>0</v>
      </c>
      <c r="N4" s="27">
        <f>VLOOKUP($A4,'Annual(Entry)'!$1:$1048576,14,0)</f>
        <v>0</v>
      </c>
      <c r="O4" s="32">
        <f>VLOOKUP($A4,'Annual(Entry)'!$1:$1048576,15,0)</f>
        <v>0</v>
      </c>
      <c r="P4" s="27">
        <f t="shared" si="0"/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1881</v>
      </c>
      <c r="B5" s="3" t="str">
        <f>DETAILS!B5</f>
        <v>ADITI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 t="str">
        <f>IFERROR(VLOOKUP(VLOOKUP(A5,'Annual(Entry)'!$1:$1048576,9,0),'Grade 50'!$1:$1048576,2,0),VLOOKUP(A5,'Annual(Entry)'!$1:$1048576,9,0))</f>
        <v>E</v>
      </c>
      <c r="J5" s="27" t="str">
        <f>IFERROR(VLOOKUP(VLOOKUP(A5,'Annual(Entry)'!$1:$1048576,10,0),'Grade 50'!$1:$1048576,2,0),VLOOKUP(A5,'Annual(Entry)'!$1:$1048576,10,0))</f>
        <v>E</v>
      </c>
      <c r="K5" s="27">
        <f>VLOOKUP($A5,'Annual(Entry)'!$1:$1048576,11,0)</f>
        <v>0</v>
      </c>
      <c r="L5" s="27">
        <f>VLOOKUP($A5,'Annual(Entry)'!$1:$1048576,12,0)</f>
        <v>0</v>
      </c>
      <c r="M5" s="27">
        <f>VLOOKUP($A5,'Annual(Entry)'!$1:$1048576,13,0)</f>
        <v>0</v>
      </c>
      <c r="N5" s="27">
        <f>VLOOKUP($A5,'Annual(Entry)'!$1:$1048576,14,0)</f>
        <v>0</v>
      </c>
      <c r="O5" s="32">
        <f>VLOOKUP($A5,'Annual(Entry)'!$1:$1048576,15,0)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1559</v>
      </c>
      <c r="B6" s="3" t="str">
        <f>DETAILS!B6</f>
        <v>ADITYA VERMA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 t="str">
        <f>IFERROR(VLOOKUP(VLOOKUP(A6,'Annual(Entry)'!$1:$1048576,9,0),'Grade 50'!$1:$1048576,2,0),VLOOKUP(A6,'Annual(Entry)'!$1:$1048576,9,0))</f>
        <v>E</v>
      </c>
      <c r="J6" s="27" t="str">
        <f>IFERROR(VLOOKUP(VLOOKUP(A6,'Annual(Entry)'!$1:$1048576,10,0),'Grade 50'!$1:$1048576,2,0),VLOOKUP(A6,'Annual(Entry)'!$1:$1048576,10,0))</f>
        <v>E</v>
      </c>
      <c r="K6" s="27">
        <f>VLOOKUP($A6,'Annual(Entry)'!$1:$1048576,11,0)</f>
        <v>0</v>
      </c>
      <c r="L6" s="27">
        <f>VLOOKUP($A6,'Annual(Entry)'!$1:$1048576,12,0)</f>
        <v>0</v>
      </c>
      <c r="M6" s="27">
        <f>VLOOKUP($A6,'Annual(Entry)'!$1:$1048576,13,0)</f>
        <v>0</v>
      </c>
      <c r="N6" s="27">
        <f>VLOOKUP($A6,'Annual(Entry)'!$1:$1048576,14,0)</f>
        <v>0</v>
      </c>
      <c r="O6" s="32">
        <f>VLOOKUP($A6,'Annual(Entry)'!$1:$1048576,15,0)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1548</v>
      </c>
      <c r="B7" s="3" t="str">
        <f>DETAILS!B7</f>
        <v>ADVIK BAJPAI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 t="str">
        <f>IFERROR(VLOOKUP(VLOOKUP(A7,'Annual(Entry)'!$1:$1048576,9,0),'Grade 50'!$1:$1048576,2,0),VLOOKUP(A7,'Annual(Entry)'!$1:$1048576,9,0))</f>
        <v>E</v>
      </c>
      <c r="J7" s="27" t="str">
        <f>IFERROR(VLOOKUP(VLOOKUP(A7,'Annual(Entry)'!$1:$1048576,10,0),'Grade 50'!$1:$1048576,2,0),VLOOKUP(A7,'Annual(Entry)'!$1:$1048576,10,0))</f>
        <v>E</v>
      </c>
      <c r="K7" s="27">
        <f>VLOOKUP($A7,'Annual(Entry)'!$1:$1048576,11,0)</f>
        <v>0</v>
      </c>
      <c r="L7" s="27">
        <f>VLOOKUP($A7,'Annual(Entry)'!$1:$1048576,12,0)</f>
        <v>0</v>
      </c>
      <c r="M7" s="27">
        <f>VLOOKUP($A7,'Annual(Entry)'!$1:$1048576,13,0)</f>
        <v>0</v>
      </c>
      <c r="N7" s="27">
        <f>VLOOKUP($A7,'Annual(Entry)'!$1:$1048576,14,0)</f>
        <v>0</v>
      </c>
      <c r="O7" s="32">
        <f>VLOOKUP($A7,'Annual(Entry)'!$1:$1048576,15,0)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1549</v>
      </c>
      <c r="B8" s="3" t="str">
        <f>DETAILS!B8</f>
        <v>AHEM SHARMA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 t="str">
        <f>IFERROR(VLOOKUP(VLOOKUP(A8,'Annual(Entry)'!$1:$1048576,9,0),'Grade 50'!$1:$1048576,2,0),VLOOKUP(A8,'Annual(Entry)'!$1:$1048576,9,0))</f>
        <v>E</v>
      </c>
      <c r="J8" s="27" t="str">
        <f>IFERROR(VLOOKUP(VLOOKUP(A8,'Annual(Entry)'!$1:$1048576,10,0),'Grade 50'!$1:$1048576,2,0),VLOOKUP(A8,'Annual(Entry)'!$1:$1048576,10,0))</f>
        <v>E</v>
      </c>
      <c r="K8" s="27">
        <f>VLOOKUP($A8,'Annual(Entry)'!$1:$1048576,11,0)</f>
        <v>0</v>
      </c>
      <c r="L8" s="27">
        <f>VLOOKUP($A8,'Annual(Entry)'!$1:$1048576,12,0)</f>
        <v>0</v>
      </c>
      <c r="M8" s="27">
        <f>VLOOKUP($A8,'Annual(Entry)'!$1:$1048576,13,0)</f>
        <v>0</v>
      </c>
      <c r="N8" s="27">
        <f>VLOOKUP($A8,'Annual(Entry)'!$1:$1048576,14,0)</f>
        <v>0</v>
      </c>
      <c r="O8" s="32">
        <f>VLOOKUP($A8,'Annual(Entry)'!$1:$1048576,15,0)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1556</v>
      </c>
      <c r="B9" s="3" t="str">
        <f>DETAILS!B9</f>
        <v>AKRATI VISHWAKARMA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 t="str">
        <f>IFERROR(VLOOKUP(VLOOKUP(A9,'Annual(Entry)'!$1:$1048576,9,0),'Grade 50'!$1:$1048576,2,0),VLOOKUP(A9,'Annual(Entry)'!$1:$1048576,9,0))</f>
        <v>E</v>
      </c>
      <c r="J9" s="27" t="str">
        <f>IFERROR(VLOOKUP(VLOOKUP(A9,'Annual(Entry)'!$1:$1048576,10,0),'Grade 50'!$1:$1048576,2,0),VLOOKUP(A9,'Annual(Entry)'!$1:$1048576,10,0))</f>
        <v>E</v>
      </c>
      <c r="K9" s="27">
        <f>VLOOKUP($A9,'Annual(Entry)'!$1:$1048576,11,0)</f>
        <v>0</v>
      </c>
      <c r="L9" s="27">
        <f>VLOOKUP($A9,'Annual(Entry)'!$1:$1048576,12,0)</f>
        <v>0</v>
      </c>
      <c r="M9" s="27">
        <f>VLOOKUP($A9,'Annual(Entry)'!$1:$1048576,13,0)</f>
        <v>0</v>
      </c>
      <c r="N9" s="27">
        <f>VLOOKUP($A9,'Annual(Entry)'!$1:$1048576,14,0)</f>
        <v>0</v>
      </c>
      <c r="O9" s="32">
        <f>VLOOKUP($A9,'Annual(Entry)'!$1:$1048576,15,0)</f>
        <v>0</v>
      </c>
      <c r="P9" s="27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1915</v>
      </c>
      <c r="B10" s="3" t="str">
        <f>DETAILS!B10</f>
        <v>AKRITI SHUKLA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 t="str">
        <f>IFERROR(VLOOKUP(VLOOKUP(A10,'Annual(Entry)'!$1:$1048576,9,0),'Grade 50'!$1:$1048576,2,0),VLOOKUP(A10,'Annual(Entry)'!$1:$1048576,9,0))</f>
        <v>E</v>
      </c>
      <c r="J10" s="27" t="str">
        <f>IFERROR(VLOOKUP(VLOOKUP(A10,'Annual(Entry)'!$1:$1048576,10,0),'Grade 50'!$1:$1048576,2,0),VLOOKUP(A10,'Annual(Entry)'!$1:$1048576,10,0))</f>
        <v>E</v>
      </c>
      <c r="K10" s="27">
        <f>VLOOKUP($A10,'Annual(Entry)'!$1:$1048576,11,0)</f>
        <v>0</v>
      </c>
      <c r="L10" s="27">
        <f>VLOOKUP($A10,'Annual(Entry)'!$1:$1048576,12,0)</f>
        <v>0</v>
      </c>
      <c r="M10" s="27">
        <f>VLOOKUP($A10,'Annual(Entry)'!$1:$1048576,13,0)</f>
        <v>0</v>
      </c>
      <c r="N10" s="27">
        <f>VLOOKUP($A10,'Annual(Entry)'!$1:$1048576,14,0)</f>
        <v>0</v>
      </c>
      <c r="O10" s="32">
        <f>VLOOKUP($A10,'Annual(Entry)'!$1:$1048576,15,0)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1563</v>
      </c>
      <c r="B11" s="3" t="str">
        <f>DETAILS!B11</f>
        <v>ANANYA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 t="str">
        <f>IFERROR(VLOOKUP(VLOOKUP(A11,'Annual(Entry)'!$1:$1048576,9,0),'Grade 50'!$1:$1048576,2,0),VLOOKUP(A11,'Annual(Entry)'!$1:$1048576,9,0))</f>
        <v>E</v>
      </c>
      <c r="J11" s="27" t="str">
        <f>IFERROR(VLOOKUP(VLOOKUP(A11,'Annual(Entry)'!$1:$1048576,10,0),'Grade 50'!$1:$1048576,2,0),VLOOKUP(A11,'Annual(Entry)'!$1:$1048576,10,0))</f>
        <v>E</v>
      </c>
      <c r="K11" s="27">
        <f>VLOOKUP($A11,'Annual(Entry)'!$1:$1048576,11,0)</f>
        <v>0</v>
      </c>
      <c r="L11" s="27">
        <f>VLOOKUP($A11,'Annual(Entry)'!$1:$1048576,12,0)</f>
        <v>0</v>
      </c>
      <c r="M11" s="27">
        <f>VLOOKUP($A11,'Annual(Entry)'!$1:$1048576,13,0)</f>
        <v>0</v>
      </c>
      <c r="N11" s="27">
        <f>VLOOKUP($A11,'Annual(Entry)'!$1:$1048576,14,0)</f>
        <v>0</v>
      </c>
      <c r="O11" s="32">
        <f>VLOOKUP($A11,'Annual(Entry)'!$1:$1048576,15,0)</f>
        <v>0</v>
      </c>
      <c r="P11" s="27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1562</v>
      </c>
      <c r="B12" s="3" t="str">
        <f>DETAILS!B12</f>
        <v>ANKITA RAJPOOT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 t="str">
        <f>IFERROR(VLOOKUP(VLOOKUP(A12,'Annual(Entry)'!$1:$1048576,9,0),'Grade 50'!$1:$1048576,2,0),VLOOKUP(A12,'Annual(Entry)'!$1:$1048576,9,0))</f>
        <v>E</v>
      </c>
      <c r="J12" s="27" t="str">
        <f>IFERROR(VLOOKUP(VLOOKUP(A12,'Annual(Entry)'!$1:$1048576,10,0),'Grade 50'!$1:$1048576,2,0),VLOOKUP(A12,'Annual(Entry)'!$1:$1048576,10,0))</f>
        <v>E</v>
      </c>
      <c r="K12" s="27">
        <f>VLOOKUP($A12,'Annual(Entry)'!$1:$1048576,11,0)</f>
        <v>0</v>
      </c>
      <c r="L12" s="27">
        <f>VLOOKUP($A12,'Annual(Entry)'!$1:$1048576,12,0)</f>
        <v>0</v>
      </c>
      <c r="M12" s="27">
        <f>VLOOKUP($A12,'Annual(Entry)'!$1:$1048576,13,0)</f>
        <v>0</v>
      </c>
      <c r="N12" s="27">
        <f>VLOOKUP($A12,'Annual(Entry)'!$1:$1048576,14,0)</f>
        <v>0</v>
      </c>
      <c r="O12" s="32">
        <f>VLOOKUP($A12,'Annual(Entry)'!$1:$1048576,15,0)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1547</v>
      </c>
      <c r="B13" s="3" t="str">
        <f>DETAILS!B13</f>
        <v>ANSHIKA PANDEY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 t="str">
        <f>IFERROR(VLOOKUP(VLOOKUP(A13,'Annual(Entry)'!$1:$1048576,9,0),'Grade 50'!$1:$1048576,2,0),VLOOKUP(A13,'Annual(Entry)'!$1:$1048576,9,0))</f>
        <v>E</v>
      </c>
      <c r="J13" s="27" t="str">
        <f>IFERROR(VLOOKUP(VLOOKUP(A13,'Annual(Entry)'!$1:$1048576,10,0),'Grade 50'!$1:$1048576,2,0),VLOOKUP(A13,'Annual(Entry)'!$1:$1048576,10,0))</f>
        <v>E</v>
      </c>
      <c r="K13" s="27">
        <f>VLOOKUP($A13,'Annual(Entry)'!$1:$1048576,11,0)</f>
        <v>0</v>
      </c>
      <c r="L13" s="27">
        <f>VLOOKUP($A13,'Annual(Entry)'!$1:$1048576,12,0)</f>
        <v>0</v>
      </c>
      <c r="M13" s="27">
        <f>VLOOKUP($A13,'Annual(Entry)'!$1:$1048576,13,0)</f>
        <v>0</v>
      </c>
      <c r="N13" s="27">
        <f>VLOOKUP($A13,'Annual(Entry)'!$1:$1048576,14,0)</f>
        <v>0</v>
      </c>
      <c r="O13" s="32">
        <f>VLOOKUP($A13,'Annual(Entry)'!$1:$1048576,15,0)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1644</v>
      </c>
      <c r="B14" s="3" t="str">
        <f>DETAILS!B14</f>
        <v>ARADHYA SINGH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 t="str">
        <f>IFERROR(VLOOKUP(VLOOKUP(A14,'Annual(Entry)'!$1:$1048576,9,0),'Grade 50'!$1:$1048576,2,0),VLOOKUP(A14,'Annual(Entry)'!$1:$1048576,9,0))</f>
        <v>E</v>
      </c>
      <c r="J14" s="27" t="str">
        <f>IFERROR(VLOOKUP(VLOOKUP(A14,'Annual(Entry)'!$1:$1048576,10,0),'Grade 50'!$1:$1048576,2,0),VLOOKUP(A14,'Annual(Entry)'!$1:$1048576,10,0))</f>
        <v>E</v>
      </c>
      <c r="K14" s="27">
        <f>VLOOKUP($A14,'Annual(Entry)'!$1:$1048576,11,0)</f>
        <v>0</v>
      </c>
      <c r="L14" s="27">
        <f>VLOOKUP($A14,'Annual(Entry)'!$1:$1048576,12,0)</f>
        <v>0</v>
      </c>
      <c r="M14" s="27">
        <f>VLOOKUP($A14,'Annual(Entry)'!$1:$1048576,13,0)</f>
        <v>0</v>
      </c>
      <c r="N14" s="27">
        <f>VLOOKUP($A14,'Annual(Entry)'!$1:$1048576,14,0)</f>
        <v>0</v>
      </c>
      <c r="O14" s="32">
        <f>VLOOKUP($A14,'Annual(Entry)'!$1:$1048576,15,0)</f>
        <v>0</v>
      </c>
      <c r="P14" s="27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1566</v>
      </c>
      <c r="B15" s="3" t="str">
        <f>DETAILS!B15</f>
        <v>ARIYAN PAL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 t="str">
        <f>IFERROR(VLOOKUP(VLOOKUP(A15,'Annual(Entry)'!$1:$1048576,9,0),'Grade 50'!$1:$1048576,2,0),VLOOKUP(A15,'Annual(Entry)'!$1:$1048576,9,0))</f>
        <v>E</v>
      </c>
      <c r="J15" s="27" t="str">
        <f>IFERROR(VLOOKUP(VLOOKUP(A15,'Annual(Entry)'!$1:$1048576,10,0),'Grade 50'!$1:$1048576,2,0),VLOOKUP(A15,'Annual(Entry)'!$1:$1048576,10,0))</f>
        <v>E</v>
      </c>
      <c r="K15" s="27">
        <f>VLOOKUP($A15,'Annual(Entry)'!$1:$1048576,11,0)</f>
        <v>0</v>
      </c>
      <c r="L15" s="27">
        <f>VLOOKUP($A15,'Annual(Entry)'!$1:$1048576,12,0)</f>
        <v>0</v>
      </c>
      <c r="M15" s="27">
        <f>VLOOKUP($A15,'Annual(Entry)'!$1:$1048576,13,0)</f>
        <v>0</v>
      </c>
      <c r="N15" s="27">
        <f>VLOOKUP($A15,'Annual(Entry)'!$1:$1048576,14,0)</f>
        <v>0</v>
      </c>
      <c r="O15" s="32">
        <f>VLOOKUP($A15,'Annual(Entry)'!$1:$1048576,15,0)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1878</v>
      </c>
      <c r="B16" s="3" t="str">
        <f>DETAILS!B16</f>
        <v>AROHI VERMA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 t="str">
        <f>IFERROR(VLOOKUP(VLOOKUP(A16,'Annual(Entry)'!$1:$1048576,9,0),'Grade 50'!$1:$1048576,2,0),VLOOKUP(A16,'Annual(Entry)'!$1:$1048576,9,0))</f>
        <v>E</v>
      </c>
      <c r="J16" s="27" t="str">
        <f>IFERROR(VLOOKUP(VLOOKUP(A16,'Annual(Entry)'!$1:$1048576,10,0),'Grade 50'!$1:$1048576,2,0),VLOOKUP(A16,'Annual(Entry)'!$1:$1048576,10,0))</f>
        <v>E</v>
      </c>
      <c r="K16" s="27">
        <f>VLOOKUP($A16,'Annual(Entry)'!$1:$1048576,11,0)</f>
        <v>0</v>
      </c>
      <c r="L16" s="27">
        <f>VLOOKUP($A16,'Annual(Entry)'!$1:$1048576,12,0)</f>
        <v>0</v>
      </c>
      <c r="M16" s="27">
        <f>VLOOKUP($A16,'Annual(Entry)'!$1:$1048576,13,0)</f>
        <v>0</v>
      </c>
      <c r="N16" s="27">
        <f>VLOOKUP($A16,'Annual(Entry)'!$1:$1048576,14,0)</f>
        <v>0</v>
      </c>
      <c r="O16" s="32">
        <f>VLOOKUP($A16,'Annual(Entry)'!$1:$1048576,15,0)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1809</v>
      </c>
      <c r="B17" s="3" t="str">
        <f>DETAILS!B17</f>
        <v>ARUNENDRA PRATAP SINGH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 t="str">
        <f>IFERROR(VLOOKUP(VLOOKUP(A17,'Annual(Entry)'!$1:$1048576,9,0),'Grade 50'!$1:$1048576,2,0),VLOOKUP(A17,'Annual(Entry)'!$1:$1048576,9,0))</f>
        <v>E</v>
      </c>
      <c r="J17" s="27" t="str">
        <f>IFERROR(VLOOKUP(VLOOKUP(A17,'Annual(Entry)'!$1:$1048576,10,0),'Grade 50'!$1:$1048576,2,0),VLOOKUP(A17,'Annual(Entry)'!$1:$1048576,10,0))</f>
        <v>E</v>
      </c>
      <c r="K17" s="27">
        <f>VLOOKUP($A17,'Annual(Entry)'!$1:$1048576,11,0)</f>
        <v>0</v>
      </c>
      <c r="L17" s="27">
        <f>VLOOKUP($A17,'Annual(Entry)'!$1:$1048576,12,0)</f>
        <v>0</v>
      </c>
      <c r="M17" s="27">
        <f>VLOOKUP($A17,'Annual(Entry)'!$1:$1048576,13,0)</f>
        <v>0</v>
      </c>
      <c r="N17" s="27">
        <f>VLOOKUP($A17,'Annual(Entry)'!$1:$1048576,14,0)</f>
        <v>0</v>
      </c>
      <c r="O17" s="32">
        <f>VLOOKUP($A17,'Annual(Entry)'!$1:$1048576,15,0)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1920</v>
      </c>
      <c r="B18" s="3" t="str">
        <f>DETAILS!B18</f>
        <v>ATHARV SINGH CHAUHAN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 t="str">
        <f>IFERROR(VLOOKUP(VLOOKUP(A18,'Annual(Entry)'!$1:$1048576,9,0),'Grade 50'!$1:$1048576,2,0),VLOOKUP(A18,'Annual(Entry)'!$1:$1048576,9,0))</f>
        <v>E</v>
      </c>
      <c r="J18" s="27" t="str">
        <f>IFERROR(VLOOKUP(VLOOKUP(A18,'Annual(Entry)'!$1:$1048576,10,0),'Grade 50'!$1:$1048576,2,0),VLOOKUP(A18,'Annual(Entry)'!$1:$1048576,10,0))</f>
        <v>E</v>
      </c>
      <c r="K18" s="27">
        <f>VLOOKUP($A18,'Annual(Entry)'!$1:$1048576,11,0)</f>
        <v>0</v>
      </c>
      <c r="L18" s="27">
        <f>VLOOKUP($A18,'Annual(Entry)'!$1:$1048576,12,0)</f>
        <v>0</v>
      </c>
      <c r="M18" s="27">
        <f>VLOOKUP($A18,'Annual(Entry)'!$1:$1048576,13,0)</f>
        <v>0</v>
      </c>
      <c r="N18" s="27">
        <f>VLOOKUP($A18,'Annual(Entry)'!$1:$1048576,14,0)</f>
        <v>0</v>
      </c>
      <c r="O18" s="32">
        <f>VLOOKUP($A18,'Annual(Entry)'!$1:$1048576,15,0)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1569</v>
      </c>
      <c r="B19" s="3" t="str">
        <f>DETAILS!B19</f>
        <v>AVNI VERMA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 t="str">
        <f>IFERROR(VLOOKUP(VLOOKUP(A19,'Annual(Entry)'!$1:$1048576,9,0),'Grade 50'!$1:$1048576,2,0),VLOOKUP(A19,'Annual(Entry)'!$1:$1048576,9,0))</f>
        <v>E</v>
      </c>
      <c r="J19" s="27" t="str">
        <f>IFERROR(VLOOKUP(VLOOKUP(A19,'Annual(Entry)'!$1:$1048576,10,0),'Grade 50'!$1:$1048576,2,0),VLOOKUP(A19,'Annual(Entry)'!$1:$1048576,10,0))</f>
        <v>E</v>
      </c>
      <c r="K19" s="27">
        <f>VLOOKUP($A19,'Annual(Entry)'!$1:$1048576,11,0)</f>
        <v>0</v>
      </c>
      <c r="L19" s="27">
        <f>VLOOKUP($A19,'Annual(Entry)'!$1:$1048576,12,0)</f>
        <v>0</v>
      </c>
      <c r="M19" s="27">
        <f>VLOOKUP($A19,'Annual(Entry)'!$1:$1048576,13,0)</f>
        <v>0</v>
      </c>
      <c r="N19" s="27">
        <f>VLOOKUP($A19,'Annual(Entry)'!$1:$1048576,14,0)</f>
        <v>0</v>
      </c>
      <c r="O19" s="32">
        <f>VLOOKUP($A19,'Annual(Entry)'!$1:$1048576,15,0)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1789</v>
      </c>
      <c r="B20" s="3" t="str">
        <f>DETAILS!B20</f>
        <v>AYUSHI YADAV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 t="str">
        <f>IFERROR(VLOOKUP(VLOOKUP(A20,'Annual(Entry)'!$1:$1048576,9,0),'Grade 50'!$1:$1048576,2,0),VLOOKUP(A20,'Annual(Entry)'!$1:$1048576,9,0))</f>
        <v>E</v>
      </c>
      <c r="J20" s="27" t="str">
        <f>IFERROR(VLOOKUP(VLOOKUP(A20,'Annual(Entry)'!$1:$1048576,10,0),'Grade 50'!$1:$1048576,2,0),VLOOKUP(A20,'Annual(Entry)'!$1:$1048576,10,0))</f>
        <v>E</v>
      </c>
      <c r="K20" s="27">
        <f>VLOOKUP($A20,'Annual(Entry)'!$1:$1048576,11,0)</f>
        <v>0</v>
      </c>
      <c r="L20" s="27">
        <f>VLOOKUP($A20,'Annual(Entry)'!$1:$1048576,12,0)</f>
        <v>0</v>
      </c>
      <c r="M20" s="27">
        <f>VLOOKUP($A20,'Annual(Entry)'!$1:$1048576,13,0)</f>
        <v>0</v>
      </c>
      <c r="N20" s="27">
        <f>VLOOKUP($A20,'Annual(Entry)'!$1:$1048576,14,0)</f>
        <v>0</v>
      </c>
      <c r="O20" s="32">
        <f>VLOOKUP($A20,'Annual(Entry)'!$1:$1048576,15,0)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1673</v>
      </c>
      <c r="B21" s="3" t="str">
        <f>DETAILS!B21</f>
        <v>DEVANSH SINGH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 t="str">
        <f>IFERROR(VLOOKUP(VLOOKUP(A21,'Annual(Entry)'!$1:$1048576,9,0),'Grade 50'!$1:$1048576,2,0),VLOOKUP(A21,'Annual(Entry)'!$1:$1048576,9,0))</f>
        <v>E</v>
      </c>
      <c r="J21" s="27" t="str">
        <f>IFERROR(VLOOKUP(VLOOKUP(A21,'Annual(Entry)'!$1:$1048576,10,0),'Grade 50'!$1:$1048576,2,0),VLOOKUP(A21,'Annual(Entry)'!$1:$1048576,10,0))</f>
        <v>E</v>
      </c>
      <c r="K21" s="27">
        <f>VLOOKUP($A21,'Annual(Entry)'!$1:$1048576,11,0)</f>
        <v>0</v>
      </c>
      <c r="L21" s="27">
        <f>VLOOKUP($A21,'Annual(Entry)'!$1:$1048576,12,0)</f>
        <v>0</v>
      </c>
      <c r="M21" s="27">
        <f>VLOOKUP($A21,'Annual(Entry)'!$1:$1048576,13,0)</f>
        <v>0</v>
      </c>
      <c r="N21" s="27">
        <f>VLOOKUP($A21,'Annual(Entry)'!$1:$1048576,14,0)</f>
        <v>0</v>
      </c>
      <c r="O21" s="32">
        <f>VLOOKUP($A21,'Annual(Entry)'!$1:$1048576,15,0)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1649</v>
      </c>
      <c r="B22" s="3" t="str">
        <f>DETAILS!B22</f>
        <v>DEVISHA TIWARI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 t="str">
        <f>IFERROR(VLOOKUP(VLOOKUP(A22,'Annual(Entry)'!$1:$1048576,9,0),'Grade 50'!$1:$1048576,2,0),VLOOKUP(A22,'Annual(Entry)'!$1:$1048576,9,0))</f>
        <v>E</v>
      </c>
      <c r="J22" s="27" t="str">
        <f>IFERROR(VLOOKUP(VLOOKUP(A22,'Annual(Entry)'!$1:$1048576,10,0),'Grade 50'!$1:$1048576,2,0),VLOOKUP(A22,'Annual(Entry)'!$1:$1048576,10,0))</f>
        <v>E</v>
      </c>
      <c r="K22" s="27">
        <f>VLOOKUP($A22,'Annual(Entry)'!$1:$1048576,11,0)</f>
        <v>0</v>
      </c>
      <c r="L22" s="27">
        <f>VLOOKUP($A22,'Annual(Entry)'!$1:$1048576,12,0)</f>
        <v>0</v>
      </c>
      <c r="M22" s="27">
        <f>VLOOKUP($A22,'Annual(Entry)'!$1:$1048576,13,0)</f>
        <v>0</v>
      </c>
      <c r="N22" s="27">
        <f>VLOOKUP($A22,'Annual(Entry)'!$1:$1048576,14,0)</f>
        <v>0</v>
      </c>
      <c r="O22" s="32">
        <f>VLOOKUP($A22,'Annual(Entry)'!$1:$1048576,15,0)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1791</v>
      </c>
      <c r="B23" s="3" t="str">
        <f>DETAILS!B23</f>
        <v>DIPANSH SRIVASTAVA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 t="str">
        <f>IFERROR(VLOOKUP(VLOOKUP(A23,'Annual(Entry)'!$1:$1048576,9,0),'Grade 50'!$1:$1048576,2,0),VLOOKUP(A23,'Annual(Entry)'!$1:$1048576,9,0))</f>
        <v>E</v>
      </c>
      <c r="J23" s="27" t="str">
        <f>IFERROR(VLOOKUP(VLOOKUP(A23,'Annual(Entry)'!$1:$1048576,10,0),'Grade 50'!$1:$1048576,2,0),VLOOKUP(A23,'Annual(Entry)'!$1:$1048576,10,0))</f>
        <v>E</v>
      </c>
      <c r="K23" s="27">
        <f>VLOOKUP($A23,'Annual(Entry)'!$1:$1048576,11,0)</f>
        <v>0</v>
      </c>
      <c r="L23" s="27">
        <f>VLOOKUP($A23,'Annual(Entry)'!$1:$1048576,12,0)</f>
        <v>0</v>
      </c>
      <c r="M23" s="27">
        <f>VLOOKUP($A23,'Annual(Entry)'!$1:$1048576,13,0)</f>
        <v>0</v>
      </c>
      <c r="N23" s="27">
        <f>VLOOKUP($A23,'Annual(Entry)'!$1:$1048576,14,0)</f>
        <v>0</v>
      </c>
      <c r="O23" s="32">
        <f>VLOOKUP($A23,'Annual(Entry)'!$1:$1048576,15,0)</f>
        <v>0</v>
      </c>
      <c r="P23" s="27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1564</v>
      </c>
      <c r="B24" s="3" t="str">
        <f>DETAILS!B24</f>
        <v>GAURAV YADAV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 t="str">
        <f>IFERROR(VLOOKUP(VLOOKUP(A24,'Annual(Entry)'!$1:$1048576,9,0),'Grade 50'!$1:$1048576,2,0),VLOOKUP(A24,'Annual(Entry)'!$1:$1048576,9,0))</f>
        <v>E</v>
      </c>
      <c r="J24" s="27" t="str">
        <f>IFERROR(VLOOKUP(VLOOKUP(A24,'Annual(Entry)'!$1:$1048576,10,0),'Grade 50'!$1:$1048576,2,0),VLOOKUP(A24,'Annual(Entry)'!$1:$1048576,10,0))</f>
        <v>E</v>
      </c>
      <c r="K24" s="27">
        <f>VLOOKUP($A24,'Annual(Entry)'!$1:$1048576,11,0)</f>
        <v>0</v>
      </c>
      <c r="L24" s="27">
        <f>VLOOKUP($A24,'Annual(Entry)'!$1:$1048576,12,0)</f>
        <v>0</v>
      </c>
      <c r="M24" s="27">
        <f>VLOOKUP($A24,'Annual(Entry)'!$1:$1048576,13,0)</f>
        <v>0</v>
      </c>
      <c r="N24" s="27">
        <f>VLOOKUP($A24,'Annual(Entry)'!$1:$1048576,14,0)</f>
        <v>0</v>
      </c>
      <c r="O24" s="32">
        <f>VLOOKUP($A24,'Annual(Entry)'!$1:$1048576,15,0)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1573</v>
      </c>
      <c r="B25" s="3" t="str">
        <f>DETAILS!B25</f>
        <v>HARIOM MISHRA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 t="str">
        <f>IFERROR(VLOOKUP(VLOOKUP(A25,'Annual(Entry)'!$1:$1048576,9,0),'Grade 50'!$1:$1048576,2,0),VLOOKUP(A25,'Annual(Entry)'!$1:$1048576,9,0))</f>
        <v>E</v>
      </c>
      <c r="J25" s="27" t="str">
        <f>IFERROR(VLOOKUP(VLOOKUP(A25,'Annual(Entry)'!$1:$1048576,10,0),'Grade 50'!$1:$1048576,2,0),VLOOKUP(A25,'Annual(Entry)'!$1:$1048576,10,0))</f>
        <v>E</v>
      </c>
      <c r="K25" s="27">
        <f>VLOOKUP($A25,'Annual(Entry)'!$1:$1048576,11,0)</f>
        <v>0</v>
      </c>
      <c r="L25" s="27">
        <f>VLOOKUP($A25,'Annual(Entry)'!$1:$1048576,12,0)</f>
        <v>0</v>
      </c>
      <c r="M25" s="27">
        <f>VLOOKUP($A25,'Annual(Entry)'!$1:$1048576,13,0)</f>
        <v>0</v>
      </c>
      <c r="N25" s="27">
        <f>VLOOKUP($A25,'Annual(Entry)'!$1:$1048576,14,0)</f>
        <v>0</v>
      </c>
      <c r="O25" s="32">
        <f>VLOOKUP($A25,'Annual(Entry)'!$1:$1048576,15,0)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1561</v>
      </c>
      <c r="B26" s="3" t="str">
        <f>DETAILS!B26</f>
        <v>HARSHITA MEENA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 t="str">
        <f>IFERROR(VLOOKUP(VLOOKUP(A26,'Annual(Entry)'!$1:$1048576,9,0),'Grade 50'!$1:$1048576,2,0),VLOOKUP(A26,'Annual(Entry)'!$1:$1048576,9,0))</f>
        <v>E</v>
      </c>
      <c r="J26" s="27" t="str">
        <f>IFERROR(VLOOKUP(VLOOKUP(A26,'Annual(Entry)'!$1:$1048576,10,0),'Grade 50'!$1:$1048576,2,0),VLOOKUP(A26,'Annual(Entry)'!$1:$1048576,10,0))</f>
        <v>E</v>
      </c>
      <c r="K26" s="27">
        <f>VLOOKUP($A26,'Annual(Entry)'!$1:$1048576,11,0)</f>
        <v>0</v>
      </c>
      <c r="L26" s="27">
        <f>VLOOKUP($A26,'Annual(Entry)'!$1:$1048576,12,0)</f>
        <v>0</v>
      </c>
      <c r="M26" s="27">
        <f>VLOOKUP($A26,'Annual(Entry)'!$1:$1048576,13,0)</f>
        <v>0</v>
      </c>
      <c r="N26" s="27">
        <f>VLOOKUP($A26,'Annual(Entry)'!$1:$1048576,14,0)</f>
        <v>0</v>
      </c>
      <c r="O26" s="32">
        <f>VLOOKUP($A26,'Annual(Entry)'!$1:$1048576,15,0)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1565</v>
      </c>
      <c r="B27" s="3" t="str">
        <f>DETAILS!B27</f>
        <v>JANVI SINGH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 t="str">
        <f>IFERROR(VLOOKUP(VLOOKUP(A27,'Annual(Entry)'!$1:$1048576,9,0),'Grade 50'!$1:$1048576,2,0),VLOOKUP(A27,'Annual(Entry)'!$1:$1048576,9,0))</f>
        <v>E</v>
      </c>
      <c r="J27" s="27" t="str">
        <f>IFERROR(VLOOKUP(VLOOKUP(A27,'Annual(Entry)'!$1:$1048576,10,0),'Grade 50'!$1:$1048576,2,0),VLOOKUP(A27,'Annual(Entry)'!$1:$1048576,10,0))</f>
        <v>E</v>
      </c>
      <c r="K27" s="27">
        <f>VLOOKUP($A27,'Annual(Entry)'!$1:$1048576,11,0)</f>
        <v>0</v>
      </c>
      <c r="L27" s="27">
        <f>VLOOKUP($A27,'Annual(Entry)'!$1:$1048576,12,0)</f>
        <v>0</v>
      </c>
      <c r="M27" s="27">
        <f>VLOOKUP($A27,'Annual(Entry)'!$1:$1048576,13,0)</f>
        <v>0</v>
      </c>
      <c r="N27" s="27">
        <f>VLOOKUP($A27,'Annual(Entry)'!$1:$1048576,14,0)</f>
        <v>0</v>
      </c>
      <c r="O27" s="32">
        <f>VLOOKUP($A27,'Annual(Entry)'!$1:$1048576,15,0)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1870</v>
      </c>
      <c r="B28" s="3" t="str">
        <f>DETAILS!B28</f>
        <v>JANVI SINGH SENGAR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 t="str">
        <f>IFERROR(VLOOKUP(VLOOKUP(A28,'Annual(Entry)'!$1:$1048576,9,0),'Grade 50'!$1:$1048576,2,0),VLOOKUP(A28,'Annual(Entry)'!$1:$1048576,9,0))</f>
        <v>E</v>
      </c>
      <c r="J28" s="27" t="str">
        <f>IFERROR(VLOOKUP(VLOOKUP(A28,'Annual(Entry)'!$1:$1048576,10,0),'Grade 50'!$1:$1048576,2,0),VLOOKUP(A28,'Annual(Entry)'!$1:$1048576,10,0))</f>
        <v>E</v>
      </c>
      <c r="K28" s="27">
        <f>VLOOKUP($A28,'Annual(Entry)'!$1:$1048576,11,0)</f>
        <v>0</v>
      </c>
      <c r="L28" s="27">
        <f>VLOOKUP($A28,'Annual(Entry)'!$1:$1048576,12,0)</f>
        <v>0</v>
      </c>
      <c r="M28" s="27">
        <f>VLOOKUP($A28,'Annual(Entry)'!$1:$1048576,13,0)</f>
        <v>0</v>
      </c>
      <c r="N28" s="27">
        <f>VLOOKUP($A28,'Annual(Entry)'!$1:$1048576,14,0)</f>
        <v>0</v>
      </c>
      <c r="O28" s="32">
        <f>VLOOKUP($A28,'Annual(Entry)'!$1:$1048576,15,0)</f>
        <v>0</v>
      </c>
      <c r="P28" s="27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1657</v>
      </c>
      <c r="B29" s="3" t="str">
        <f>DETAILS!B29</f>
        <v>KARNIKA VERMA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 t="str">
        <f>IFERROR(VLOOKUP(VLOOKUP(A29,'Annual(Entry)'!$1:$1048576,9,0),'Grade 50'!$1:$1048576,2,0),VLOOKUP(A29,'Annual(Entry)'!$1:$1048576,9,0))</f>
        <v>E</v>
      </c>
      <c r="J29" s="27" t="str">
        <f>IFERROR(VLOOKUP(VLOOKUP(A29,'Annual(Entry)'!$1:$1048576,10,0),'Grade 50'!$1:$1048576,2,0),VLOOKUP(A29,'Annual(Entry)'!$1:$1048576,10,0))</f>
        <v>E</v>
      </c>
      <c r="K29" s="27">
        <f>VLOOKUP($A29,'Annual(Entry)'!$1:$1048576,11,0)</f>
        <v>0</v>
      </c>
      <c r="L29" s="27">
        <f>VLOOKUP($A29,'Annual(Entry)'!$1:$1048576,12,0)</f>
        <v>0</v>
      </c>
      <c r="M29" s="27">
        <f>VLOOKUP($A29,'Annual(Entry)'!$1:$1048576,13,0)</f>
        <v>0</v>
      </c>
      <c r="N29" s="27">
        <f>VLOOKUP($A29,'Annual(Entry)'!$1:$1048576,14,0)</f>
        <v>0</v>
      </c>
      <c r="O29" s="32">
        <f>VLOOKUP($A29,'Annual(Entry)'!$1:$1048576,15,0)</f>
        <v>0</v>
      </c>
      <c r="P29" s="27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1558</v>
      </c>
      <c r="B30" s="3" t="str">
        <f>DETAILS!B30</f>
        <v>KAVYA TIWARI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 t="str">
        <f>IFERROR(VLOOKUP(VLOOKUP(A30,'Annual(Entry)'!$1:$1048576,9,0),'Grade 50'!$1:$1048576,2,0),VLOOKUP(A30,'Annual(Entry)'!$1:$1048576,9,0))</f>
        <v>E</v>
      </c>
      <c r="J30" s="27" t="str">
        <f>IFERROR(VLOOKUP(VLOOKUP(A30,'Annual(Entry)'!$1:$1048576,10,0),'Grade 50'!$1:$1048576,2,0),VLOOKUP(A30,'Annual(Entry)'!$1:$1048576,10,0))</f>
        <v>E</v>
      </c>
      <c r="K30" s="27">
        <f>VLOOKUP($A30,'Annual(Entry)'!$1:$1048576,11,0)</f>
        <v>0</v>
      </c>
      <c r="L30" s="27">
        <f>VLOOKUP($A30,'Annual(Entry)'!$1:$1048576,12,0)</f>
        <v>0</v>
      </c>
      <c r="M30" s="27">
        <f>VLOOKUP($A30,'Annual(Entry)'!$1:$1048576,13,0)</f>
        <v>0</v>
      </c>
      <c r="N30" s="27">
        <f>VLOOKUP($A30,'Annual(Entry)'!$1:$1048576,14,0)</f>
        <v>0</v>
      </c>
      <c r="O30" s="32">
        <f>VLOOKUP($A30,'Annual(Entry)'!$1:$1048576,15,0)</f>
        <v>0</v>
      </c>
      <c r="P30" s="27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1906</v>
      </c>
      <c r="B31" s="3" t="str">
        <f>DETAILS!B31</f>
        <v>KHUSHI PATEL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 t="str">
        <f>IFERROR(VLOOKUP(VLOOKUP(A31,'Annual(Entry)'!$1:$1048576,9,0),'Grade 50'!$1:$1048576,2,0),VLOOKUP(A31,'Annual(Entry)'!$1:$1048576,9,0))</f>
        <v>E</v>
      </c>
      <c r="J31" s="27" t="str">
        <f>IFERROR(VLOOKUP(VLOOKUP(A31,'Annual(Entry)'!$1:$1048576,10,0),'Grade 50'!$1:$1048576,2,0),VLOOKUP(A31,'Annual(Entry)'!$1:$1048576,10,0))</f>
        <v>E</v>
      </c>
      <c r="K31" s="27">
        <f>VLOOKUP($A31,'Annual(Entry)'!$1:$1048576,11,0)</f>
        <v>0</v>
      </c>
      <c r="L31" s="27">
        <f>VLOOKUP($A31,'Annual(Entry)'!$1:$1048576,12,0)</f>
        <v>0</v>
      </c>
      <c r="M31" s="27">
        <f>VLOOKUP($A31,'Annual(Entry)'!$1:$1048576,13,0)</f>
        <v>0</v>
      </c>
      <c r="N31" s="27">
        <f>VLOOKUP($A31,'Annual(Entry)'!$1:$1048576,14,0)</f>
        <v>0</v>
      </c>
      <c r="O31" s="32">
        <f>VLOOKUP($A31,'Annual(Entry)'!$1:$1048576,15,0)</f>
        <v>0</v>
      </c>
      <c r="P31" s="27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1865</v>
      </c>
      <c r="B32" s="3" t="str">
        <f>DETAILS!B32</f>
        <v>MOHD SAIF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 t="str">
        <f>IFERROR(VLOOKUP(VLOOKUP(A32,'Annual(Entry)'!$1:$1048576,9,0),'Grade 50'!$1:$1048576,2,0),VLOOKUP(A32,'Annual(Entry)'!$1:$1048576,9,0))</f>
        <v>E</v>
      </c>
      <c r="J32" s="27" t="str">
        <f>IFERROR(VLOOKUP(VLOOKUP(A32,'Annual(Entry)'!$1:$1048576,10,0),'Grade 50'!$1:$1048576,2,0),VLOOKUP(A32,'Annual(Entry)'!$1:$1048576,10,0))</f>
        <v>E</v>
      </c>
      <c r="K32" s="27">
        <f>VLOOKUP($A32,'Annual(Entry)'!$1:$1048576,11,0)</f>
        <v>0</v>
      </c>
      <c r="L32" s="27">
        <f>VLOOKUP($A32,'Annual(Entry)'!$1:$1048576,12,0)</f>
        <v>0</v>
      </c>
      <c r="M32" s="27">
        <f>VLOOKUP($A32,'Annual(Entry)'!$1:$1048576,13,0)</f>
        <v>0</v>
      </c>
      <c r="N32" s="27">
        <f>VLOOKUP($A32,'Annual(Entry)'!$1:$1048576,14,0)</f>
        <v>0</v>
      </c>
      <c r="O32" s="32">
        <f>VLOOKUP($A32,'Annual(Entry)'!$1:$1048576,15,0)</f>
        <v>0</v>
      </c>
      <c r="P32" s="27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1735</v>
      </c>
      <c r="B33" s="3" t="str">
        <f>DETAILS!B33</f>
        <v>PRAGATI SINGH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 t="str">
        <f>IFERROR(VLOOKUP(VLOOKUP(A33,'Annual(Entry)'!$1:$1048576,9,0),'Grade 50'!$1:$1048576,2,0),VLOOKUP(A33,'Annual(Entry)'!$1:$1048576,9,0))</f>
        <v>E</v>
      </c>
      <c r="J33" s="27" t="str">
        <f>IFERROR(VLOOKUP(VLOOKUP(A33,'Annual(Entry)'!$1:$1048576,10,0),'Grade 50'!$1:$1048576,2,0),VLOOKUP(A33,'Annual(Entry)'!$1:$1048576,10,0))</f>
        <v>E</v>
      </c>
      <c r="K33" s="27">
        <f>VLOOKUP($A33,'Annual(Entry)'!$1:$1048576,11,0)</f>
        <v>0</v>
      </c>
      <c r="L33" s="27">
        <f>VLOOKUP($A33,'Annual(Entry)'!$1:$1048576,12,0)</f>
        <v>0</v>
      </c>
      <c r="M33" s="27">
        <f>VLOOKUP($A33,'Annual(Entry)'!$1:$1048576,13,0)</f>
        <v>0</v>
      </c>
      <c r="N33" s="27">
        <f>VLOOKUP($A33,'Annual(Entry)'!$1:$1048576,14,0)</f>
        <v>0</v>
      </c>
      <c r="O33" s="32">
        <f>VLOOKUP($A33,'Annual(Entry)'!$1:$1048576,15,0)</f>
        <v>0</v>
      </c>
      <c r="P33" s="27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1557</v>
      </c>
      <c r="B34" s="3" t="str">
        <f>DETAILS!B34</f>
        <v>PRISHA JAISWAL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 t="str">
        <f>IFERROR(VLOOKUP(VLOOKUP(A34,'Annual(Entry)'!$1:$1048576,9,0),'Grade 50'!$1:$1048576,2,0),VLOOKUP(A34,'Annual(Entry)'!$1:$1048576,9,0))</f>
        <v>E</v>
      </c>
      <c r="J34" s="27" t="str">
        <f>IFERROR(VLOOKUP(VLOOKUP(A34,'Annual(Entry)'!$1:$1048576,10,0),'Grade 50'!$1:$1048576,2,0),VLOOKUP(A34,'Annual(Entry)'!$1:$1048576,10,0))</f>
        <v>E</v>
      </c>
      <c r="K34" s="27">
        <f>VLOOKUP($A34,'Annual(Entry)'!$1:$1048576,11,0)</f>
        <v>0</v>
      </c>
      <c r="L34" s="27">
        <f>VLOOKUP($A34,'Annual(Entry)'!$1:$1048576,12,0)</f>
        <v>0</v>
      </c>
      <c r="M34" s="27">
        <f>VLOOKUP($A34,'Annual(Entry)'!$1:$1048576,13,0)</f>
        <v>0</v>
      </c>
      <c r="N34" s="27">
        <f>VLOOKUP($A34,'Annual(Entry)'!$1:$1048576,14,0)</f>
        <v>0</v>
      </c>
      <c r="O34" s="32">
        <f>VLOOKUP($A34,'Annual(Entry)'!$1:$1048576,15,0)</f>
        <v>0</v>
      </c>
      <c r="P34" s="27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1560</v>
      </c>
      <c r="B35" s="3" t="str">
        <f>DETAILS!B35</f>
        <v>SHANTANU YADAV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 t="str">
        <f>IFERROR(VLOOKUP(VLOOKUP(A35,'Annual(Entry)'!$1:$1048576,9,0),'Grade 50'!$1:$1048576,2,0),VLOOKUP(A35,'Annual(Entry)'!$1:$1048576,9,0))</f>
        <v>E</v>
      </c>
      <c r="J35" s="27" t="str">
        <f>IFERROR(VLOOKUP(VLOOKUP(A35,'Annual(Entry)'!$1:$1048576,10,0),'Grade 50'!$1:$1048576,2,0),VLOOKUP(A35,'Annual(Entry)'!$1:$1048576,10,0))</f>
        <v>E</v>
      </c>
      <c r="K35" s="27">
        <f>VLOOKUP($A35,'Annual(Entry)'!$1:$1048576,11,0)</f>
        <v>0</v>
      </c>
      <c r="L35" s="27">
        <f>VLOOKUP($A35,'Annual(Entry)'!$1:$1048576,12,0)</f>
        <v>0</v>
      </c>
      <c r="M35" s="27">
        <f>VLOOKUP($A35,'Annual(Entry)'!$1:$1048576,13,0)</f>
        <v>0</v>
      </c>
      <c r="N35" s="27">
        <f>VLOOKUP($A35,'Annual(Entry)'!$1:$1048576,14,0)</f>
        <v>0</v>
      </c>
      <c r="O35" s="32">
        <f>VLOOKUP($A35,'Annual(Entry)'!$1:$1048576,15,0)</f>
        <v>0</v>
      </c>
      <c r="P35" s="27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1890</v>
      </c>
      <c r="B36" s="3" t="str">
        <f>DETAILS!B36</f>
        <v>SHIVA YADAV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 t="str">
        <f>IFERROR(VLOOKUP(VLOOKUP(A36,'Annual(Entry)'!$1:$1048576,9,0),'Grade 50'!$1:$1048576,2,0),VLOOKUP(A36,'Annual(Entry)'!$1:$1048576,9,0))</f>
        <v>E</v>
      </c>
      <c r="J36" s="27" t="str">
        <f>IFERROR(VLOOKUP(VLOOKUP(A36,'Annual(Entry)'!$1:$1048576,10,0),'Grade 50'!$1:$1048576,2,0),VLOOKUP(A36,'Annual(Entry)'!$1:$1048576,10,0))</f>
        <v>E</v>
      </c>
      <c r="K36" s="27">
        <f>VLOOKUP($A36,'Annual(Entry)'!$1:$1048576,11,0)</f>
        <v>0</v>
      </c>
      <c r="L36" s="27">
        <f>VLOOKUP($A36,'Annual(Entry)'!$1:$1048576,12,0)</f>
        <v>0</v>
      </c>
      <c r="M36" s="27">
        <f>VLOOKUP($A36,'Annual(Entry)'!$1:$1048576,13,0)</f>
        <v>0</v>
      </c>
      <c r="N36" s="27">
        <f>VLOOKUP($A36,'Annual(Entry)'!$1:$1048576,14,0)</f>
        <v>0</v>
      </c>
      <c r="O36" s="32">
        <f>VLOOKUP($A36,'Annual(Entry)'!$1:$1048576,15,0)</f>
        <v>0</v>
      </c>
      <c r="P36" s="27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1575</v>
      </c>
      <c r="B37" s="3" t="str">
        <f>DETAILS!B37</f>
        <v>SHIVIKA VERMA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 t="str">
        <f>IFERROR(VLOOKUP(VLOOKUP(A37,'Annual(Entry)'!$1:$1048576,9,0),'Grade 50'!$1:$1048576,2,0),VLOOKUP(A37,'Annual(Entry)'!$1:$1048576,9,0))</f>
        <v>E</v>
      </c>
      <c r="J37" s="27" t="str">
        <f>IFERROR(VLOOKUP(VLOOKUP(A37,'Annual(Entry)'!$1:$1048576,10,0),'Grade 50'!$1:$1048576,2,0),VLOOKUP(A37,'Annual(Entry)'!$1:$1048576,10,0))</f>
        <v>E</v>
      </c>
      <c r="K37" s="27">
        <f>VLOOKUP($A37,'Annual(Entry)'!$1:$1048576,11,0)</f>
        <v>0</v>
      </c>
      <c r="L37" s="27">
        <f>VLOOKUP($A37,'Annual(Entry)'!$1:$1048576,12,0)</f>
        <v>0</v>
      </c>
      <c r="M37" s="27">
        <f>VLOOKUP($A37,'Annual(Entry)'!$1:$1048576,13,0)</f>
        <v>0</v>
      </c>
      <c r="N37" s="27">
        <f>VLOOKUP($A37,'Annual(Entry)'!$1:$1048576,14,0)</f>
        <v>0</v>
      </c>
      <c r="O37" s="32">
        <f>VLOOKUP($A37,'Annual(Entry)'!$1:$1048576,15,0)</f>
        <v>0</v>
      </c>
      <c r="P37" s="27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1732</v>
      </c>
      <c r="B38" s="3" t="str">
        <f>DETAILS!B38</f>
        <v>SUHAN ALI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 t="str">
        <f>IFERROR(VLOOKUP(VLOOKUP(A38,'Annual(Entry)'!$1:$1048576,9,0),'Grade 50'!$1:$1048576,2,0),VLOOKUP(A38,'Annual(Entry)'!$1:$1048576,9,0))</f>
        <v>E</v>
      </c>
      <c r="J38" s="27" t="str">
        <f>IFERROR(VLOOKUP(VLOOKUP(A38,'Annual(Entry)'!$1:$1048576,10,0),'Grade 50'!$1:$1048576,2,0),VLOOKUP(A38,'Annual(Entry)'!$1:$1048576,10,0))</f>
        <v>E</v>
      </c>
      <c r="K38" s="27">
        <f>VLOOKUP($A38,'Annual(Entry)'!$1:$1048576,11,0)</f>
        <v>0</v>
      </c>
      <c r="L38" s="27">
        <f>VLOOKUP($A38,'Annual(Entry)'!$1:$1048576,12,0)</f>
        <v>0</v>
      </c>
      <c r="M38" s="27">
        <f>VLOOKUP($A38,'Annual(Entry)'!$1:$1048576,13,0)</f>
        <v>0</v>
      </c>
      <c r="N38" s="27">
        <f>VLOOKUP($A38,'Annual(Entry)'!$1:$1048576,14,0)</f>
        <v>0</v>
      </c>
      <c r="O38" s="32">
        <f>VLOOKUP($A38,'Annual(Entry)'!$1:$1048576,15,0)</f>
        <v>0</v>
      </c>
      <c r="P38" s="27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1706</v>
      </c>
      <c r="B39" s="3" t="str">
        <f>DETAILS!B39</f>
        <v>UTKARSH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 t="str">
        <f>IFERROR(VLOOKUP(VLOOKUP(A39,'Annual(Entry)'!$1:$1048576,9,0),'Grade 50'!$1:$1048576,2,0),VLOOKUP(A39,'Annual(Entry)'!$1:$1048576,9,0))</f>
        <v>E</v>
      </c>
      <c r="J39" s="27" t="str">
        <f>IFERROR(VLOOKUP(VLOOKUP(A39,'Annual(Entry)'!$1:$1048576,10,0),'Grade 50'!$1:$1048576,2,0),VLOOKUP(A39,'Annual(Entry)'!$1:$1048576,10,0))</f>
        <v>E</v>
      </c>
      <c r="K39" s="27">
        <f>VLOOKUP($A39,'Annual(Entry)'!$1:$1048576,11,0)</f>
        <v>0</v>
      </c>
      <c r="L39" s="27">
        <f>VLOOKUP($A39,'Annual(Entry)'!$1:$1048576,12,0)</f>
        <v>0</v>
      </c>
      <c r="M39" s="27">
        <f>VLOOKUP($A39,'Annual(Entry)'!$1:$1048576,13,0)</f>
        <v>0</v>
      </c>
      <c r="N39" s="27">
        <f>VLOOKUP($A39,'Annual(Entry)'!$1:$1048576,14,0)</f>
        <v>0</v>
      </c>
      <c r="O39" s="32">
        <f>VLOOKUP($A39,'Annual(Entry)'!$1:$1048576,15,0)</f>
        <v>0</v>
      </c>
      <c r="P39" s="27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1567</v>
      </c>
      <c r="B40" s="3" t="str">
        <f>DETAILS!B40</f>
        <v>VAANYA YADAV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 t="str">
        <f>IFERROR(VLOOKUP(VLOOKUP(A40,'Annual(Entry)'!$1:$1048576,9,0),'Grade 50'!$1:$1048576,2,0),VLOOKUP(A40,'Annual(Entry)'!$1:$1048576,9,0))</f>
        <v>E</v>
      </c>
      <c r="J40" s="27" t="str">
        <f>IFERROR(VLOOKUP(VLOOKUP(A40,'Annual(Entry)'!$1:$1048576,10,0),'Grade 50'!$1:$1048576,2,0),VLOOKUP(A40,'Annual(Entry)'!$1:$1048576,10,0))</f>
        <v>E</v>
      </c>
      <c r="K40" s="27">
        <f>VLOOKUP($A40,'Annual(Entry)'!$1:$1048576,11,0)</f>
        <v>0</v>
      </c>
      <c r="L40" s="27">
        <f>VLOOKUP($A40,'Annual(Entry)'!$1:$1048576,12,0)</f>
        <v>0</v>
      </c>
      <c r="M40" s="27">
        <f>VLOOKUP($A40,'Annual(Entry)'!$1:$1048576,13,0)</f>
        <v>0</v>
      </c>
      <c r="N40" s="27">
        <f>VLOOKUP($A40,'Annual(Entry)'!$1:$1048576,14,0)</f>
        <v>0</v>
      </c>
      <c r="O40" s="32">
        <f>VLOOKUP($A40,'Annual(Entry)'!$1:$1048576,15,0)</f>
        <v>0</v>
      </c>
      <c r="P40" s="27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1937</v>
      </c>
      <c r="B41" s="3" t="str">
        <f>DETAILS!B41</f>
        <v>VIVAAN  PAL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 t="str">
        <f>IFERROR(VLOOKUP(VLOOKUP(A41,'Annual(Entry)'!$1:$1048576,9,0),'Grade 50'!$1:$1048576,2,0),VLOOKUP(A41,'Annual(Entry)'!$1:$1048576,9,0))</f>
        <v>E</v>
      </c>
      <c r="J41" s="27" t="str">
        <f>IFERROR(VLOOKUP(VLOOKUP(A41,'Annual(Entry)'!$1:$1048576,10,0),'Grade 50'!$1:$1048576,2,0),VLOOKUP(A41,'Annual(Entry)'!$1:$1048576,10,0))</f>
        <v>E</v>
      </c>
      <c r="K41" s="27">
        <f>VLOOKUP($A41,'Annual(Entry)'!$1:$1048576,11,0)</f>
        <v>0</v>
      </c>
      <c r="L41" s="27">
        <f>VLOOKUP($A41,'Annual(Entry)'!$1:$1048576,12,0)</f>
        <v>0</v>
      </c>
      <c r="M41" s="27">
        <f>VLOOKUP($A41,'Annual(Entry)'!$1:$1048576,13,0)</f>
        <v>0</v>
      </c>
      <c r="N41" s="27">
        <f>VLOOKUP($A41,'Annual(Entry)'!$1:$1048576,14,0)</f>
        <v>0</v>
      </c>
      <c r="O41" s="32">
        <f>VLOOKUP($A41,'Annual(Entry)'!$1:$1048576,15,0)</f>
        <v>0</v>
      </c>
      <c r="P41" s="27">
        <f t="shared" si="0"/>
        <v>0</v>
      </c>
      <c r="Q41" s="27" t="str">
        <f t="shared" si="1"/>
        <v>0 %</v>
      </c>
    </row>
  </sheetData>
  <sheetProtection algorithmName="SHA-512" hashValue="53hOCPn89Pn6pByHlstB1PY4Igx5zoAXZKg3kNxHK8w8GJxUv1LGqCjb9JtXZzLaOkFJBGm6R8rZ/Ea8BKEqZQ==" saltValue="D3FRe9dyRosZYsvMc08wjw==" spinCount="100000" sheet="1" objects="1" scenarios="1"/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J42"/>
  <sheetViews>
    <sheetView topLeftCell="Z1" zoomScale="70" zoomScaleNormal="70" workbookViewId="0">
      <selection activeCell="BK4" sqref="BK4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43" width="4.6640625" bestFit="1" customWidth="1"/>
    <col min="44" max="44" width="5.33203125" bestFit="1" customWidth="1"/>
    <col min="45" max="45" width="4.6640625" bestFit="1" customWidth="1"/>
    <col min="46" max="46" width="3.44140625" bestFit="1" customWidth="1"/>
    <col min="47" max="47" width="5.44140625" bestFit="1" customWidth="1"/>
    <col min="48" max="49" width="5.33203125" bestFit="1" customWidth="1"/>
    <col min="50" max="50" width="4.6640625" bestFit="1" customWidth="1"/>
    <col min="51" max="51" width="3.21875" bestFit="1" customWidth="1"/>
    <col min="52" max="52" width="5.21875" bestFit="1" customWidth="1"/>
    <col min="60" max="60" width="34" customWidth="1"/>
  </cols>
  <sheetData>
    <row r="1" spans="1:62" x14ac:dyDescent="0.3">
      <c r="A1" s="43" t="s">
        <v>108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</row>
    <row r="2" spans="1:62" ht="20.399999999999999" customHeight="1" x14ac:dyDescent="0.3">
      <c r="A2" s="40" t="s">
        <v>45</v>
      </c>
      <c r="B2" s="40" t="s">
        <v>53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72</v>
      </c>
      <c r="AH2" s="40"/>
      <c r="AI2" s="40"/>
      <c r="AJ2" s="40"/>
      <c r="AK2" s="40"/>
      <c r="AL2" s="40"/>
      <c r="AM2" s="40"/>
      <c r="AN2" s="40"/>
      <c r="AO2" s="40"/>
      <c r="AP2" s="40"/>
      <c r="AQ2" s="40" t="s">
        <v>15</v>
      </c>
      <c r="AR2" s="40"/>
      <c r="AS2" s="40"/>
      <c r="AT2" s="40"/>
      <c r="AU2" s="40"/>
      <c r="AV2" s="40"/>
      <c r="AW2" s="40"/>
      <c r="AX2" s="40"/>
      <c r="AY2" s="40"/>
      <c r="AZ2" s="40"/>
      <c r="BA2" s="46" t="s">
        <v>56</v>
      </c>
      <c r="BB2" s="46" t="s">
        <v>57</v>
      </c>
      <c r="BC2" s="46" t="s">
        <v>60</v>
      </c>
      <c r="BD2" s="46" t="s">
        <v>58</v>
      </c>
      <c r="BE2" s="46" t="s">
        <v>59</v>
      </c>
      <c r="BF2" s="46" t="s">
        <v>61</v>
      </c>
      <c r="BG2" s="46" t="s">
        <v>62</v>
      </c>
      <c r="BH2" s="46" t="s">
        <v>63</v>
      </c>
      <c r="BI2" s="77" t="s">
        <v>99</v>
      </c>
      <c r="BJ2" s="78" t="s">
        <v>80</v>
      </c>
    </row>
    <row r="3" spans="1:62" ht="20.399999999999999" customHeight="1" x14ac:dyDescent="0.3">
      <c r="A3" s="40"/>
      <c r="B3" s="40"/>
      <c r="C3" s="26" t="s">
        <v>64</v>
      </c>
      <c r="D3" s="26" t="s">
        <v>66</v>
      </c>
      <c r="E3" s="26" t="s">
        <v>68</v>
      </c>
      <c r="F3" s="26" t="s">
        <v>69</v>
      </c>
      <c r="G3" s="26" t="s">
        <v>99</v>
      </c>
      <c r="H3" s="26" t="s">
        <v>65</v>
      </c>
      <c r="I3" s="26" t="s">
        <v>70</v>
      </c>
      <c r="J3" s="26" t="s">
        <v>67</v>
      </c>
      <c r="K3" s="26" t="s">
        <v>71</v>
      </c>
      <c r="L3" s="26" t="s">
        <v>99</v>
      </c>
      <c r="M3" s="26" t="s">
        <v>64</v>
      </c>
      <c r="N3" s="26" t="s">
        <v>66</v>
      </c>
      <c r="O3" s="26" t="s">
        <v>68</v>
      </c>
      <c r="P3" s="26" t="s">
        <v>69</v>
      </c>
      <c r="Q3" s="26" t="s">
        <v>99</v>
      </c>
      <c r="R3" s="26" t="s">
        <v>65</v>
      </c>
      <c r="S3" s="26" t="s">
        <v>70</v>
      </c>
      <c r="T3" s="26" t="s">
        <v>67</v>
      </c>
      <c r="U3" s="26" t="s">
        <v>71</v>
      </c>
      <c r="V3" s="26" t="s">
        <v>99</v>
      </c>
      <c r="W3" s="26" t="s">
        <v>64</v>
      </c>
      <c r="X3" s="26" t="s">
        <v>66</v>
      </c>
      <c r="Y3" s="26" t="s">
        <v>68</v>
      </c>
      <c r="Z3" s="26" t="s">
        <v>69</v>
      </c>
      <c r="AA3" s="26" t="s">
        <v>99</v>
      </c>
      <c r="AB3" s="26" t="s">
        <v>65</v>
      </c>
      <c r="AC3" s="26" t="s">
        <v>70</v>
      </c>
      <c r="AD3" s="26" t="s">
        <v>67</v>
      </c>
      <c r="AE3" s="26" t="s">
        <v>71</v>
      </c>
      <c r="AF3" s="26" t="s">
        <v>99</v>
      </c>
      <c r="AG3" s="26" t="s">
        <v>64</v>
      </c>
      <c r="AH3" s="26" t="s">
        <v>66</v>
      </c>
      <c r="AI3" s="26" t="s">
        <v>68</v>
      </c>
      <c r="AJ3" s="26" t="s">
        <v>69</v>
      </c>
      <c r="AK3" s="26" t="s">
        <v>99</v>
      </c>
      <c r="AL3" s="26" t="s">
        <v>65</v>
      </c>
      <c r="AM3" s="26" t="s">
        <v>70</v>
      </c>
      <c r="AN3" s="26" t="s">
        <v>67</v>
      </c>
      <c r="AO3" s="26" t="s">
        <v>71</v>
      </c>
      <c r="AP3" s="26" t="s">
        <v>99</v>
      </c>
      <c r="AQ3" s="26" t="s">
        <v>64</v>
      </c>
      <c r="AR3" s="26" t="s">
        <v>66</v>
      </c>
      <c r="AS3" s="26" t="s">
        <v>68</v>
      </c>
      <c r="AT3" s="26" t="s">
        <v>69</v>
      </c>
      <c r="AU3" s="26" t="s">
        <v>99</v>
      </c>
      <c r="AV3" s="26" t="s">
        <v>65</v>
      </c>
      <c r="AW3" s="26" t="s">
        <v>70</v>
      </c>
      <c r="AX3" s="26" t="s">
        <v>67</v>
      </c>
      <c r="AY3" s="26" t="s">
        <v>71</v>
      </c>
      <c r="AZ3" s="26" t="s">
        <v>99</v>
      </c>
      <c r="BA3" s="46"/>
      <c r="BB3" s="46"/>
      <c r="BC3" s="46"/>
      <c r="BD3" s="46"/>
      <c r="BE3" s="46"/>
      <c r="BF3" s="46"/>
      <c r="BG3" s="46"/>
      <c r="BH3" s="46"/>
      <c r="BI3" s="77"/>
      <c r="BJ3" s="78"/>
    </row>
    <row r="4" spans="1:62" x14ac:dyDescent="0.3">
      <c r="A4" s="23">
        <f>DETAILS!A3</f>
        <v>1804</v>
      </c>
      <c r="B4" s="23" t="str">
        <f>DETAILS!B3</f>
        <v>AAKRITI SINGH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VLOOKUP($A4,ANNUAL!$1:$1048576,8,0)</f>
        <v>0</v>
      </c>
      <c r="BB4" s="27" t="str">
        <f>VLOOKUP($A4,ANNUAL!$1:$1048576,9,0)</f>
        <v>E</v>
      </c>
      <c r="BC4" s="27" t="str">
        <f>VLOOKUP($A4,ANNUAL!$1:$1048576,10,0)</f>
        <v>E</v>
      </c>
      <c r="BD4" s="27">
        <f>VLOOKUP($A4,ANNUAL!$1:$1048576,11,0)</f>
        <v>0</v>
      </c>
      <c r="BE4" s="27">
        <f>VLOOKUP($A4,ANNUAL!$1:$1048576,12,0)</f>
        <v>0</v>
      </c>
      <c r="BF4" s="27">
        <f>VLOOKUP($A4,ANNUAL!$1:$1048576,13,0)</f>
        <v>0</v>
      </c>
      <c r="BG4" s="27">
        <f>VLOOKUP($A4,ANNUAL!$1:$1048576,14,0)</f>
        <v>0</v>
      </c>
      <c r="BH4" s="32">
        <f>VLOOKUP($A4,ANNUAL!$1:$1048576,15,0)</f>
        <v>0</v>
      </c>
      <c r="BI4" s="27">
        <f t="shared" ref="BI4:BI42" si="0">SUM(G4,L4,Q4,V4,AA4,AF4,AK4,AP4,AU4,AZ4)</f>
        <v>0</v>
      </c>
      <c r="BJ4" s="27" t="str">
        <f>ROUND(BI4/10,2)&amp;" %"</f>
        <v>0 %</v>
      </c>
    </row>
    <row r="5" spans="1:62" x14ac:dyDescent="0.3">
      <c r="A5" s="23">
        <f>DETAILS!A4</f>
        <v>1571</v>
      </c>
      <c r="B5" s="23" t="str">
        <f>DETAILS!B4</f>
        <v>ABHIJEET PATEL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1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2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3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4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5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6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7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8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9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10">SUM(AV5:AY5)</f>
        <v>0</v>
      </c>
      <c r="BA5" s="27">
        <f>VLOOKUP($A5,ANNUAL!$1:$1048576,8,0)</f>
        <v>0</v>
      </c>
      <c r="BB5" s="27" t="str">
        <f>VLOOKUP($A5,ANNUAL!$1:$1048576,9,0)</f>
        <v>E</v>
      </c>
      <c r="BC5" s="27" t="str">
        <f>VLOOKUP($A5,ANNUAL!$1:$1048576,10,0)</f>
        <v>E</v>
      </c>
      <c r="BD5" s="27">
        <f>VLOOKUP($A5,ANNUAL!$1:$1048576,11,0)</f>
        <v>0</v>
      </c>
      <c r="BE5" s="27">
        <f>VLOOKUP($A5,ANNUAL!$1:$1048576,12,0)</f>
        <v>0</v>
      </c>
      <c r="BF5" s="27">
        <f>VLOOKUP($A5,ANNUAL!$1:$1048576,13,0)</f>
        <v>0</v>
      </c>
      <c r="BG5" s="27">
        <f>VLOOKUP($A5,ANNUAL!$1:$1048576,14,0)</f>
        <v>0</v>
      </c>
      <c r="BH5" s="32">
        <f>VLOOKUP($A5,ANNUAL!$1:$1048576,15,0)</f>
        <v>0</v>
      </c>
      <c r="BI5" s="27">
        <f t="shared" si="0"/>
        <v>0</v>
      </c>
      <c r="BJ5" s="27" t="str">
        <f t="shared" ref="BJ5:BJ42" si="11">ROUND(BI5/10,2)&amp;" %"</f>
        <v>0 %</v>
      </c>
    </row>
    <row r="6" spans="1:62" x14ac:dyDescent="0.3">
      <c r="A6" s="23">
        <f>DETAILS!A5</f>
        <v>1881</v>
      </c>
      <c r="B6" s="23" t="str">
        <f>DETAILS!B5</f>
        <v>ADITI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1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2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3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4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5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6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7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8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9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10"/>
        <v>0</v>
      </c>
      <c r="BA6" s="27">
        <f>VLOOKUP($A6,ANNUAL!$1:$1048576,8,0)</f>
        <v>0</v>
      </c>
      <c r="BB6" s="27" t="str">
        <f>VLOOKUP($A6,ANNUAL!$1:$1048576,9,0)</f>
        <v>E</v>
      </c>
      <c r="BC6" s="27" t="str">
        <f>VLOOKUP($A6,ANNUAL!$1:$1048576,10,0)</f>
        <v>E</v>
      </c>
      <c r="BD6" s="27">
        <f>VLOOKUP($A6,ANNUAL!$1:$1048576,11,0)</f>
        <v>0</v>
      </c>
      <c r="BE6" s="27">
        <f>VLOOKUP($A6,ANNUAL!$1:$1048576,12,0)</f>
        <v>0</v>
      </c>
      <c r="BF6" s="27">
        <f>VLOOKUP($A6,ANNUAL!$1:$1048576,13,0)</f>
        <v>0</v>
      </c>
      <c r="BG6" s="27">
        <f>VLOOKUP($A6,ANNUAL!$1:$1048576,14,0)</f>
        <v>0</v>
      </c>
      <c r="BH6" s="32">
        <f>VLOOKUP($A6,ANNUAL!$1:$1048576,15,0)</f>
        <v>0</v>
      </c>
      <c r="BI6" s="27">
        <f t="shared" si="0"/>
        <v>0</v>
      </c>
      <c r="BJ6" s="27" t="str">
        <f t="shared" si="11"/>
        <v>0 %</v>
      </c>
    </row>
    <row r="7" spans="1:62" x14ac:dyDescent="0.3">
      <c r="A7" s="23">
        <f>DETAILS!A6</f>
        <v>1559</v>
      </c>
      <c r="B7" s="23" t="str">
        <f>DETAILS!B6</f>
        <v>ADITYA VERMA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1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2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3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4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5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6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7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8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9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10"/>
        <v>0</v>
      </c>
      <c r="BA7" s="27">
        <f>VLOOKUP($A7,ANNUAL!$1:$1048576,8,0)</f>
        <v>0</v>
      </c>
      <c r="BB7" s="27" t="str">
        <f>VLOOKUP($A7,ANNUAL!$1:$1048576,9,0)</f>
        <v>E</v>
      </c>
      <c r="BC7" s="27" t="str">
        <f>VLOOKUP($A7,ANNUAL!$1:$1048576,10,0)</f>
        <v>E</v>
      </c>
      <c r="BD7" s="27">
        <f>VLOOKUP($A7,ANNUAL!$1:$1048576,11,0)</f>
        <v>0</v>
      </c>
      <c r="BE7" s="27">
        <f>VLOOKUP($A7,ANNUAL!$1:$1048576,12,0)</f>
        <v>0</v>
      </c>
      <c r="BF7" s="27">
        <f>VLOOKUP($A7,ANNUAL!$1:$1048576,13,0)</f>
        <v>0</v>
      </c>
      <c r="BG7" s="27">
        <f>VLOOKUP($A7,ANNUAL!$1:$1048576,14,0)</f>
        <v>0</v>
      </c>
      <c r="BH7" s="32">
        <f>VLOOKUP($A7,ANNUAL!$1:$1048576,15,0)</f>
        <v>0</v>
      </c>
      <c r="BI7" s="27">
        <f t="shared" si="0"/>
        <v>0</v>
      </c>
      <c r="BJ7" s="27" t="str">
        <f t="shared" si="11"/>
        <v>0 %</v>
      </c>
    </row>
    <row r="8" spans="1:62" x14ac:dyDescent="0.3">
      <c r="A8" s="23">
        <f>DETAILS!A7</f>
        <v>1548</v>
      </c>
      <c r="B8" s="23" t="str">
        <f>DETAILS!B7</f>
        <v>ADVIK BAJPAI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1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2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3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4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5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6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7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8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9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10"/>
        <v>0</v>
      </c>
      <c r="BA8" s="27">
        <f>VLOOKUP($A8,ANNUAL!$1:$1048576,8,0)</f>
        <v>0</v>
      </c>
      <c r="BB8" s="27" t="str">
        <f>VLOOKUP($A8,ANNUAL!$1:$1048576,9,0)</f>
        <v>E</v>
      </c>
      <c r="BC8" s="27" t="str">
        <f>VLOOKUP($A8,ANNUAL!$1:$1048576,10,0)</f>
        <v>E</v>
      </c>
      <c r="BD8" s="27">
        <f>VLOOKUP($A8,ANNUAL!$1:$1048576,11,0)</f>
        <v>0</v>
      </c>
      <c r="BE8" s="27">
        <f>VLOOKUP($A8,ANNUAL!$1:$1048576,12,0)</f>
        <v>0</v>
      </c>
      <c r="BF8" s="27">
        <f>VLOOKUP($A8,ANNUAL!$1:$1048576,13,0)</f>
        <v>0</v>
      </c>
      <c r="BG8" s="27">
        <f>VLOOKUP($A8,ANNUAL!$1:$1048576,14,0)</f>
        <v>0</v>
      </c>
      <c r="BH8" s="32">
        <f>VLOOKUP($A8,ANNUAL!$1:$1048576,15,0)</f>
        <v>0</v>
      </c>
      <c r="BI8" s="27">
        <f t="shared" si="0"/>
        <v>0</v>
      </c>
      <c r="BJ8" s="27" t="str">
        <f t="shared" si="11"/>
        <v>0 %</v>
      </c>
    </row>
    <row r="9" spans="1:62" x14ac:dyDescent="0.3">
      <c r="A9" s="23">
        <f>DETAILS!A8</f>
        <v>1549</v>
      </c>
      <c r="B9" s="23" t="str">
        <f>DETAILS!B8</f>
        <v>AHEM SHARMA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1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2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3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4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5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6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7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8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9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10"/>
        <v>0</v>
      </c>
      <c r="BA9" s="27">
        <f>VLOOKUP($A9,ANNUAL!$1:$1048576,8,0)</f>
        <v>0</v>
      </c>
      <c r="BB9" s="27" t="str">
        <f>VLOOKUP($A9,ANNUAL!$1:$1048576,9,0)</f>
        <v>E</v>
      </c>
      <c r="BC9" s="27" t="str">
        <f>VLOOKUP($A9,ANNUAL!$1:$1048576,10,0)</f>
        <v>E</v>
      </c>
      <c r="BD9" s="27">
        <f>VLOOKUP($A9,ANNUAL!$1:$1048576,11,0)</f>
        <v>0</v>
      </c>
      <c r="BE9" s="27">
        <f>VLOOKUP($A9,ANNUAL!$1:$1048576,12,0)</f>
        <v>0</v>
      </c>
      <c r="BF9" s="27">
        <f>VLOOKUP($A9,ANNUAL!$1:$1048576,13,0)</f>
        <v>0</v>
      </c>
      <c r="BG9" s="27">
        <f>VLOOKUP($A9,ANNUAL!$1:$1048576,14,0)</f>
        <v>0</v>
      </c>
      <c r="BH9" s="32">
        <f>VLOOKUP($A9,ANNUAL!$1:$1048576,15,0)</f>
        <v>0</v>
      </c>
      <c r="BI9" s="27">
        <f t="shared" si="0"/>
        <v>0</v>
      </c>
      <c r="BJ9" s="27" t="str">
        <f t="shared" si="11"/>
        <v>0 %</v>
      </c>
    </row>
    <row r="10" spans="1:62" x14ac:dyDescent="0.3">
      <c r="A10" s="23">
        <f>DETAILS!A9</f>
        <v>1556</v>
      </c>
      <c r="B10" s="23" t="str">
        <f>DETAILS!B9</f>
        <v>AKRATI VISHWAKARMA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1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2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3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4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5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6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7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8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9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10"/>
        <v>0</v>
      </c>
      <c r="BA10" s="27">
        <f>VLOOKUP($A10,ANNUAL!$1:$1048576,8,0)</f>
        <v>0</v>
      </c>
      <c r="BB10" s="27" t="str">
        <f>VLOOKUP($A10,ANNUAL!$1:$1048576,9,0)</f>
        <v>E</v>
      </c>
      <c r="BC10" s="27" t="str">
        <f>VLOOKUP($A10,ANNUAL!$1:$1048576,10,0)</f>
        <v>E</v>
      </c>
      <c r="BD10" s="27">
        <f>VLOOKUP($A10,ANNUAL!$1:$1048576,11,0)</f>
        <v>0</v>
      </c>
      <c r="BE10" s="27">
        <f>VLOOKUP($A10,ANNUAL!$1:$1048576,12,0)</f>
        <v>0</v>
      </c>
      <c r="BF10" s="27">
        <f>VLOOKUP($A10,ANNUAL!$1:$1048576,13,0)</f>
        <v>0</v>
      </c>
      <c r="BG10" s="27">
        <f>VLOOKUP($A10,ANNUAL!$1:$1048576,14,0)</f>
        <v>0</v>
      </c>
      <c r="BH10" s="32">
        <f>VLOOKUP($A10,ANNUAL!$1:$1048576,15,0)</f>
        <v>0</v>
      </c>
      <c r="BI10" s="27">
        <f t="shared" si="0"/>
        <v>0</v>
      </c>
      <c r="BJ10" s="27" t="str">
        <f t="shared" si="11"/>
        <v>0 %</v>
      </c>
    </row>
    <row r="11" spans="1:62" x14ac:dyDescent="0.3">
      <c r="A11" s="23">
        <f>DETAILS!A10</f>
        <v>1915</v>
      </c>
      <c r="B11" s="23" t="str">
        <f>DETAILS!B10</f>
        <v>AKRITI SHUKLA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1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2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3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4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5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6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7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8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9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10"/>
        <v>0</v>
      </c>
      <c r="BA11" s="27">
        <f>VLOOKUP($A11,ANNUAL!$1:$1048576,8,0)</f>
        <v>0</v>
      </c>
      <c r="BB11" s="27" t="str">
        <f>VLOOKUP($A11,ANNUAL!$1:$1048576,9,0)</f>
        <v>E</v>
      </c>
      <c r="BC11" s="27" t="str">
        <f>VLOOKUP($A11,ANNUAL!$1:$1048576,10,0)</f>
        <v>E</v>
      </c>
      <c r="BD11" s="27">
        <f>VLOOKUP($A11,ANNUAL!$1:$1048576,11,0)</f>
        <v>0</v>
      </c>
      <c r="BE11" s="27">
        <f>VLOOKUP($A11,ANNUAL!$1:$1048576,12,0)</f>
        <v>0</v>
      </c>
      <c r="BF11" s="27">
        <f>VLOOKUP($A11,ANNUAL!$1:$1048576,13,0)</f>
        <v>0</v>
      </c>
      <c r="BG11" s="27">
        <f>VLOOKUP($A11,ANNUAL!$1:$1048576,14,0)</f>
        <v>0</v>
      </c>
      <c r="BH11" s="32">
        <f>VLOOKUP($A11,ANNUAL!$1:$1048576,15,0)</f>
        <v>0</v>
      </c>
      <c r="BI11" s="27">
        <f t="shared" si="0"/>
        <v>0</v>
      </c>
      <c r="BJ11" s="27" t="str">
        <f t="shared" si="11"/>
        <v>0 %</v>
      </c>
    </row>
    <row r="12" spans="1:62" x14ac:dyDescent="0.3">
      <c r="A12" s="23">
        <f>DETAILS!A11</f>
        <v>1563</v>
      </c>
      <c r="B12" s="23" t="str">
        <f>DETAILS!B11</f>
        <v>ANANYA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1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2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3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4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5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6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7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8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9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10"/>
        <v>0</v>
      </c>
      <c r="BA12" s="27">
        <f>VLOOKUP($A12,ANNUAL!$1:$1048576,8,0)</f>
        <v>0</v>
      </c>
      <c r="BB12" s="27" t="str">
        <f>VLOOKUP($A12,ANNUAL!$1:$1048576,9,0)</f>
        <v>E</v>
      </c>
      <c r="BC12" s="27" t="str">
        <f>VLOOKUP($A12,ANNUAL!$1:$1048576,10,0)</f>
        <v>E</v>
      </c>
      <c r="BD12" s="27">
        <f>VLOOKUP($A12,ANNUAL!$1:$1048576,11,0)</f>
        <v>0</v>
      </c>
      <c r="BE12" s="27">
        <f>VLOOKUP($A12,ANNUAL!$1:$1048576,12,0)</f>
        <v>0</v>
      </c>
      <c r="BF12" s="27">
        <f>VLOOKUP($A12,ANNUAL!$1:$1048576,13,0)</f>
        <v>0</v>
      </c>
      <c r="BG12" s="27">
        <f>VLOOKUP($A12,ANNUAL!$1:$1048576,14,0)</f>
        <v>0</v>
      </c>
      <c r="BH12" s="32">
        <f>VLOOKUP($A12,ANNUAL!$1:$1048576,15,0)</f>
        <v>0</v>
      </c>
      <c r="BI12" s="27">
        <f t="shared" si="0"/>
        <v>0</v>
      </c>
      <c r="BJ12" s="27" t="str">
        <f t="shared" si="11"/>
        <v>0 %</v>
      </c>
    </row>
    <row r="13" spans="1:62" x14ac:dyDescent="0.3">
      <c r="A13" s="23">
        <f>DETAILS!A12</f>
        <v>1562</v>
      </c>
      <c r="B13" s="23" t="str">
        <f>DETAILS!B12</f>
        <v>ANKITA RAJPOOT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1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2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3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4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5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6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7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8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9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10"/>
        <v>0</v>
      </c>
      <c r="BA13" s="27">
        <f>VLOOKUP($A13,ANNUAL!$1:$1048576,8,0)</f>
        <v>0</v>
      </c>
      <c r="BB13" s="27" t="str">
        <f>VLOOKUP($A13,ANNUAL!$1:$1048576,9,0)</f>
        <v>E</v>
      </c>
      <c r="BC13" s="27" t="str">
        <f>VLOOKUP($A13,ANNUAL!$1:$1048576,10,0)</f>
        <v>E</v>
      </c>
      <c r="BD13" s="27">
        <f>VLOOKUP($A13,ANNUAL!$1:$1048576,11,0)</f>
        <v>0</v>
      </c>
      <c r="BE13" s="27">
        <f>VLOOKUP($A13,ANNUAL!$1:$1048576,12,0)</f>
        <v>0</v>
      </c>
      <c r="BF13" s="27">
        <f>VLOOKUP($A13,ANNUAL!$1:$1048576,13,0)</f>
        <v>0</v>
      </c>
      <c r="BG13" s="27">
        <f>VLOOKUP($A13,ANNUAL!$1:$1048576,14,0)</f>
        <v>0</v>
      </c>
      <c r="BH13" s="32">
        <f>VLOOKUP($A13,ANNUAL!$1:$1048576,15,0)</f>
        <v>0</v>
      </c>
      <c r="BI13" s="27">
        <f t="shared" si="0"/>
        <v>0</v>
      </c>
      <c r="BJ13" s="27" t="str">
        <f t="shared" si="11"/>
        <v>0 %</v>
      </c>
    </row>
    <row r="14" spans="1:62" x14ac:dyDescent="0.3">
      <c r="A14" s="23">
        <f>DETAILS!A13</f>
        <v>1547</v>
      </c>
      <c r="B14" s="23" t="str">
        <f>DETAILS!B13</f>
        <v>ANSHIKA PANDEY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1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2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3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4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5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6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7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8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9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10"/>
        <v>0</v>
      </c>
      <c r="BA14" s="27">
        <f>VLOOKUP($A14,ANNUAL!$1:$1048576,8,0)</f>
        <v>0</v>
      </c>
      <c r="BB14" s="27" t="str">
        <f>VLOOKUP($A14,ANNUAL!$1:$1048576,9,0)</f>
        <v>E</v>
      </c>
      <c r="BC14" s="27" t="str">
        <f>VLOOKUP($A14,ANNUAL!$1:$1048576,10,0)</f>
        <v>E</v>
      </c>
      <c r="BD14" s="27">
        <f>VLOOKUP($A14,ANNUAL!$1:$1048576,11,0)</f>
        <v>0</v>
      </c>
      <c r="BE14" s="27">
        <f>VLOOKUP($A14,ANNUAL!$1:$1048576,12,0)</f>
        <v>0</v>
      </c>
      <c r="BF14" s="27">
        <f>VLOOKUP($A14,ANNUAL!$1:$1048576,13,0)</f>
        <v>0</v>
      </c>
      <c r="BG14" s="27">
        <f>VLOOKUP($A14,ANNUAL!$1:$1048576,14,0)</f>
        <v>0</v>
      </c>
      <c r="BH14" s="32">
        <f>VLOOKUP($A14,ANNUAL!$1:$1048576,15,0)</f>
        <v>0</v>
      </c>
      <c r="BI14" s="27">
        <f t="shared" si="0"/>
        <v>0</v>
      </c>
      <c r="BJ14" s="27" t="str">
        <f t="shared" si="11"/>
        <v>0 %</v>
      </c>
    </row>
    <row r="15" spans="1:62" x14ac:dyDescent="0.3">
      <c r="A15" s="23">
        <f>DETAILS!A14</f>
        <v>1644</v>
      </c>
      <c r="B15" s="23" t="str">
        <f>DETAILS!B14</f>
        <v>ARADHYA SINGH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1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2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3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4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5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6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7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8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9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10"/>
        <v>0</v>
      </c>
      <c r="BA15" s="27">
        <f>VLOOKUP($A15,ANNUAL!$1:$1048576,8,0)</f>
        <v>0</v>
      </c>
      <c r="BB15" s="27" t="str">
        <f>VLOOKUP($A15,ANNUAL!$1:$1048576,9,0)</f>
        <v>E</v>
      </c>
      <c r="BC15" s="27" t="str">
        <f>VLOOKUP($A15,ANNUAL!$1:$1048576,10,0)</f>
        <v>E</v>
      </c>
      <c r="BD15" s="27">
        <f>VLOOKUP($A15,ANNUAL!$1:$1048576,11,0)</f>
        <v>0</v>
      </c>
      <c r="BE15" s="27">
        <f>VLOOKUP($A15,ANNUAL!$1:$1048576,12,0)</f>
        <v>0</v>
      </c>
      <c r="BF15" s="27">
        <f>VLOOKUP($A15,ANNUAL!$1:$1048576,13,0)</f>
        <v>0</v>
      </c>
      <c r="BG15" s="27">
        <f>VLOOKUP($A15,ANNUAL!$1:$1048576,14,0)</f>
        <v>0</v>
      </c>
      <c r="BH15" s="32">
        <f>VLOOKUP($A15,ANNUAL!$1:$1048576,15,0)</f>
        <v>0</v>
      </c>
      <c r="BI15" s="27">
        <f t="shared" si="0"/>
        <v>0</v>
      </c>
      <c r="BJ15" s="27" t="str">
        <f t="shared" si="11"/>
        <v>0 %</v>
      </c>
    </row>
    <row r="16" spans="1:62" x14ac:dyDescent="0.3">
      <c r="A16" s="23">
        <f>DETAILS!A15</f>
        <v>1566</v>
      </c>
      <c r="B16" s="23" t="str">
        <f>DETAILS!B15</f>
        <v>ARIYAN PAL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1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2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3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4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5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6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7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8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9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10"/>
        <v>0</v>
      </c>
      <c r="BA16" s="27">
        <f>VLOOKUP($A16,ANNUAL!$1:$1048576,8,0)</f>
        <v>0</v>
      </c>
      <c r="BB16" s="27" t="str">
        <f>VLOOKUP($A16,ANNUAL!$1:$1048576,9,0)</f>
        <v>E</v>
      </c>
      <c r="BC16" s="27" t="str">
        <f>VLOOKUP($A16,ANNUAL!$1:$1048576,10,0)</f>
        <v>E</v>
      </c>
      <c r="BD16" s="27">
        <f>VLOOKUP($A16,ANNUAL!$1:$1048576,11,0)</f>
        <v>0</v>
      </c>
      <c r="BE16" s="27">
        <f>VLOOKUP($A16,ANNUAL!$1:$1048576,12,0)</f>
        <v>0</v>
      </c>
      <c r="BF16" s="27">
        <f>VLOOKUP($A16,ANNUAL!$1:$1048576,13,0)</f>
        <v>0</v>
      </c>
      <c r="BG16" s="27">
        <f>VLOOKUP($A16,ANNUAL!$1:$1048576,14,0)</f>
        <v>0</v>
      </c>
      <c r="BH16" s="32">
        <f>VLOOKUP($A16,ANNUAL!$1:$1048576,15,0)</f>
        <v>0</v>
      </c>
      <c r="BI16" s="27">
        <f t="shared" si="0"/>
        <v>0</v>
      </c>
      <c r="BJ16" s="27" t="str">
        <f t="shared" si="11"/>
        <v>0 %</v>
      </c>
    </row>
    <row r="17" spans="1:62" x14ac:dyDescent="0.3">
      <c r="A17" s="23">
        <f>DETAILS!A16</f>
        <v>1878</v>
      </c>
      <c r="B17" s="23" t="str">
        <f>DETAILS!B16</f>
        <v>AROHI VERMA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1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2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3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4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5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6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7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8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9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10"/>
        <v>0</v>
      </c>
      <c r="BA17" s="27">
        <f>VLOOKUP($A17,ANNUAL!$1:$1048576,8,0)</f>
        <v>0</v>
      </c>
      <c r="BB17" s="27" t="str">
        <f>VLOOKUP($A17,ANNUAL!$1:$1048576,9,0)</f>
        <v>E</v>
      </c>
      <c r="BC17" s="27" t="str">
        <f>VLOOKUP($A17,ANNUAL!$1:$1048576,10,0)</f>
        <v>E</v>
      </c>
      <c r="BD17" s="27">
        <f>VLOOKUP($A17,ANNUAL!$1:$1048576,11,0)</f>
        <v>0</v>
      </c>
      <c r="BE17" s="27">
        <f>VLOOKUP($A17,ANNUAL!$1:$1048576,12,0)</f>
        <v>0</v>
      </c>
      <c r="BF17" s="27">
        <f>VLOOKUP($A17,ANNUAL!$1:$1048576,13,0)</f>
        <v>0</v>
      </c>
      <c r="BG17" s="27">
        <f>VLOOKUP($A17,ANNUAL!$1:$1048576,14,0)</f>
        <v>0</v>
      </c>
      <c r="BH17" s="32">
        <f>VLOOKUP($A17,ANNUAL!$1:$1048576,15,0)</f>
        <v>0</v>
      </c>
      <c r="BI17" s="27">
        <f t="shared" si="0"/>
        <v>0</v>
      </c>
      <c r="BJ17" s="27" t="str">
        <f t="shared" si="11"/>
        <v>0 %</v>
      </c>
    </row>
    <row r="18" spans="1:62" x14ac:dyDescent="0.3">
      <c r="A18" s="23">
        <f>DETAILS!A17</f>
        <v>1809</v>
      </c>
      <c r="B18" s="23" t="str">
        <f>DETAILS!B17</f>
        <v>ARUNENDRA PRATAP SINGH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1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2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3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4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5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6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7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8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9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10"/>
        <v>0</v>
      </c>
      <c r="BA18" s="27">
        <f>VLOOKUP($A18,ANNUAL!$1:$1048576,8,0)</f>
        <v>0</v>
      </c>
      <c r="BB18" s="27" t="str">
        <f>VLOOKUP($A18,ANNUAL!$1:$1048576,9,0)</f>
        <v>E</v>
      </c>
      <c r="BC18" s="27" t="str">
        <f>VLOOKUP($A18,ANNUAL!$1:$1048576,10,0)</f>
        <v>E</v>
      </c>
      <c r="BD18" s="27">
        <f>VLOOKUP($A18,ANNUAL!$1:$1048576,11,0)</f>
        <v>0</v>
      </c>
      <c r="BE18" s="27">
        <f>VLOOKUP($A18,ANNUAL!$1:$1048576,12,0)</f>
        <v>0</v>
      </c>
      <c r="BF18" s="27">
        <f>VLOOKUP($A18,ANNUAL!$1:$1048576,13,0)</f>
        <v>0</v>
      </c>
      <c r="BG18" s="27">
        <f>VLOOKUP($A18,ANNUAL!$1:$1048576,14,0)</f>
        <v>0</v>
      </c>
      <c r="BH18" s="32">
        <f>VLOOKUP($A18,ANNUAL!$1:$1048576,15,0)</f>
        <v>0</v>
      </c>
      <c r="BI18" s="27">
        <f t="shared" si="0"/>
        <v>0</v>
      </c>
      <c r="BJ18" s="27" t="str">
        <f t="shared" si="11"/>
        <v>0 %</v>
      </c>
    </row>
    <row r="19" spans="1:62" x14ac:dyDescent="0.3">
      <c r="A19" s="23">
        <f>DETAILS!A18</f>
        <v>1920</v>
      </c>
      <c r="B19" s="23" t="str">
        <f>DETAILS!B18</f>
        <v>ATHARV SINGH CHAUHAN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1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2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3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4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5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6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7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8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9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10"/>
        <v>0</v>
      </c>
      <c r="BA19" s="27">
        <f>VLOOKUP($A19,ANNUAL!$1:$1048576,8,0)</f>
        <v>0</v>
      </c>
      <c r="BB19" s="27" t="str">
        <f>VLOOKUP($A19,ANNUAL!$1:$1048576,9,0)</f>
        <v>E</v>
      </c>
      <c r="BC19" s="27" t="str">
        <f>VLOOKUP($A19,ANNUAL!$1:$1048576,10,0)</f>
        <v>E</v>
      </c>
      <c r="BD19" s="27">
        <f>VLOOKUP($A19,ANNUAL!$1:$1048576,11,0)</f>
        <v>0</v>
      </c>
      <c r="BE19" s="27">
        <f>VLOOKUP($A19,ANNUAL!$1:$1048576,12,0)</f>
        <v>0</v>
      </c>
      <c r="BF19" s="27">
        <f>VLOOKUP($A19,ANNUAL!$1:$1048576,13,0)</f>
        <v>0</v>
      </c>
      <c r="BG19" s="27">
        <f>VLOOKUP($A19,ANNUAL!$1:$1048576,14,0)</f>
        <v>0</v>
      </c>
      <c r="BH19" s="32">
        <f>VLOOKUP($A19,ANNUAL!$1:$1048576,15,0)</f>
        <v>0</v>
      </c>
      <c r="BI19" s="27">
        <f t="shared" si="0"/>
        <v>0</v>
      </c>
      <c r="BJ19" s="27" t="str">
        <f t="shared" si="11"/>
        <v>0 %</v>
      </c>
    </row>
    <row r="20" spans="1:62" x14ac:dyDescent="0.3">
      <c r="A20" s="23">
        <f>DETAILS!A19</f>
        <v>1569</v>
      </c>
      <c r="B20" s="23" t="str">
        <f>DETAILS!B19</f>
        <v>AVNI VERMA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1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2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3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4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5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6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7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8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9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10"/>
        <v>0</v>
      </c>
      <c r="BA20" s="27">
        <f>VLOOKUP($A20,ANNUAL!$1:$1048576,8,0)</f>
        <v>0</v>
      </c>
      <c r="BB20" s="27" t="str">
        <f>VLOOKUP($A20,ANNUAL!$1:$1048576,9,0)</f>
        <v>E</v>
      </c>
      <c r="BC20" s="27" t="str">
        <f>VLOOKUP($A20,ANNUAL!$1:$1048576,10,0)</f>
        <v>E</v>
      </c>
      <c r="BD20" s="27">
        <f>VLOOKUP($A20,ANNUAL!$1:$1048576,11,0)</f>
        <v>0</v>
      </c>
      <c r="BE20" s="27">
        <f>VLOOKUP($A20,ANNUAL!$1:$1048576,12,0)</f>
        <v>0</v>
      </c>
      <c r="BF20" s="27">
        <f>VLOOKUP($A20,ANNUAL!$1:$1048576,13,0)</f>
        <v>0</v>
      </c>
      <c r="BG20" s="27">
        <f>VLOOKUP($A20,ANNUAL!$1:$1048576,14,0)</f>
        <v>0</v>
      </c>
      <c r="BH20" s="32">
        <f>VLOOKUP($A20,ANNUAL!$1:$1048576,15,0)</f>
        <v>0</v>
      </c>
      <c r="BI20" s="27">
        <f t="shared" si="0"/>
        <v>0</v>
      </c>
      <c r="BJ20" s="27" t="str">
        <f t="shared" si="11"/>
        <v>0 %</v>
      </c>
    </row>
    <row r="21" spans="1:62" x14ac:dyDescent="0.3">
      <c r="A21" s="23">
        <f>DETAILS!A20</f>
        <v>1789</v>
      </c>
      <c r="B21" s="23" t="str">
        <f>DETAILS!B20</f>
        <v>AYUSHI YADAV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1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2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3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4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5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6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7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8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9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10"/>
        <v>0</v>
      </c>
      <c r="BA21" s="27">
        <f>VLOOKUP($A21,ANNUAL!$1:$1048576,8,0)</f>
        <v>0</v>
      </c>
      <c r="BB21" s="27" t="str">
        <f>VLOOKUP($A21,ANNUAL!$1:$1048576,9,0)</f>
        <v>E</v>
      </c>
      <c r="BC21" s="27" t="str">
        <f>VLOOKUP($A21,ANNUAL!$1:$1048576,10,0)</f>
        <v>E</v>
      </c>
      <c r="BD21" s="27">
        <f>VLOOKUP($A21,ANNUAL!$1:$1048576,11,0)</f>
        <v>0</v>
      </c>
      <c r="BE21" s="27">
        <f>VLOOKUP($A21,ANNUAL!$1:$1048576,12,0)</f>
        <v>0</v>
      </c>
      <c r="BF21" s="27">
        <f>VLOOKUP($A21,ANNUAL!$1:$1048576,13,0)</f>
        <v>0</v>
      </c>
      <c r="BG21" s="27">
        <f>VLOOKUP($A21,ANNUAL!$1:$1048576,14,0)</f>
        <v>0</v>
      </c>
      <c r="BH21" s="32">
        <f>VLOOKUP($A21,ANNUAL!$1:$1048576,15,0)</f>
        <v>0</v>
      </c>
      <c r="BI21" s="27">
        <f t="shared" si="0"/>
        <v>0</v>
      </c>
      <c r="BJ21" s="27" t="str">
        <f t="shared" si="11"/>
        <v>0 %</v>
      </c>
    </row>
    <row r="22" spans="1:62" x14ac:dyDescent="0.3">
      <c r="A22" s="23">
        <f>DETAILS!A21</f>
        <v>1673</v>
      </c>
      <c r="B22" s="23" t="str">
        <f>DETAILS!B21</f>
        <v>DEVANSH SINGH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1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2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3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4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5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6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7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8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9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10"/>
        <v>0</v>
      </c>
      <c r="BA22" s="27">
        <f>VLOOKUP($A22,ANNUAL!$1:$1048576,8,0)</f>
        <v>0</v>
      </c>
      <c r="BB22" s="27" t="str">
        <f>VLOOKUP($A22,ANNUAL!$1:$1048576,9,0)</f>
        <v>E</v>
      </c>
      <c r="BC22" s="27" t="str">
        <f>VLOOKUP($A22,ANNUAL!$1:$1048576,10,0)</f>
        <v>E</v>
      </c>
      <c r="BD22" s="27">
        <f>VLOOKUP($A22,ANNUAL!$1:$1048576,11,0)</f>
        <v>0</v>
      </c>
      <c r="BE22" s="27">
        <f>VLOOKUP($A22,ANNUAL!$1:$1048576,12,0)</f>
        <v>0</v>
      </c>
      <c r="BF22" s="27">
        <f>VLOOKUP($A22,ANNUAL!$1:$1048576,13,0)</f>
        <v>0</v>
      </c>
      <c r="BG22" s="27">
        <f>VLOOKUP($A22,ANNUAL!$1:$1048576,14,0)</f>
        <v>0</v>
      </c>
      <c r="BH22" s="32">
        <f>VLOOKUP($A22,ANNUAL!$1:$1048576,15,0)</f>
        <v>0</v>
      </c>
      <c r="BI22" s="27">
        <f t="shared" si="0"/>
        <v>0</v>
      </c>
      <c r="BJ22" s="27" t="str">
        <f t="shared" si="11"/>
        <v>0 %</v>
      </c>
    </row>
    <row r="23" spans="1:62" x14ac:dyDescent="0.3">
      <c r="A23" s="23">
        <f>DETAILS!A22</f>
        <v>1649</v>
      </c>
      <c r="B23" s="23" t="str">
        <f>DETAILS!B22</f>
        <v>DEVISHA TIWARI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1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2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3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4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5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6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7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8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9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10"/>
        <v>0</v>
      </c>
      <c r="BA23" s="27">
        <f>VLOOKUP($A23,ANNUAL!$1:$1048576,8,0)</f>
        <v>0</v>
      </c>
      <c r="BB23" s="27" t="str">
        <f>VLOOKUP($A23,ANNUAL!$1:$1048576,9,0)</f>
        <v>E</v>
      </c>
      <c r="BC23" s="27" t="str">
        <f>VLOOKUP($A23,ANNUAL!$1:$1048576,10,0)</f>
        <v>E</v>
      </c>
      <c r="BD23" s="27">
        <f>VLOOKUP($A23,ANNUAL!$1:$1048576,11,0)</f>
        <v>0</v>
      </c>
      <c r="BE23" s="27">
        <f>VLOOKUP($A23,ANNUAL!$1:$1048576,12,0)</f>
        <v>0</v>
      </c>
      <c r="BF23" s="27">
        <f>VLOOKUP($A23,ANNUAL!$1:$1048576,13,0)</f>
        <v>0</v>
      </c>
      <c r="BG23" s="27">
        <f>VLOOKUP($A23,ANNUAL!$1:$1048576,14,0)</f>
        <v>0</v>
      </c>
      <c r="BH23" s="32">
        <f>VLOOKUP($A23,ANNUAL!$1:$1048576,15,0)</f>
        <v>0</v>
      </c>
      <c r="BI23" s="27">
        <f t="shared" si="0"/>
        <v>0</v>
      </c>
      <c r="BJ23" s="27" t="str">
        <f t="shared" si="11"/>
        <v>0 %</v>
      </c>
    </row>
    <row r="24" spans="1:62" x14ac:dyDescent="0.3">
      <c r="A24" s="23">
        <f>DETAILS!A23</f>
        <v>1791</v>
      </c>
      <c r="B24" s="23" t="str">
        <f>DETAILS!B23</f>
        <v>DIPANSH SRIVASTAVA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1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2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3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4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5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6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7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8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9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10"/>
        <v>0</v>
      </c>
      <c r="BA24" s="27">
        <f>VLOOKUP($A24,ANNUAL!$1:$1048576,8,0)</f>
        <v>0</v>
      </c>
      <c r="BB24" s="27" t="str">
        <f>VLOOKUP($A24,ANNUAL!$1:$1048576,9,0)</f>
        <v>E</v>
      </c>
      <c r="BC24" s="27" t="str">
        <f>VLOOKUP($A24,ANNUAL!$1:$1048576,10,0)</f>
        <v>E</v>
      </c>
      <c r="BD24" s="27">
        <f>VLOOKUP($A24,ANNUAL!$1:$1048576,11,0)</f>
        <v>0</v>
      </c>
      <c r="BE24" s="27">
        <f>VLOOKUP($A24,ANNUAL!$1:$1048576,12,0)</f>
        <v>0</v>
      </c>
      <c r="BF24" s="27">
        <f>VLOOKUP($A24,ANNUAL!$1:$1048576,13,0)</f>
        <v>0</v>
      </c>
      <c r="BG24" s="27">
        <f>VLOOKUP($A24,ANNUAL!$1:$1048576,14,0)</f>
        <v>0</v>
      </c>
      <c r="BH24" s="32">
        <f>VLOOKUP($A24,ANNUAL!$1:$1048576,15,0)</f>
        <v>0</v>
      </c>
      <c r="BI24" s="27">
        <f t="shared" si="0"/>
        <v>0</v>
      </c>
      <c r="BJ24" s="27" t="str">
        <f t="shared" si="11"/>
        <v>0 %</v>
      </c>
    </row>
    <row r="25" spans="1:62" x14ac:dyDescent="0.3">
      <c r="A25" s="23">
        <f>DETAILS!A24</f>
        <v>1564</v>
      </c>
      <c r="B25" s="23" t="str">
        <f>DETAILS!B24</f>
        <v>GAURAV YADAV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1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2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3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4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5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6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7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8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9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10"/>
        <v>0</v>
      </c>
      <c r="BA25" s="27">
        <f>VLOOKUP($A25,ANNUAL!$1:$1048576,8,0)</f>
        <v>0</v>
      </c>
      <c r="BB25" s="27" t="str">
        <f>VLOOKUP($A25,ANNUAL!$1:$1048576,9,0)</f>
        <v>E</v>
      </c>
      <c r="BC25" s="27" t="str">
        <f>VLOOKUP($A25,ANNUAL!$1:$1048576,10,0)</f>
        <v>E</v>
      </c>
      <c r="BD25" s="27">
        <f>VLOOKUP($A25,ANNUAL!$1:$1048576,11,0)</f>
        <v>0</v>
      </c>
      <c r="BE25" s="27">
        <f>VLOOKUP($A25,ANNUAL!$1:$1048576,12,0)</f>
        <v>0</v>
      </c>
      <c r="BF25" s="27">
        <f>VLOOKUP($A25,ANNUAL!$1:$1048576,13,0)</f>
        <v>0</v>
      </c>
      <c r="BG25" s="27">
        <f>VLOOKUP($A25,ANNUAL!$1:$1048576,14,0)</f>
        <v>0</v>
      </c>
      <c r="BH25" s="32">
        <f>VLOOKUP($A25,ANNUAL!$1:$1048576,15,0)</f>
        <v>0</v>
      </c>
      <c r="BI25" s="27">
        <f t="shared" si="0"/>
        <v>0</v>
      </c>
      <c r="BJ25" s="27" t="str">
        <f t="shared" si="11"/>
        <v>0 %</v>
      </c>
    </row>
    <row r="26" spans="1:62" x14ac:dyDescent="0.3">
      <c r="A26" s="23">
        <f>DETAILS!A25</f>
        <v>1573</v>
      </c>
      <c r="B26" s="23" t="str">
        <f>DETAILS!B25</f>
        <v>HARIOM MISHRA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1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2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3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4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5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6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7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8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9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10"/>
        <v>0</v>
      </c>
      <c r="BA26" s="27">
        <f>VLOOKUP($A26,ANNUAL!$1:$1048576,8,0)</f>
        <v>0</v>
      </c>
      <c r="BB26" s="27" t="str">
        <f>VLOOKUP($A26,ANNUAL!$1:$1048576,9,0)</f>
        <v>E</v>
      </c>
      <c r="BC26" s="27" t="str">
        <f>VLOOKUP($A26,ANNUAL!$1:$1048576,10,0)</f>
        <v>E</v>
      </c>
      <c r="BD26" s="27">
        <f>VLOOKUP($A26,ANNUAL!$1:$1048576,11,0)</f>
        <v>0</v>
      </c>
      <c r="BE26" s="27">
        <f>VLOOKUP($A26,ANNUAL!$1:$1048576,12,0)</f>
        <v>0</v>
      </c>
      <c r="BF26" s="27">
        <f>VLOOKUP($A26,ANNUAL!$1:$1048576,13,0)</f>
        <v>0</v>
      </c>
      <c r="BG26" s="27">
        <f>VLOOKUP($A26,ANNUAL!$1:$1048576,14,0)</f>
        <v>0</v>
      </c>
      <c r="BH26" s="32">
        <f>VLOOKUP($A26,ANNUAL!$1:$1048576,15,0)</f>
        <v>0</v>
      </c>
      <c r="BI26" s="27">
        <f t="shared" si="0"/>
        <v>0</v>
      </c>
      <c r="BJ26" s="27" t="str">
        <f t="shared" si="11"/>
        <v>0 %</v>
      </c>
    </row>
    <row r="27" spans="1:62" x14ac:dyDescent="0.3">
      <c r="A27" s="23">
        <f>DETAILS!A26</f>
        <v>1561</v>
      </c>
      <c r="B27" s="23" t="str">
        <f>DETAILS!B26</f>
        <v>HARSHITA MEENA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1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2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3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4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5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6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7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8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9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10"/>
        <v>0</v>
      </c>
      <c r="BA27" s="27">
        <f>VLOOKUP($A27,ANNUAL!$1:$1048576,8,0)</f>
        <v>0</v>
      </c>
      <c r="BB27" s="27" t="str">
        <f>VLOOKUP($A27,ANNUAL!$1:$1048576,9,0)</f>
        <v>E</v>
      </c>
      <c r="BC27" s="27" t="str">
        <f>VLOOKUP($A27,ANNUAL!$1:$1048576,10,0)</f>
        <v>E</v>
      </c>
      <c r="BD27" s="27">
        <f>VLOOKUP($A27,ANNUAL!$1:$1048576,11,0)</f>
        <v>0</v>
      </c>
      <c r="BE27" s="27">
        <f>VLOOKUP($A27,ANNUAL!$1:$1048576,12,0)</f>
        <v>0</v>
      </c>
      <c r="BF27" s="27">
        <f>VLOOKUP($A27,ANNUAL!$1:$1048576,13,0)</f>
        <v>0</v>
      </c>
      <c r="BG27" s="27">
        <f>VLOOKUP($A27,ANNUAL!$1:$1048576,14,0)</f>
        <v>0</v>
      </c>
      <c r="BH27" s="32">
        <f>VLOOKUP($A27,ANNUAL!$1:$1048576,15,0)</f>
        <v>0</v>
      </c>
      <c r="BI27" s="27">
        <f t="shared" si="0"/>
        <v>0</v>
      </c>
      <c r="BJ27" s="27" t="str">
        <f t="shared" si="11"/>
        <v>0 %</v>
      </c>
    </row>
    <row r="28" spans="1:62" x14ac:dyDescent="0.3">
      <c r="A28" s="23">
        <f>DETAILS!A27</f>
        <v>1565</v>
      </c>
      <c r="B28" s="23" t="str">
        <f>DETAILS!B27</f>
        <v>JANVI SINGH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1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2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3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4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5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6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7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8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9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10"/>
        <v>0</v>
      </c>
      <c r="BA28" s="27">
        <f>VLOOKUP($A28,ANNUAL!$1:$1048576,8,0)</f>
        <v>0</v>
      </c>
      <c r="BB28" s="27" t="str">
        <f>VLOOKUP($A28,ANNUAL!$1:$1048576,9,0)</f>
        <v>E</v>
      </c>
      <c r="BC28" s="27" t="str">
        <f>VLOOKUP($A28,ANNUAL!$1:$1048576,10,0)</f>
        <v>E</v>
      </c>
      <c r="BD28" s="27">
        <f>VLOOKUP($A28,ANNUAL!$1:$1048576,11,0)</f>
        <v>0</v>
      </c>
      <c r="BE28" s="27">
        <f>VLOOKUP($A28,ANNUAL!$1:$1048576,12,0)</f>
        <v>0</v>
      </c>
      <c r="BF28" s="27">
        <f>VLOOKUP($A28,ANNUAL!$1:$1048576,13,0)</f>
        <v>0</v>
      </c>
      <c r="BG28" s="27">
        <f>VLOOKUP($A28,ANNUAL!$1:$1048576,14,0)</f>
        <v>0</v>
      </c>
      <c r="BH28" s="32">
        <f>VLOOKUP($A28,ANNUAL!$1:$1048576,15,0)</f>
        <v>0</v>
      </c>
      <c r="BI28" s="27">
        <f t="shared" si="0"/>
        <v>0</v>
      </c>
      <c r="BJ28" s="27" t="str">
        <f t="shared" si="11"/>
        <v>0 %</v>
      </c>
    </row>
    <row r="29" spans="1:62" x14ac:dyDescent="0.3">
      <c r="A29" s="23">
        <f>DETAILS!A28</f>
        <v>1870</v>
      </c>
      <c r="B29" s="23" t="str">
        <f>DETAILS!B28</f>
        <v>JANVI SINGH SENGAR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1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2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3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4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5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6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7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8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9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10"/>
        <v>0</v>
      </c>
      <c r="BA29" s="27">
        <f>VLOOKUP($A29,ANNUAL!$1:$1048576,8,0)</f>
        <v>0</v>
      </c>
      <c r="BB29" s="27" t="str">
        <f>VLOOKUP($A29,ANNUAL!$1:$1048576,9,0)</f>
        <v>E</v>
      </c>
      <c r="BC29" s="27" t="str">
        <f>VLOOKUP($A29,ANNUAL!$1:$1048576,10,0)</f>
        <v>E</v>
      </c>
      <c r="BD29" s="27">
        <f>VLOOKUP($A29,ANNUAL!$1:$1048576,11,0)</f>
        <v>0</v>
      </c>
      <c r="BE29" s="27">
        <f>VLOOKUP($A29,ANNUAL!$1:$1048576,12,0)</f>
        <v>0</v>
      </c>
      <c r="BF29" s="27">
        <f>VLOOKUP($A29,ANNUAL!$1:$1048576,13,0)</f>
        <v>0</v>
      </c>
      <c r="BG29" s="27">
        <f>VLOOKUP($A29,ANNUAL!$1:$1048576,14,0)</f>
        <v>0</v>
      </c>
      <c r="BH29" s="32">
        <f>VLOOKUP($A29,ANNUAL!$1:$1048576,15,0)</f>
        <v>0</v>
      </c>
      <c r="BI29" s="27">
        <f t="shared" si="0"/>
        <v>0</v>
      </c>
      <c r="BJ29" s="27" t="str">
        <f t="shared" si="11"/>
        <v>0 %</v>
      </c>
    </row>
    <row r="30" spans="1:62" x14ac:dyDescent="0.3">
      <c r="A30" s="23">
        <f>DETAILS!A29</f>
        <v>1657</v>
      </c>
      <c r="B30" s="23" t="str">
        <f>DETAILS!B29</f>
        <v>KARNIKA VERMA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1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2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3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4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5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6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7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8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9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10"/>
        <v>0</v>
      </c>
      <c r="BA30" s="27">
        <f>VLOOKUP($A30,ANNUAL!$1:$1048576,8,0)</f>
        <v>0</v>
      </c>
      <c r="BB30" s="27" t="str">
        <f>VLOOKUP($A30,ANNUAL!$1:$1048576,9,0)</f>
        <v>E</v>
      </c>
      <c r="BC30" s="27" t="str">
        <f>VLOOKUP($A30,ANNUAL!$1:$1048576,10,0)</f>
        <v>E</v>
      </c>
      <c r="BD30" s="27">
        <f>VLOOKUP($A30,ANNUAL!$1:$1048576,11,0)</f>
        <v>0</v>
      </c>
      <c r="BE30" s="27">
        <f>VLOOKUP($A30,ANNUAL!$1:$1048576,12,0)</f>
        <v>0</v>
      </c>
      <c r="BF30" s="27">
        <f>VLOOKUP($A30,ANNUAL!$1:$1048576,13,0)</f>
        <v>0</v>
      </c>
      <c r="BG30" s="27">
        <f>VLOOKUP($A30,ANNUAL!$1:$1048576,14,0)</f>
        <v>0</v>
      </c>
      <c r="BH30" s="32">
        <f>VLOOKUP($A30,ANNUAL!$1:$1048576,15,0)</f>
        <v>0</v>
      </c>
      <c r="BI30" s="27">
        <f t="shared" si="0"/>
        <v>0</v>
      </c>
      <c r="BJ30" s="27" t="str">
        <f t="shared" si="11"/>
        <v>0 %</v>
      </c>
    </row>
    <row r="31" spans="1:62" x14ac:dyDescent="0.3">
      <c r="A31" s="23">
        <f>DETAILS!A30</f>
        <v>1558</v>
      </c>
      <c r="B31" s="23" t="str">
        <f>DETAILS!B30</f>
        <v>KAVYA TIWARI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1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2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3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4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5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6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7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8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9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10"/>
        <v>0</v>
      </c>
      <c r="BA31" s="27">
        <f>VLOOKUP($A31,ANNUAL!$1:$1048576,8,0)</f>
        <v>0</v>
      </c>
      <c r="BB31" s="27" t="str">
        <f>VLOOKUP($A31,ANNUAL!$1:$1048576,9,0)</f>
        <v>E</v>
      </c>
      <c r="BC31" s="27" t="str">
        <f>VLOOKUP($A31,ANNUAL!$1:$1048576,10,0)</f>
        <v>E</v>
      </c>
      <c r="BD31" s="27">
        <f>VLOOKUP($A31,ANNUAL!$1:$1048576,11,0)</f>
        <v>0</v>
      </c>
      <c r="BE31" s="27">
        <f>VLOOKUP($A31,ANNUAL!$1:$1048576,12,0)</f>
        <v>0</v>
      </c>
      <c r="BF31" s="27">
        <f>VLOOKUP($A31,ANNUAL!$1:$1048576,13,0)</f>
        <v>0</v>
      </c>
      <c r="BG31" s="27">
        <f>VLOOKUP($A31,ANNUAL!$1:$1048576,14,0)</f>
        <v>0</v>
      </c>
      <c r="BH31" s="32">
        <f>VLOOKUP($A31,ANNUAL!$1:$1048576,15,0)</f>
        <v>0</v>
      </c>
      <c r="BI31" s="27">
        <f t="shared" si="0"/>
        <v>0</v>
      </c>
      <c r="BJ31" s="27" t="str">
        <f t="shared" si="11"/>
        <v>0 %</v>
      </c>
    </row>
    <row r="32" spans="1:62" x14ac:dyDescent="0.3">
      <c r="A32" s="23">
        <f>DETAILS!A31</f>
        <v>1906</v>
      </c>
      <c r="B32" s="23" t="str">
        <f>DETAILS!B31</f>
        <v>KHUSHI PATEL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1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2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3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4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5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6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7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8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9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10"/>
        <v>0</v>
      </c>
      <c r="BA32" s="27">
        <f>VLOOKUP($A32,ANNUAL!$1:$1048576,8,0)</f>
        <v>0</v>
      </c>
      <c r="BB32" s="27" t="str">
        <f>VLOOKUP($A32,ANNUAL!$1:$1048576,9,0)</f>
        <v>E</v>
      </c>
      <c r="BC32" s="27" t="str">
        <f>VLOOKUP($A32,ANNUAL!$1:$1048576,10,0)</f>
        <v>E</v>
      </c>
      <c r="BD32" s="27">
        <f>VLOOKUP($A32,ANNUAL!$1:$1048576,11,0)</f>
        <v>0</v>
      </c>
      <c r="BE32" s="27">
        <f>VLOOKUP($A32,ANNUAL!$1:$1048576,12,0)</f>
        <v>0</v>
      </c>
      <c r="BF32" s="27">
        <f>VLOOKUP($A32,ANNUAL!$1:$1048576,13,0)</f>
        <v>0</v>
      </c>
      <c r="BG32" s="27">
        <f>VLOOKUP($A32,ANNUAL!$1:$1048576,14,0)</f>
        <v>0</v>
      </c>
      <c r="BH32" s="32">
        <f>VLOOKUP($A32,ANNUAL!$1:$1048576,15,0)</f>
        <v>0</v>
      </c>
      <c r="BI32" s="27">
        <f t="shared" si="0"/>
        <v>0</v>
      </c>
      <c r="BJ32" s="27" t="str">
        <f t="shared" si="11"/>
        <v>0 %</v>
      </c>
    </row>
    <row r="33" spans="1:62" x14ac:dyDescent="0.3">
      <c r="A33" s="23">
        <f>DETAILS!A32</f>
        <v>1865</v>
      </c>
      <c r="B33" s="23" t="str">
        <f>DETAILS!B32</f>
        <v>MOHD SAIF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1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2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3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4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5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6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7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8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9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10"/>
        <v>0</v>
      </c>
      <c r="BA33" s="27">
        <f>VLOOKUP($A33,ANNUAL!$1:$1048576,8,0)</f>
        <v>0</v>
      </c>
      <c r="BB33" s="27" t="str">
        <f>VLOOKUP($A33,ANNUAL!$1:$1048576,9,0)</f>
        <v>E</v>
      </c>
      <c r="BC33" s="27" t="str">
        <f>VLOOKUP($A33,ANNUAL!$1:$1048576,10,0)</f>
        <v>E</v>
      </c>
      <c r="BD33" s="27">
        <f>VLOOKUP($A33,ANNUAL!$1:$1048576,11,0)</f>
        <v>0</v>
      </c>
      <c r="BE33" s="27">
        <f>VLOOKUP($A33,ANNUAL!$1:$1048576,12,0)</f>
        <v>0</v>
      </c>
      <c r="BF33" s="27">
        <f>VLOOKUP($A33,ANNUAL!$1:$1048576,13,0)</f>
        <v>0</v>
      </c>
      <c r="BG33" s="27">
        <f>VLOOKUP($A33,ANNUAL!$1:$1048576,14,0)</f>
        <v>0</v>
      </c>
      <c r="BH33" s="32">
        <f>VLOOKUP($A33,ANNUAL!$1:$1048576,15,0)</f>
        <v>0</v>
      </c>
      <c r="BI33" s="27">
        <f t="shared" si="0"/>
        <v>0</v>
      </c>
      <c r="BJ33" s="27" t="str">
        <f t="shared" si="11"/>
        <v>0 %</v>
      </c>
    </row>
    <row r="34" spans="1:62" x14ac:dyDescent="0.3">
      <c r="A34" s="23">
        <f>DETAILS!A33</f>
        <v>1735</v>
      </c>
      <c r="B34" s="23" t="str">
        <f>DETAILS!B33</f>
        <v>PRAGATI SINGH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1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2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3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4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5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6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7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8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9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10"/>
        <v>0</v>
      </c>
      <c r="BA34" s="27">
        <f>VLOOKUP($A34,ANNUAL!$1:$1048576,8,0)</f>
        <v>0</v>
      </c>
      <c r="BB34" s="27" t="str">
        <f>VLOOKUP($A34,ANNUAL!$1:$1048576,9,0)</f>
        <v>E</v>
      </c>
      <c r="BC34" s="27" t="str">
        <f>VLOOKUP($A34,ANNUAL!$1:$1048576,10,0)</f>
        <v>E</v>
      </c>
      <c r="BD34" s="27">
        <f>VLOOKUP($A34,ANNUAL!$1:$1048576,11,0)</f>
        <v>0</v>
      </c>
      <c r="BE34" s="27">
        <f>VLOOKUP($A34,ANNUAL!$1:$1048576,12,0)</f>
        <v>0</v>
      </c>
      <c r="BF34" s="27">
        <f>VLOOKUP($A34,ANNUAL!$1:$1048576,13,0)</f>
        <v>0</v>
      </c>
      <c r="BG34" s="27">
        <f>VLOOKUP($A34,ANNUAL!$1:$1048576,14,0)</f>
        <v>0</v>
      </c>
      <c r="BH34" s="32">
        <f>VLOOKUP($A34,ANNUAL!$1:$1048576,15,0)</f>
        <v>0</v>
      </c>
      <c r="BI34" s="27">
        <f t="shared" si="0"/>
        <v>0</v>
      </c>
      <c r="BJ34" s="27" t="str">
        <f t="shared" si="11"/>
        <v>0 %</v>
      </c>
    </row>
    <row r="35" spans="1:62" x14ac:dyDescent="0.3">
      <c r="A35" s="23">
        <f>DETAILS!A34</f>
        <v>1557</v>
      </c>
      <c r="B35" s="23" t="str">
        <f>DETAILS!B34</f>
        <v>PRISHA JAISWAL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1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2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3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4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5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6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7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8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9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10"/>
        <v>0</v>
      </c>
      <c r="BA35" s="27">
        <f>VLOOKUP($A35,ANNUAL!$1:$1048576,8,0)</f>
        <v>0</v>
      </c>
      <c r="BB35" s="27" t="str">
        <f>VLOOKUP($A35,ANNUAL!$1:$1048576,9,0)</f>
        <v>E</v>
      </c>
      <c r="BC35" s="27" t="str">
        <f>VLOOKUP($A35,ANNUAL!$1:$1048576,10,0)</f>
        <v>E</v>
      </c>
      <c r="BD35" s="27">
        <f>VLOOKUP($A35,ANNUAL!$1:$1048576,11,0)</f>
        <v>0</v>
      </c>
      <c r="BE35" s="27">
        <f>VLOOKUP($A35,ANNUAL!$1:$1048576,12,0)</f>
        <v>0</v>
      </c>
      <c r="BF35" s="27">
        <f>VLOOKUP($A35,ANNUAL!$1:$1048576,13,0)</f>
        <v>0</v>
      </c>
      <c r="BG35" s="27">
        <f>VLOOKUP($A35,ANNUAL!$1:$1048576,14,0)</f>
        <v>0</v>
      </c>
      <c r="BH35" s="32">
        <f>VLOOKUP($A35,ANNUAL!$1:$1048576,15,0)</f>
        <v>0</v>
      </c>
      <c r="BI35" s="27">
        <f t="shared" si="0"/>
        <v>0</v>
      </c>
      <c r="BJ35" s="27" t="str">
        <f t="shared" si="11"/>
        <v>0 %</v>
      </c>
    </row>
    <row r="36" spans="1:62" x14ac:dyDescent="0.3">
      <c r="A36" s="23">
        <f>DETAILS!A35</f>
        <v>1560</v>
      </c>
      <c r="B36" s="23" t="str">
        <f>DETAILS!B35</f>
        <v>SHANTANU YADAV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1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2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3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4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5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6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7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8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9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10"/>
        <v>0</v>
      </c>
      <c r="BA36" s="27">
        <f>VLOOKUP($A36,ANNUAL!$1:$1048576,8,0)</f>
        <v>0</v>
      </c>
      <c r="BB36" s="27" t="str">
        <f>VLOOKUP($A36,ANNUAL!$1:$1048576,9,0)</f>
        <v>E</v>
      </c>
      <c r="BC36" s="27" t="str">
        <f>VLOOKUP($A36,ANNUAL!$1:$1048576,10,0)</f>
        <v>E</v>
      </c>
      <c r="BD36" s="27">
        <f>VLOOKUP($A36,ANNUAL!$1:$1048576,11,0)</f>
        <v>0</v>
      </c>
      <c r="BE36" s="27">
        <f>VLOOKUP($A36,ANNUAL!$1:$1048576,12,0)</f>
        <v>0</v>
      </c>
      <c r="BF36" s="27">
        <f>VLOOKUP($A36,ANNUAL!$1:$1048576,13,0)</f>
        <v>0</v>
      </c>
      <c r="BG36" s="27">
        <f>VLOOKUP($A36,ANNUAL!$1:$1048576,14,0)</f>
        <v>0</v>
      </c>
      <c r="BH36" s="32">
        <f>VLOOKUP($A36,ANNUAL!$1:$1048576,15,0)</f>
        <v>0</v>
      </c>
      <c r="BI36" s="27">
        <f t="shared" si="0"/>
        <v>0</v>
      </c>
      <c r="BJ36" s="27" t="str">
        <f t="shared" si="11"/>
        <v>0 %</v>
      </c>
    </row>
    <row r="37" spans="1:62" x14ac:dyDescent="0.3">
      <c r="A37" s="23">
        <f>DETAILS!A36</f>
        <v>1890</v>
      </c>
      <c r="B37" s="23" t="str">
        <f>DETAILS!B36</f>
        <v>SHIVA YADAV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1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2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3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4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5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6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7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8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9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10"/>
        <v>0</v>
      </c>
      <c r="BA37" s="27">
        <f>VLOOKUP($A37,ANNUAL!$1:$1048576,8,0)</f>
        <v>0</v>
      </c>
      <c r="BB37" s="27" t="str">
        <f>VLOOKUP($A37,ANNUAL!$1:$1048576,9,0)</f>
        <v>E</v>
      </c>
      <c r="BC37" s="27" t="str">
        <f>VLOOKUP($A37,ANNUAL!$1:$1048576,10,0)</f>
        <v>E</v>
      </c>
      <c r="BD37" s="27">
        <f>VLOOKUP($A37,ANNUAL!$1:$1048576,11,0)</f>
        <v>0</v>
      </c>
      <c r="BE37" s="27">
        <f>VLOOKUP($A37,ANNUAL!$1:$1048576,12,0)</f>
        <v>0</v>
      </c>
      <c r="BF37" s="27">
        <f>VLOOKUP($A37,ANNUAL!$1:$1048576,13,0)</f>
        <v>0</v>
      </c>
      <c r="BG37" s="27">
        <f>VLOOKUP($A37,ANNUAL!$1:$1048576,14,0)</f>
        <v>0</v>
      </c>
      <c r="BH37" s="32">
        <f>VLOOKUP($A37,ANNUAL!$1:$1048576,15,0)</f>
        <v>0</v>
      </c>
      <c r="BI37" s="27">
        <f t="shared" si="0"/>
        <v>0</v>
      </c>
      <c r="BJ37" s="27" t="str">
        <f t="shared" si="11"/>
        <v>0 %</v>
      </c>
    </row>
    <row r="38" spans="1:62" x14ac:dyDescent="0.3">
      <c r="A38" s="23">
        <f>DETAILS!A37</f>
        <v>1575</v>
      </c>
      <c r="B38" s="23" t="str">
        <f>DETAILS!B37</f>
        <v>SHIVIKA VERMA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1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2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3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4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5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6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7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8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9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10"/>
        <v>0</v>
      </c>
      <c r="BA38" s="27">
        <f>VLOOKUP($A38,ANNUAL!$1:$1048576,8,0)</f>
        <v>0</v>
      </c>
      <c r="BB38" s="27" t="str">
        <f>VLOOKUP($A38,ANNUAL!$1:$1048576,9,0)</f>
        <v>E</v>
      </c>
      <c r="BC38" s="27" t="str">
        <f>VLOOKUP($A38,ANNUAL!$1:$1048576,10,0)</f>
        <v>E</v>
      </c>
      <c r="BD38" s="27">
        <f>VLOOKUP($A38,ANNUAL!$1:$1048576,11,0)</f>
        <v>0</v>
      </c>
      <c r="BE38" s="27">
        <f>VLOOKUP($A38,ANNUAL!$1:$1048576,12,0)</f>
        <v>0</v>
      </c>
      <c r="BF38" s="27">
        <f>VLOOKUP($A38,ANNUAL!$1:$1048576,13,0)</f>
        <v>0</v>
      </c>
      <c r="BG38" s="27">
        <f>VLOOKUP($A38,ANNUAL!$1:$1048576,14,0)</f>
        <v>0</v>
      </c>
      <c r="BH38" s="32">
        <f>VLOOKUP($A38,ANNUAL!$1:$1048576,15,0)</f>
        <v>0</v>
      </c>
      <c r="BI38" s="27">
        <f t="shared" si="0"/>
        <v>0</v>
      </c>
      <c r="BJ38" s="27" t="str">
        <f t="shared" si="11"/>
        <v>0 %</v>
      </c>
    </row>
    <row r="39" spans="1:62" x14ac:dyDescent="0.3">
      <c r="A39" s="23">
        <f>DETAILS!A38</f>
        <v>1732</v>
      </c>
      <c r="B39" s="23" t="str">
        <f>DETAILS!B38</f>
        <v>SUHAN ALI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1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2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3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4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5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6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7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8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9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10"/>
        <v>0</v>
      </c>
      <c r="BA39" s="27">
        <f>VLOOKUP($A39,ANNUAL!$1:$1048576,8,0)</f>
        <v>0</v>
      </c>
      <c r="BB39" s="27" t="str">
        <f>VLOOKUP($A39,ANNUAL!$1:$1048576,9,0)</f>
        <v>E</v>
      </c>
      <c r="BC39" s="27" t="str">
        <f>VLOOKUP($A39,ANNUAL!$1:$1048576,10,0)</f>
        <v>E</v>
      </c>
      <c r="BD39" s="27">
        <f>VLOOKUP($A39,ANNUAL!$1:$1048576,11,0)</f>
        <v>0</v>
      </c>
      <c r="BE39" s="27">
        <f>VLOOKUP($A39,ANNUAL!$1:$1048576,12,0)</f>
        <v>0</v>
      </c>
      <c r="BF39" s="27">
        <f>VLOOKUP($A39,ANNUAL!$1:$1048576,13,0)</f>
        <v>0</v>
      </c>
      <c r="BG39" s="27">
        <f>VLOOKUP($A39,ANNUAL!$1:$1048576,14,0)</f>
        <v>0</v>
      </c>
      <c r="BH39" s="32">
        <f>VLOOKUP($A39,ANNUAL!$1:$1048576,15,0)</f>
        <v>0</v>
      </c>
      <c r="BI39" s="27">
        <f t="shared" si="0"/>
        <v>0</v>
      </c>
      <c r="BJ39" s="27" t="str">
        <f t="shared" si="11"/>
        <v>0 %</v>
      </c>
    </row>
    <row r="40" spans="1:62" x14ac:dyDescent="0.3">
      <c r="A40" s="23">
        <f>DETAILS!A39</f>
        <v>1706</v>
      </c>
      <c r="B40" s="23" t="str">
        <f>DETAILS!B39</f>
        <v>UTKARSH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1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2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3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4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5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6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7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8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9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10"/>
        <v>0</v>
      </c>
      <c r="BA40" s="27">
        <f>VLOOKUP($A40,ANNUAL!$1:$1048576,8,0)</f>
        <v>0</v>
      </c>
      <c r="BB40" s="27" t="str">
        <f>VLOOKUP($A40,ANNUAL!$1:$1048576,9,0)</f>
        <v>E</v>
      </c>
      <c r="BC40" s="27" t="str">
        <f>VLOOKUP($A40,ANNUAL!$1:$1048576,10,0)</f>
        <v>E</v>
      </c>
      <c r="BD40" s="27">
        <f>VLOOKUP($A40,ANNUAL!$1:$1048576,11,0)</f>
        <v>0</v>
      </c>
      <c r="BE40" s="27">
        <f>VLOOKUP($A40,ANNUAL!$1:$1048576,12,0)</f>
        <v>0</v>
      </c>
      <c r="BF40" s="27">
        <f>VLOOKUP($A40,ANNUAL!$1:$1048576,13,0)</f>
        <v>0</v>
      </c>
      <c r="BG40" s="27">
        <f>VLOOKUP($A40,ANNUAL!$1:$1048576,14,0)</f>
        <v>0</v>
      </c>
      <c r="BH40" s="32">
        <f>VLOOKUP($A40,ANNUAL!$1:$1048576,15,0)</f>
        <v>0</v>
      </c>
      <c r="BI40" s="27">
        <f t="shared" si="0"/>
        <v>0</v>
      </c>
      <c r="BJ40" s="27" t="str">
        <f t="shared" si="11"/>
        <v>0 %</v>
      </c>
    </row>
    <row r="41" spans="1:62" x14ac:dyDescent="0.3">
      <c r="A41" s="23">
        <f>DETAILS!A40</f>
        <v>1567</v>
      </c>
      <c r="B41" s="23" t="str">
        <f>DETAILS!B40</f>
        <v>VAANYA YADAV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1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2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3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4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5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6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7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8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9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10"/>
        <v>0</v>
      </c>
      <c r="BA41" s="27">
        <f>VLOOKUP($A41,ANNUAL!$1:$1048576,8,0)</f>
        <v>0</v>
      </c>
      <c r="BB41" s="27" t="str">
        <f>VLOOKUP($A41,ANNUAL!$1:$1048576,9,0)</f>
        <v>E</v>
      </c>
      <c r="BC41" s="27" t="str">
        <f>VLOOKUP($A41,ANNUAL!$1:$1048576,10,0)</f>
        <v>E</v>
      </c>
      <c r="BD41" s="27">
        <f>VLOOKUP($A41,ANNUAL!$1:$1048576,11,0)</f>
        <v>0</v>
      </c>
      <c r="BE41" s="27">
        <f>VLOOKUP($A41,ANNUAL!$1:$1048576,12,0)</f>
        <v>0</v>
      </c>
      <c r="BF41" s="27">
        <f>VLOOKUP($A41,ANNUAL!$1:$1048576,13,0)</f>
        <v>0</v>
      </c>
      <c r="BG41" s="27">
        <f>VLOOKUP($A41,ANNUAL!$1:$1048576,14,0)</f>
        <v>0</v>
      </c>
      <c r="BH41" s="32">
        <f>VLOOKUP($A41,ANNUAL!$1:$1048576,15,0)</f>
        <v>0</v>
      </c>
      <c r="BI41" s="27">
        <f t="shared" si="0"/>
        <v>0</v>
      </c>
      <c r="BJ41" s="27" t="str">
        <f t="shared" si="11"/>
        <v>0 %</v>
      </c>
    </row>
    <row r="42" spans="1:62" x14ac:dyDescent="0.3">
      <c r="A42" s="23">
        <f>DETAILS!A41</f>
        <v>1937</v>
      </c>
      <c r="B42" s="23" t="str">
        <f>DETAILS!B41</f>
        <v>VIVAAN  PAL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1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2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3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4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5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6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7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8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9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10"/>
        <v>0</v>
      </c>
      <c r="BA42" s="27">
        <f>VLOOKUP($A42,ANNUAL!$1:$1048576,8,0)</f>
        <v>0</v>
      </c>
      <c r="BB42" s="27" t="str">
        <f>VLOOKUP($A42,ANNUAL!$1:$1048576,9,0)</f>
        <v>E</v>
      </c>
      <c r="BC42" s="27" t="str">
        <f>VLOOKUP($A42,ANNUAL!$1:$1048576,10,0)</f>
        <v>E</v>
      </c>
      <c r="BD42" s="27">
        <f>VLOOKUP($A42,ANNUAL!$1:$1048576,11,0)</f>
        <v>0</v>
      </c>
      <c r="BE42" s="27">
        <f>VLOOKUP($A42,ANNUAL!$1:$1048576,12,0)</f>
        <v>0</v>
      </c>
      <c r="BF42" s="27">
        <f>VLOOKUP($A42,ANNUAL!$1:$1048576,13,0)</f>
        <v>0</v>
      </c>
      <c r="BG42" s="27">
        <f>VLOOKUP($A42,ANNUAL!$1:$1048576,14,0)</f>
        <v>0</v>
      </c>
      <c r="BH42" s="32">
        <f>VLOOKUP($A42,ANNUAL!$1:$1048576,15,0)</f>
        <v>0</v>
      </c>
      <c r="BI42" s="27" t="e">
        <f t="shared" si="0"/>
        <v>#N/A</v>
      </c>
      <c r="BJ42" s="27" t="e">
        <f t="shared" si="11"/>
        <v>#N/A</v>
      </c>
    </row>
  </sheetData>
  <sheetProtection algorithmName="SHA-512" hashValue="qUCiHeLmTT5Cu5XgmuOU/piXUuJZWq2bQgMbAf4TS/TumJ6dEN29/4HilUGTV0/Q3oR/wdDK5kWNGjjWMWPiBw==" saltValue="w4DMps5oG9xsLRlISL1C3w==" spinCount="100000" sheet="1" objects="1" scenarios="1"/>
  <mergeCells count="18">
    <mergeCell ref="B2:B3"/>
    <mergeCell ref="C2:L2"/>
    <mergeCell ref="BI2:BI3"/>
    <mergeCell ref="BJ2:BJ3"/>
    <mergeCell ref="A1:BJ1"/>
    <mergeCell ref="BD2:BD3"/>
    <mergeCell ref="BE2:BE3"/>
    <mergeCell ref="BF2:BF3"/>
    <mergeCell ref="BG2:BG3"/>
    <mergeCell ref="BH2:BH3"/>
    <mergeCell ref="BA2:BA3"/>
    <mergeCell ref="BB2:BB3"/>
    <mergeCell ref="BC2:BC3"/>
    <mergeCell ref="M2:V2"/>
    <mergeCell ref="W2:AF2"/>
    <mergeCell ref="AG2:AP2"/>
    <mergeCell ref="AQ2:AZ2"/>
    <mergeCell ref="A2:A3"/>
  </mergeCells>
  <phoneticPr fontId="10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3"/>
  <sheetViews>
    <sheetView topLeftCell="A31" zoomScale="115" zoomScaleNormal="115" workbookViewId="0">
      <selection activeCell="R39" sqref="R39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9"/>
      <c r="C1" s="69"/>
      <c r="D1" s="69"/>
      <c r="E1" s="69"/>
      <c r="F1" s="69"/>
      <c r="G1" s="69"/>
      <c r="H1" s="69"/>
      <c r="I1" s="69"/>
      <c r="J1" s="69"/>
      <c r="K1" s="69"/>
      <c r="L1" s="7"/>
      <c r="M1" s="7"/>
      <c r="N1" s="8"/>
    </row>
    <row r="2" spans="1:14" ht="32.4" x14ac:dyDescent="0.3">
      <c r="A2" s="9"/>
      <c r="B2" s="70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10"/>
    </row>
    <row r="3" spans="1:14" ht="18" customHeight="1" x14ac:dyDescent="0.3">
      <c r="A3" s="9"/>
      <c r="B3" s="71" t="s">
        <v>1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10"/>
    </row>
    <row r="4" spans="1:14" ht="16.2" customHeight="1" x14ac:dyDescent="0.3">
      <c r="A4" s="9"/>
      <c r="B4" s="72" t="s">
        <v>79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10"/>
    </row>
    <row r="5" spans="1:14" ht="16.2" customHeight="1" x14ac:dyDescent="0.3">
      <c r="A5" s="9"/>
      <c r="B5" s="72" t="s">
        <v>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10"/>
    </row>
    <row r="6" spans="1:14" ht="18" customHeight="1" x14ac:dyDescent="0.3">
      <c r="A6" s="9"/>
      <c r="B6" s="73" t="s">
        <v>3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10"/>
    </row>
    <row r="7" spans="1:14" ht="20.25" customHeight="1" x14ac:dyDescent="0.3">
      <c r="A7" s="9"/>
      <c r="B7" s="74" t="s">
        <v>105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0"/>
    </row>
    <row r="8" spans="1:14" ht="18" customHeight="1" x14ac:dyDescent="0.3">
      <c r="A8" s="9"/>
      <c r="B8" s="54" t="s">
        <v>4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10"/>
    </row>
    <row r="9" spans="1:14" x14ac:dyDescent="0.3">
      <c r="A9" s="9"/>
      <c r="B9" s="4" t="s">
        <v>5</v>
      </c>
      <c r="C9" s="75" t="e">
        <f>":      "&amp;VLOOKUP($K$9,DETAILS!$1:$1048576,2,0)</f>
        <v>#N/A</v>
      </c>
      <c r="D9" s="75"/>
      <c r="E9" s="75"/>
      <c r="F9" s="75"/>
      <c r="G9" s="75"/>
      <c r="I9" s="75" t="s">
        <v>74</v>
      </c>
      <c r="J9" s="75"/>
      <c r="K9" s="75">
        <v>1</v>
      </c>
      <c r="L9" s="75"/>
      <c r="M9" s="76"/>
      <c r="N9" s="10"/>
    </row>
    <row r="10" spans="1:14" x14ac:dyDescent="0.3">
      <c r="A10" s="9"/>
      <c r="B10" s="4" t="s">
        <v>6</v>
      </c>
      <c r="C10" s="63" t="e">
        <f>":      "&amp;VLOOKUP($K$9,DETAILS!$1:$1048576,3,0)</f>
        <v>#N/A</v>
      </c>
      <c r="D10" s="63"/>
      <c r="E10" s="63"/>
      <c r="F10" s="63"/>
      <c r="G10" s="63"/>
      <c r="I10" s="63" t="s">
        <v>75</v>
      </c>
      <c r="J10" s="63"/>
      <c r="K10" s="63" t="e">
        <f>VLOOKUP($K$9,DETAILS!$1:$1048576,6,0)</f>
        <v>#N/A</v>
      </c>
      <c r="L10" s="63"/>
      <c r="M10" s="68"/>
      <c r="N10" s="10"/>
    </row>
    <row r="11" spans="1:14" x14ac:dyDescent="0.3">
      <c r="A11" s="9"/>
      <c r="B11" s="5" t="s">
        <v>7</v>
      </c>
      <c r="C11" s="66" t="e">
        <f>":      "&amp;VLOOKUP($K$9,DETAILS!$1:$1048576,4,0)</f>
        <v>#N/A</v>
      </c>
      <c r="D11" s="66"/>
      <c r="E11" s="66"/>
      <c r="F11" s="66"/>
      <c r="G11" s="66"/>
      <c r="H11" s="2"/>
      <c r="I11" s="66" t="s">
        <v>76</v>
      </c>
      <c r="J11" s="66"/>
      <c r="K11" s="66" t="e">
        <f>VLOOKUP($K$9,DETAILS!$1:$1048576,5,0)</f>
        <v>#N/A</v>
      </c>
      <c r="L11" s="66"/>
      <c r="M11" s="67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4" t="s">
        <v>77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10"/>
    </row>
    <row r="14" spans="1:14" ht="61.5" customHeight="1" x14ac:dyDescent="0.3">
      <c r="A14" s="9"/>
      <c r="B14" s="16" t="s">
        <v>44</v>
      </c>
      <c r="C14" s="15" t="s">
        <v>38</v>
      </c>
      <c r="D14" s="15" t="s">
        <v>39</v>
      </c>
      <c r="E14" s="15" t="s">
        <v>42</v>
      </c>
      <c r="F14" s="15" t="s">
        <v>8</v>
      </c>
      <c r="G14" s="15" t="s">
        <v>9</v>
      </c>
      <c r="H14" s="15" t="s">
        <v>10</v>
      </c>
      <c r="I14" s="15" t="s">
        <v>40</v>
      </c>
      <c r="J14" s="15" t="s">
        <v>43</v>
      </c>
      <c r="K14" s="15" t="s">
        <v>11</v>
      </c>
      <c r="L14" s="15" t="s">
        <v>9</v>
      </c>
      <c r="M14" s="15" t="s">
        <v>41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19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19" si="1">SUM(H16:K16)</f>
        <v>#N/A</v>
      </c>
      <c r="M16" s="27" t="e">
        <f t="shared" ref="M16:M19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72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15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si="0"/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si="1"/>
        <v>#N/A</v>
      </c>
      <c r="M19" s="27" t="e">
        <f t="shared" si="2"/>
        <v>#N/A</v>
      </c>
      <c r="N19" s="10"/>
    </row>
    <row r="20" spans="1:14" ht="24" customHeight="1" x14ac:dyDescent="0.3">
      <c r="A20" s="9"/>
      <c r="N20" s="10"/>
    </row>
    <row r="21" spans="1:14" ht="15.6" customHeight="1" x14ac:dyDescent="0.3">
      <c r="A21" s="9"/>
      <c r="B21" s="61" t="s">
        <v>16</v>
      </c>
      <c r="C21" s="62" t="e">
        <f>VLOOKUP($K$9,'COMPILE REPORT'!$1:$1048576,58,0)</f>
        <v>#N/A</v>
      </c>
      <c r="D21" s="62" t="e">
        <f>VLOOKUP($K$9,'COMPILE REPORT'!$1:$1048576,59,0)</f>
        <v>#N/A</v>
      </c>
      <c r="J21" s="20" t="s">
        <v>34</v>
      </c>
      <c r="K21" s="21"/>
      <c r="L21" s="64" t="e">
        <f>ROUND(SUM(M15:M19)/10,2)&amp;" %"</f>
        <v>#N/A</v>
      </c>
      <c r="M21" s="65"/>
      <c r="N21" s="10"/>
    </row>
    <row r="22" spans="1:14" ht="15.6" customHeight="1" x14ac:dyDescent="0.3">
      <c r="A22" s="9"/>
      <c r="B22" s="61"/>
      <c r="C22" s="62" t="e">
        <f>VLOOKUP($K$9,'COMPILE REPORT'!$1:$1048576,53,0)</f>
        <v>#N/A</v>
      </c>
      <c r="D22" s="62" t="e">
        <f>VLOOKUP($K$9,'COMPILE REPORT'!$1:$1048576,53,0)</f>
        <v>#N/A</v>
      </c>
      <c r="J22" s="20" t="s">
        <v>35</v>
      </c>
      <c r="K22" s="21"/>
      <c r="L22" s="64" t="e">
        <f>SUM(M15:M19)&amp; "/1000"</f>
        <v>#N/A</v>
      </c>
      <c r="M22" s="65"/>
      <c r="N22" s="10"/>
    </row>
    <row r="23" spans="1:14" ht="14.4" customHeight="1" x14ac:dyDescent="0.3">
      <c r="A23" s="9"/>
      <c r="N23" s="10"/>
    </row>
    <row r="24" spans="1:14" ht="15.75" customHeight="1" x14ac:dyDescent="0.3">
      <c r="A24" s="9"/>
      <c r="N24" s="10"/>
    </row>
    <row r="25" spans="1:14" ht="18" customHeight="1" x14ac:dyDescent="0.3">
      <c r="A25" s="9"/>
      <c r="B25" s="54" t="s">
        <v>78</v>
      </c>
      <c r="C25" s="54"/>
      <c r="D25" s="54"/>
      <c r="E25" s="54"/>
      <c r="F25" s="54"/>
      <c r="G25" s="54"/>
      <c r="H25" s="54"/>
      <c r="I25" s="54"/>
      <c r="J25" s="54"/>
      <c r="K25" s="54" t="s">
        <v>17</v>
      </c>
      <c r="L25" s="54"/>
      <c r="M25" s="54"/>
      <c r="N25" s="10"/>
    </row>
    <row r="26" spans="1:14" x14ac:dyDescent="0.3">
      <c r="A26" s="9"/>
      <c r="B26" s="53" t="s">
        <v>18</v>
      </c>
      <c r="C26" s="53"/>
      <c r="D26" s="53"/>
      <c r="E26" s="53"/>
      <c r="F26" s="53"/>
      <c r="G26" s="53"/>
      <c r="H26" s="53"/>
      <c r="I26" s="53"/>
      <c r="J26" s="53"/>
      <c r="K26" s="80" t="e">
        <f>VLOOKUP($K$9,'COMPILE REPORT'!$1:$1048576,53,0)</f>
        <v>#N/A</v>
      </c>
      <c r="L26" s="80" t="e">
        <f>VLOOKUP($K$9,'COMPILE REPORT'!$1:$1048576,61,0)</f>
        <v>#N/A</v>
      </c>
      <c r="M26" s="80" t="e">
        <f>VLOOKUP($K$9,'COMPILE REPORT'!$1:$1048576,61,0)</f>
        <v>#N/A</v>
      </c>
      <c r="N26" s="10"/>
    </row>
    <row r="27" spans="1:14" x14ac:dyDescent="0.3">
      <c r="A27" s="9"/>
      <c r="B27" s="53" t="s">
        <v>19</v>
      </c>
      <c r="C27" s="53"/>
      <c r="D27" s="53"/>
      <c r="E27" s="53"/>
      <c r="F27" s="53"/>
      <c r="G27" s="53"/>
      <c r="H27" s="53"/>
      <c r="I27" s="53"/>
      <c r="J27" s="53"/>
      <c r="K27" s="80" t="e">
        <f>VLOOKUP($K$9,'COMPILE REPORT'!$1:$1048576,54,0)</f>
        <v>#N/A</v>
      </c>
      <c r="L27" s="80" t="e">
        <f>VLOOKUP($K$9,'COMPILE REPORT'!$1:$1048576,61,0)</f>
        <v>#N/A</v>
      </c>
      <c r="M27" s="80" t="e">
        <f>VLOOKUP($K$9,'COMPILE REPORT'!$1:$1048576,61,0)</f>
        <v>#N/A</v>
      </c>
      <c r="N27" s="10"/>
    </row>
    <row r="28" spans="1:14" x14ac:dyDescent="0.3">
      <c r="A28" s="9"/>
      <c r="B28" s="53" t="s">
        <v>20</v>
      </c>
      <c r="C28" s="53"/>
      <c r="D28" s="53"/>
      <c r="E28" s="53"/>
      <c r="F28" s="53"/>
      <c r="G28" s="53"/>
      <c r="H28" s="53"/>
      <c r="I28" s="53"/>
      <c r="J28" s="53"/>
      <c r="K28" s="80" t="e">
        <f>VLOOKUP($K$9,'COMPILE REPORT'!$1:$1048576,55,0)</f>
        <v>#N/A</v>
      </c>
      <c r="L28" s="80" t="e">
        <f>VLOOKUP($K$9,'COMPILE REPORT'!$1:$1048576,61,0)</f>
        <v>#N/A</v>
      </c>
      <c r="M28" s="80" t="e">
        <f>VLOOKUP($K$9,'COMPILE REPORT'!$1:$1048576,61,0)</f>
        <v>#N/A</v>
      </c>
      <c r="N28" s="10"/>
    </row>
    <row r="29" spans="1:14" x14ac:dyDescent="0.3">
      <c r="A29" s="9"/>
      <c r="B29" s="53" t="s">
        <v>21</v>
      </c>
      <c r="C29" s="53"/>
      <c r="D29" s="53"/>
      <c r="E29" s="53"/>
      <c r="F29" s="53"/>
      <c r="G29" s="53"/>
      <c r="H29" s="53"/>
      <c r="I29" s="53"/>
      <c r="J29" s="53"/>
      <c r="K29" s="80" t="e">
        <f>VLOOKUP($K$9,'COMPILE REPORT'!$1:$1048576,56,0)</f>
        <v>#N/A</v>
      </c>
      <c r="L29" s="80" t="e">
        <f>VLOOKUP($K$9,'COMPILE REPORT'!$1:$1048576,61,0)</f>
        <v>#N/A</v>
      </c>
      <c r="M29" s="80" t="e">
        <f>VLOOKUP($K$9,'COMPILE REPORT'!$1:$1048576,61,0)</f>
        <v>#N/A</v>
      </c>
      <c r="N29" s="10"/>
    </row>
    <row r="30" spans="1:14" x14ac:dyDescent="0.3">
      <c r="A30" s="9"/>
      <c r="B30" s="53" t="s">
        <v>22</v>
      </c>
      <c r="C30" s="53"/>
      <c r="D30" s="53"/>
      <c r="E30" s="53"/>
      <c r="F30" s="53"/>
      <c r="G30" s="53"/>
      <c r="H30" s="53"/>
      <c r="I30" s="53"/>
      <c r="J30" s="53"/>
      <c r="K30" s="80" t="e">
        <f>VLOOKUP($K$9,'COMPILE REPORT'!$1:$1048576,57,0)</f>
        <v>#N/A</v>
      </c>
      <c r="L30" s="80" t="e">
        <f>VLOOKUP($K$9,'COMPILE REPORT'!$1:$1048576,61,0)</f>
        <v>#N/A</v>
      </c>
      <c r="M30" s="80" t="e">
        <f>VLOOKUP($K$9,'COMPILE REPORT'!$1:$1048576,61,0)</f>
        <v>#N/A</v>
      </c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9" customFormat="1" ht="21" customHeight="1" x14ac:dyDescent="0.3">
      <c r="A32" s="17"/>
      <c r="B32" s="61" t="s">
        <v>23</v>
      </c>
      <c r="C32" s="61"/>
      <c r="D32" s="55" t="s">
        <v>24</v>
      </c>
      <c r="E32" s="55"/>
      <c r="F32" s="55" t="s">
        <v>25</v>
      </c>
      <c r="G32" s="55"/>
      <c r="H32" s="55" t="s">
        <v>26</v>
      </c>
      <c r="I32" s="55"/>
      <c r="J32" s="55" t="s">
        <v>27</v>
      </c>
      <c r="K32" s="55"/>
      <c r="L32" s="55" t="s">
        <v>113</v>
      </c>
      <c r="M32" s="55"/>
      <c r="N32" s="18"/>
    </row>
    <row r="33" spans="1:14" s="19" customFormat="1" ht="21" customHeight="1" x14ac:dyDescent="0.3">
      <c r="A33" s="17"/>
      <c r="B33" s="61" t="s">
        <v>28</v>
      </c>
      <c r="C33" s="61"/>
      <c r="D33" s="62" t="s">
        <v>29</v>
      </c>
      <c r="E33" s="62"/>
      <c r="F33" s="62" t="s">
        <v>30</v>
      </c>
      <c r="G33" s="62"/>
      <c r="H33" s="62" t="s">
        <v>31</v>
      </c>
      <c r="I33" s="62"/>
      <c r="J33" s="62" t="s">
        <v>32</v>
      </c>
      <c r="K33" s="62"/>
      <c r="L33" s="62" t="s">
        <v>33</v>
      </c>
      <c r="M33" s="62"/>
      <c r="N33" s="18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59" t="e">
        <f>"Class Teacher's Remark: "&amp;VLOOKUP($K$9,'COMPILE REPORT'!$1:$1048576,60,0)</f>
        <v>#N/A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10"/>
    </row>
    <row r="37" spans="1:14" x14ac:dyDescent="0.3">
      <c r="A37" s="9"/>
      <c r="E37" s="11"/>
      <c r="J37" s="79" t="s">
        <v>114</v>
      </c>
      <c r="K37" s="79"/>
      <c r="L37" s="79"/>
      <c r="M37" s="79"/>
      <c r="N37" s="10"/>
    </row>
    <row r="38" spans="1:14" x14ac:dyDescent="0.3">
      <c r="A38" s="9"/>
      <c r="B38" s="63" t="s">
        <v>103</v>
      </c>
      <c r="C38" s="63"/>
      <c r="J38" s="79" t="s">
        <v>115</v>
      </c>
      <c r="K38" s="79"/>
      <c r="L38" s="79"/>
      <c r="M38" s="79"/>
      <c r="N38" s="10"/>
    </row>
    <row r="39" spans="1:14" ht="19.2" customHeight="1" x14ac:dyDescent="0.3">
      <c r="A39" s="9"/>
      <c r="N39" s="10"/>
    </row>
    <row r="40" spans="1:14" s="19" customFormat="1" x14ac:dyDescent="0.3">
      <c r="A40" s="17"/>
      <c r="N40" s="18"/>
    </row>
    <row r="41" spans="1:14" ht="24" customHeight="1" x14ac:dyDescent="0.3">
      <c r="A41" s="9"/>
      <c r="B41" s="59" t="s">
        <v>36</v>
      </c>
      <c r="C41" s="59"/>
      <c r="D41" s="59"/>
      <c r="E41" s="19"/>
      <c r="F41" s="19"/>
      <c r="G41" s="19"/>
      <c r="H41" s="19"/>
      <c r="I41" s="19"/>
      <c r="J41" s="60" t="s">
        <v>37</v>
      </c>
      <c r="K41" s="60"/>
      <c r="L41" s="60"/>
      <c r="M41" s="60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53">
    <mergeCell ref="L22:M22"/>
    <mergeCell ref="B33:C33"/>
    <mergeCell ref="D33:E33"/>
    <mergeCell ref="F33:G33"/>
    <mergeCell ref="B30:J30"/>
    <mergeCell ref="H33:I33"/>
    <mergeCell ref="J33:K33"/>
    <mergeCell ref="L33:M33"/>
    <mergeCell ref="K29:M29"/>
    <mergeCell ref="D32:E32"/>
    <mergeCell ref="B21:B22"/>
    <mergeCell ref="C21:C22"/>
    <mergeCell ref="D21:D22"/>
    <mergeCell ref="B36:M36"/>
    <mergeCell ref="K30:M30"/>
    <mergeCell ref="B32:C32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1:M21"/>
    <mergeCell ref="B6:M6"/>
    <mergeCell ref="B1:K1"/>
    <mergeCell ref="B2:M2"/>
    <mergeCell ref="B3:M3"/>
    <mergeCell ref="B4:M4"/>
    <mergeCell ref="B5:M5"/>
    <mergeCell ref="B28:J28"/>
    <mergeCell ref="K28:M28"/>
    <mergeCell ref="B29:J29"/>
    <mergeCell ref="F32:G32"/>
    <mergeCell ref="H32:I32"/>
    <mergeCell ref="J32:K32"/>
    <mergeCell ref="L32:M32"/>
    <mergeCell ref="K25:M25"/>
    <mergeCell ref="B26:J26"/>
    <mergeCell ref="K26:M26"/>
    <mergeCell ref="B27:J27"/>
    <mergeCell ref="K27:M27"/>
    <mergeCell ref="B25:J25"/>
    <mergeCell ref="J37:M37"/>
    <mergeCell ref="J38:M38"/>
    <mergeCell ref="B38:C38"/>
    <mergeCell ref="J41:M41"/>
    <mergeCell ref="B41:D41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2025-07-30T02:09:06Z</dcterms:modified>
</cp:coreProperties>
</file>