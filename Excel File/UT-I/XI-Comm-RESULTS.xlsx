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UT-I\"/>
    </mc:Choice>
  </mc:AlternateContent>
  <xr:revisionPtr revIDLastSave="0" documentId="13_ncr:1_{7046242B-395E-4832-B8BB-B2002897A6D5}" xr6:coauthVersionLast="47" xr6:coauthVersionMax="47" xr10:uidLastSave="{00000000-0000-0000-0000-000000000000}"/>
  <bookViews>
    <workbookView xWindow="-108" yWindow="-108" windowWidth="23256" windowHeight="12456" tabRatio="648" activeTab="2" xr2:uid="{00000000-000D-0000-FFFF-FFFF00000000}"/>
  </bookViews>
  <sheets>
    <sheet name="DETAILS" sheetId="4" r:id="rId1"/>
    <sheet name="UT-I(Entry)" sheetId="5" r:id="rId2"/>
    <sheet name="UT-I " sheetId="19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9" l="1"/>
  <c r="D6" i="19"/>
  <c r="D7" i="19"/>
  <c r="D8" i="19"/>
  <c r="F8" i="24" s="1"/>
  <c r="D9" i="19"/>
  <c r="D10" i="19"/>
  <c r="D11" i="19"/>
  <c r="F11" i="24" s="1"/>
  <c r="I11" i="18" s="1"/>
  <c r="D12" i="19"/>
  <c r="D4" i="19"/>
  <c r="H5" i="19"/>
  <c r="H6" i="19"/>
  <c r="H7" i="19"/>
  <c r="H8" i="19"/>
  <c r="H9" i="19"/>
  <c r="H10" i="19"/>
  <c r="H11" i="19"/>
  <c r="H12" i="19"/>
  <c r="R12" i="24" s="1"/>
  <c r="AG12" i="18" s="1"/>
  <c r="H4" i="19"/>
  <c r="R4" i="24" s="1"/>
  <c r="AG4" i="18" s="1"/>
  <c r="G5" i="19"/>
  <c r="G6" i="19"/>
  <c r="G7" i="19"/>
  <c r="G8" i="19"/>
  <c r="O8" i="24" s="1"/>
  <c r="G9" i="19"/>
  <c r="G10" i="19"/>
  <c r="G11" i="19"/>
  <c r="G12" i="19"/>
  <c r="O12" i="24" s="1"/>
  <c r="AA12" i="18" s="1"/>
  <c r="G4" i="19"/>
  <c r="O4" i="24" s="1"/>
  <c r="AA4" i="18" s="1"/>
  <c r="F5" i="19"/>
  <c r="F6" i="19"/>
  <c r="F7" i="19"/>
  <c r="F8" i="19"/>
  <c r="F9" i="19"/>
  <c r="F10" i="19"/>
  <c r="F11" i="19"/>
  <c r="F12" i="19"/>
  <c r="F4" i="19"/>
  <c r="E5" i="19"/>
  <c r="E6" i="19"/>
  <c r="E7" i="19"/>
  <c r="I7" i="24" s="1"/>
  <c r="O7" i="18" s="1"/>
  <c r="E8" i="19"/>
  <c r="I8" i="24" s="1"/>
  <c r="E9" i="19"/>
  <c r="E10" i="19"/>
  <c r="E11" i="19"/>
  <c r="I11" i="24" s="1"/>
  <c r="O11" i="18" s="1"/>
  <c r="E12" i="19"/>
  <c r="I12" i="24" s="1"/>
  <c r="O12" i="18" s="1"/>
  <c r="E4" i="19"/>
  <c r="C5" i="19"/>
  <c r="C6" i="19"/>
  <c r="C7" i="19"/>
  <c r="C8" i="19"/>
  <c r="C9" i="19"/>
  <c r="C10" i="19"/>
  <c r="C11" i="19"/>
  <c r="C11" i="24" s="1"/>
  <c r="C12" i="19"/>
  <c r="C4" i="19"/>
  <c r="C4" i="24" s="1"/>
  <c r="L5" i="19"/>
  <c r="L6" i="19"/>
  <c r="L7" i="19"/>
  <c r="L8" i="19"/>
  <c r="L9" i="19"/>
  <c r="L10" i="19"/>
  <c r="L11" i="19"/>
  <c r="L12" i="19"/>
  <c r="K5" i="19"/>
  <c r="K6" i="19"/>
  <c r="K7" i="19"/>
  <c r="K8" i="19"/>
  <c r="K9" i="19"/>
  <c r="K10" i="19"/>
  <c r="K11" i="19"/>
  <c r="K12" i="19"/>
  <c r="K4" i="19"/>
  <c r="L4" i="19"/>
  <c r="B16" i="3"/>
  <c r="B16" i="23"/>
  <c r="I10" i="3"/>
  <c r="I11" i="3"/>
  <c r="D11" i="3"/>
  <c r="D9" i="3"/>
  <c r="D10" i="3"/>
  <c r="P4" i="27"/>
  <c r="Q4" i="27"/>
  <c r="P5" i="27"/>
  <c r="Q5" i="27"/>
  <c r="P6" i="27"/>
  <c r="Q6" i="27"/>
  <c r="P7" i="27"/>
  <c r="Q7" i="27"/>
  <c r="P8" i="27"/>
  <c r="Q8" i="27"/>
  <c r="P9" i="27"/>
  <c r="Q9" i="27"/>
  <c r="P10" i="27"/>
  <c r="Q10" i="27"/>
  <c r="P11" i="27"/>
  <c r="Q11" i="27"/>
  <c r="P12" i="27"/>
  <c r="Q12" i="27"/>
  <c r="P13" i="27"/>
  <c r="Q13" i="27"/>
  <c r="P14" i="27"/>
  <c r="Q14" i="27"/>
  <c r="P15" i="27"/>
  <c r="Q15" i="27"/>
  <c r="P16" i="27"/>
  <c r="Q16" i="27"/>
  <c r="P17" i="27"/>
  <c r="Q17" i="27"/>
  <c r="P18" i="27"/>
  <c r="Q18" i="27"/>
  <c r="P19" i="27"/>
  <c r="Q19" i="27"/>
  <c r="P20" i="27"/>
  <c r="Q20" i="27"/>
  <c r="P21" i="27"/>
  <c r="Q21" i="27"/>
  <c r="P22" i="27"/>
  <c r="Q22" i="27"/>
  <c r="P23" i="27"/>
  <c r="Q23" i="27"/>
  <c r="P24" i="27"/>
  <c r="Q24" i="27"/>
  <c r="P25" i="27"/>
  <c r="Q25" i="27"/>
  <c r="P26" i="27"/>
  <c r="Q26" i="27"/>
  <c r="P27" i="27"/>
  <c r="Q27" i="27"/>
  <c r="P28" i="27"/>
  <c r="Q28" i="27"/>
  <c r="P29" i="27"/>
  <c r="Q29" i="27"/>
  <c r="P30" i="27"/>
  <c r="Q30" i="27"/>
  <c r="P31" i="27"/>
  <c r="Q31" i="27"/>
  <c r="P32" i="27"/>
  <c r="Q32" i="27"/>
  <c r="P33" i="27"/>
  <c r="Q33" i="27"/>
  <c r="P34" i="27"/>
  <c r="Q34" i="27"/>
  <c r="P35" i="27"/>
  <c r="Q35" i="27"/>
  <c r="P36" i="27"/>
  <c r="Q36" i="27"/>
  <c r="P37" i="27"/>
  <c r="Q37" i="27"/>
  <c r="P38" i="27"/>
  <c r="Q38" i="27"/>
  <c r="P39" i="27"/>
  <c r="Q39" i="27"/>
  <c r="P40" i="27"/>
  <c r="Q40" i="27"/>
  <c r="P41" i="27"/>
  <c r="Q41" i="27"/>
  <c r="P3" i="27"/>
  <c r="Q3" i="27"/>
  <c r="P4" i="11"/>
  <c r="Q4" i="11"/>
  <c r="P5" i="11"/>
  <c r="Q5" i="11"/>
  <c r="P6" i="11"/>
  <c r="Q6" i="11"/>
  <c r="P7" i="11"/>
  <c r="Q7" i="11"/>
  <c r="P8" i="11"/>
  <c r="Q8" i="11"/>
  <c r="P9" i="11"/>
  <c r="Q9" i="11"/>
  <c r="P10" i="11"/>
  <c r="Q10" i="11"/>
  <c r="P11" i="11"/>
  <c r="Q11" i="11"/>
  <c r="P12" i="11"/>
  <c r="Q12" i="11"/>
  <c r="P13" i="11"/>
  <c r="Q13" i="11"/>
  <c r="P14" i="11"/>
  <c r="Q14" i="11"/>
  <c r="P15" i="11"/>
  <c r="Q15" i="11"/>
  <c r="P16" i="11"/>
  <c r="Q16" i="11"/>
  <c r="P17" i="11"/>
  <c r="Q17" i="11"/>
  <c r="P18" i="11"/>
  <c r="Q18" i="11"/>
  <c r="P19" i="11"/>
  <c r="Q19" i="11"/>
  <c r="P20" i="11"/>
  <c r="Q20" i="11"/>
  <c r="P21" i="11"/>
  <c r="Q21" i="11"/>
  <c r="P22" i="11"/>
  <c r="Q22" i="11"/>
  <c r="P23" i="11"/>
  <c r="Q23" i="11"/>
  <c r="P24" i="11"/>
  <c r="Q24" i="11"/>
  <c r="P25" i="11"/>
  <c r="Q25" i="11"/>
  <c r="P26" i="11"/>
  <c r="Q26" i="11"/>
  <c r="P27" i="11"/>
  <c r="Q27" i="11"/>
  <c r="P28" i="11"/>
  <c r="Q28" i="11"/>
  <c r="P29" i="11"/>
  <c r="Q29" i="11"/>
  <c r="P30" i="11"/>
  <c r="Q30" i="11"/>
  <c r="P31" i="11"/>
  <c r="Q31" i="11"/>
  <c r="P32" i="11"/>
  <c r="Q32" i="11"/>
  <c r="P33" i="11"/>
  <c r="Q33" i="11"/>
  <c r="P34" i="11"/>
  <c r="Q34" i="11"/>
  <c r="P35" i="11"/>
  <c r="Q35" i="11"/>
  <c r="P36" i="11"/>
  <c r="Q36" i="11"/>
  <c r="P37" i="11"/>
  <c r="Q37" i="11"/>
  <c r="P38" i="11"/>
  <c r="Q38" i="11"/>
  <c r="P39" i="11"/>
  <c r="Q39" i="11"/>
  <c r="P40" i="11"/>
  <c r="Q40" i="11"/>
  <c r="P41" i="11"/>
  <c r="Q41" i="11"/>
  <c r="P3" i="11"/>
  <c r="Q3" i="11"/>
  <c r="B41" i="28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C5" i="22"/>
  <c r="G5" i="22"/>
  <c r="D5" i="22"/>
  <c r="H5" i="22"/>
  <c r="F5" i="22"/>
  <c r="E5" i="22"/>
  <c r="K5" i="22"/>
  <c r="L5" i="22"/>
  <c r="C7" i="22"/>
  <c r="G7" i="22"/>
  <c r="D7" i="22"/>
  <c r="H7" i="22"/>
  <c r="E7" i="22"/>
  <c r="F7" i="22"/>
  <c r="K7" i="22"/>
  <c r="L7" i="22"/>
  <c r="C9" i="22"/>
  <c r="G9" i="22"/>
  <c r="D9" i="22"/>
  <c r="H9" i="22"/>
  <c r="F9" i="22"/>
  <c r="E9" i="22"/>
  <c r="K9" i="22"/>
  <c r="L9" i="22"/>
  <c r="C11" i="22"/>
  <c r="G11" i="22"/>
  <c r="D11" i="22"/>
  <c r="H11" i="22"/>
  <c r="F11" i="22"/>
  <c r="E11" i="22"/>
  <c r="K11" i="22"/>
  <c r="L11" i="22"/>
  <c r="C13" i="22"/>
  <c r="G13" i="22"/>
  <c r="D13" i="22"/>
  <c r="H13" i="22"/>
  <c r="E13" i="22"/>
  <c r="F13" i="22"/>
  <c r="K13" i="22"/>
  <c r="L13" i="22"/>
  <c r="C15" i="22"/>
  <c r="G15" i="22"/>
  <c r="D15" i="22"/>
  <c r="H15" i="22"/>
  <c r="F15" i="22"/>
  <c r="E15" i="22"/>
  <c r="K15" i="22"/>
  <c r="L15" i="22"/>
  <c r="C17" i="22"/>
  <c r="G17" i="22"/>
  <c r="D17" i="22"/>
  <c r="H17" i="22"/>
  <c r="I17" i="22"/>
  <c r="J17" i="22"/>
  <c r="E17" i="22"/>
  <c r="F17" i="22"/>
  <c r="K17" i="22"/>
  <c r="L17" i="22"/>
  <c r="C19" i="22"/>
  <c r="G19" i="22"/>
  <c r="D19" i="22"/>
  <c r="H19" i="22"/>
  <c r="F19" i="22"/>
  <c r="E19" i="22"/>
  <c r="K19" i="22"/>
  <c r="L19" i="22"/>
  <c r="C21" i="22"/>
  <c r="G21" i="22"/>
  <c r="D21" i="22"/>
  <c r="H21" i="22"/>
  <c r="E21" i="22"/>
  <c r="F21" i="22"/>
  <c r="K21" i="22"/>
  <c r="L21" i="22"/>
  <c r="C23" i="22"/>
  <c r="G23" i="22"/>
  <c r="D23" i="22"/>
  <c r="H23" i="22"/>
  <c r="I23" i="22"/>
  <c r="J23" i="22"/>
  <c r="E23" i="22"/>
  <c r="F23" i="22"/>
  <c r="K23" i="22"/>
  <c r="L23" i="22"/>
  <c r="C25" i="22"/>
  <c r="G25" i="22"/>
  <c r="D25" i="22"/>
  <c r="H25" i="22"/>
  <c r="E25" i="22"/>
  <c r="F25" i="22"/>
  <c r="K25" i="22"/>
  <c r="L25" i="22"/>
  <c r="C27" i="22"/>
  <c r="G27" i="22"/>
  <c r="D27" i="22"/>
  <c r="H27" i="22"/>
  <c r="F27" i="22"/>
  <c r="E27" i="22"/>
  <c r="K27" i="22"/>
  <c r="L27" i="22"/>
  <c r="C29" i="22"/>
  <c r="G29" i="22"/>
  <c r="D29" i="22"/>
  <c r="H29" i="22"/>
  <c r="F29" i="22"/>
  <c r="E29" i="22"/>
  <c r="K29" i="22"/>
  <c r="L29" i="22"/>
  <c r="C31" i="22"/>
  <c r="G31" i="22"/>
  <c r="D31" i="22"/>
  <c r="H31" i="22"/>
  <c r="F31" i="22"/>
  <c r="E31" i="22"/>
  <c r="K31" i="22"/>
  <c r="L31" i="22"/>
  <c r="C33" i="22"/>
  <c r="G33" i="22"/>
  <c r="D33" i="22"/>
  <c r="H33" i="22"/>
  <c r="E33" i="22"/>
  <c r="F33" i="22"/>
  <c r="K33" i="22"/>
  <c r="L33" i="22"/>
  <c r="C35" i="22"/>
  <c r="G35" i="22"/>
  <c r="E35" i="22"/>
  <c r="D35" i="22"/>
  <c r="H35" i="22"/>
  <c r="F35" i="22"/>
  <c r="K35" i="22"/>
  <c r="L35" i="22"/>
  <c r="C37" i="22"/>
  <c r="G37" i="22"/>
  <c r="E37" i="22"/>
  <c r="D37" i="22"/>
  <c r="H37" i="22"/>
  <c r="F37" i="22"/>
  <c r="K37" i="22"/>
  <c r="L37" i="22"/>
  <c r="C39" i="22"/>
  <c r="G39" i="22"/>
  <c r="D39" i="22"/>
  <c r="H39" i="22"/>
  <c r="E39" i="22"/>
  <c r="F39" i="22"/>
  <c r="K39" i="22"/>
  <c r="L39" i="22"/>
  <c r="C41" i="22"/>
  <c r="G41" i="22"/>
  <c r="D41" i="22"/>
  <c r="H41" i="22"/>
  <c r="E41" i="22"/>
  <c r="F41" i="22"/>
  <c r="K41" i="22"/>
  <c r="L41" i="22"/>
  <c r="J3" i="28"/>
  <c r="I3" i="28"/>
  <c r="C3" i="28"/>
  <c r="N3" i="28"/>
  <c r="I5" i="28"/>
  <c r="J5" i="28"/>
  <c r="I7" i="28"/>
  <c r="J7" i="28"/>
  <c r="I9" i="28"/>
  <c r="J9" i="28"/>
  <c r="I11" i="28"/>
  <c r="J11" i="28"/>
  <c r="I13" i="28"/>
  <c r="J13" i="28"/>
  <c r="I15" i="28"/>
  <c r="J15" i="28"/>
  <c r="I17" i="28"/>
  <c r="J17" i="28"/>
  <c r="I19" i="28"/>
  <c r="J19" i="28"/>
  <c r="I21" i="28"/>
  <c r="J21" i="28"/>
  <c r="I23" i="28"/>
  <c r="J23" i="28"/>
  <c r="I25" i="28"/>
  <c r="J25" i="28"/>
  <c r="I27" i="28"/>
  <c r="J27" i="28"/>
  <c r="I29" i="28"/>
  <c r="J29" i="28"/>
  <c r="I31" i="28"/>
  <c r="J31" i="28"/>
  <c r="I33" i="28"/>
  <c r="J33" i="28"/>
  <c r="I35" i="28"/>
  <c r="J35" i="28"/>
  <c r="I37" i="28"/>
  <c r="J37" i="28"/>
  <c r="I39" i="28"/>
  <c r="J39" i="28"/>
  <c r="I41" i="28"/>
  <c r="J41" i="28"/>
  <c r="H4" i="22"/>
  <c r="D4" i="22"/>
  <c r="G4" i="22"/>
  <c r="C4" i="22"/>
  <c r="F4" i="22"/>
  <c r="E4" i="22"/>
  <c r="L4" i="22"/>
  <c r="K4" i="22"/>
  <c r="E6" i="22"/>
  <c r="F6" i="22"/>
  <c r="H6" i="22"/>
  <c r="C6" i="22"/>
  <c r="G6" i="22"/>
  <c r="D6" i="22"/>
  <c r="K6" i="22"/>
  <c r="L6" i="22"/>
  <c r="E8" i="22"/>
  <c r="F8" i="22"/>
  <c r="D8" i="22"/>
  <c r="C8" i="22"/>
  <c r="G8" i="22"/>
  <c r="H8" i="22"/>
  <c r="K8" i="22"/>
  <c r="L8" i="22"/>
  <c r="E10" i="22"/>
  <c r="F10" i="22"/>
  <c r="D10" i="22"/>
  <c r="C10" i="22"/>
  <c r="G10" i="22"/>
  <c r="H10" i="22"/>
  <c r="K10" i="22"/>
  <c r="L10" i="22"/>
  <c r="E12" i="22"/>
  <c r="F12" i="22"/>
  <c r="H12" i="22"/>
  <c r="C12" i="22"/>
  <c r="G12" i="22"/>
  <c r="D12" i="22"/>
  <c r="K12" i="22"/>
  <c r="L12" i="22"/>
  <c r="E14" i="22"/>
  <c r="F14" i="22"/>
  <c r="D14" i="22"/>
  <c r="C14" i="22"/>
  <c r="G14" i="22"/>
  <c r="H14" i="22"/>
  <c r="K14" i="22"/>
  <c r="L14" i="22"/>
  <c r="E16" i="22"/>
  <c r="F16" i="22"/>
  <c r="H16" i="22"/>
  <c r="C16" i="22"/>
  <c r="G16" i="22"/>
  <c r="D16" i="22"/>
  <c r="K16" i="22"/>
  <c r="L16" i="22"/>
  <c r="E18" i="22"/>
  <c r="F18" i="22"/>
  <c r="D18" i="22"/>
  <c r="C18" i="22"/>
  <c r="G18" i="22"/>
  <c r="H18" i="22"/>
  <c r="K18" i="22"/>
  <c r="L18" i="22"/>
  <c r="E20" i="22"/>
  <c r="F20" i="22"/>
  <c r="C20" i="22"/>
  <c r="G20" i="22"/>
  <c r="D20" i="22"/>
  <c r="H20" i="22"/>
  <c r="K20" i="22"/>
  <c r="L20" i="22"/>
  <c r="E22" i="22"/>
  <c r="F22" i="22"/>
  <c r="D22" i="22"/>
  <c r="C22" i="22"/>
  <c r="G22" i="22"/>
  <c r="H22" i="22"/>
  <c r="K22" i="22"/>
  <c r="L22" i="22"/>
  <c r="E24" i="22"/>
  <c r="F24" i="22"/>
  <c r="H24" i="22"/>
  <c r="C24" i="22"/>
  <c r="G24" i="22"/>
  <c r="D24" i="22"/>
  <c r="K24" i="22"/>
  <c r="L24" i="22"/>
  <c r="E26" i="22"/>
  <c r="F26" i="22"/>
  <c r="D26" i="22"/>
  <c r="C26" i="22"/>
  <c r="G26" i="22"/>
  <c r="H26" i="22"/>
  <c r="K26" i="22"/>
  <c r="L26" i="22"/>
  <c r="E28" i="22"/>
  <c r="F28" i="22"/>
  <c r="C28" i="22"/>
  <c r="G28" i="22"/>
  <c r="D28" i="22"/>
  <c r="H28" i="22"/>
  <c r="K28" i="22"/>
  <c r="L28" i="22"/>
  <c r="E30" i="22"/>
  <c r="F30" i="22"/>
  <c r="H30" i="22"/>
  <c r="C30" i="22"/>
  <c r="G30" i="22"/>
  <c r="D30" i="22"/>
  <c r="I30" i="22"/>
  <c r="J30" i="22"/>
  <c r="K30" i="22"/>
  <c r="L30" i="22"/>
  <c r="E32" i="22"/>
  <c r="C32" i="22"/>
  <c r="F32" i="22"/>
  <c r="G32" i="22"/>
  <c r="H32" i="22"/>
  <c r="D32" i="22"/>
  <c r="K32" i="22"/>
  <c r="L32" i="22"/>
  <c r="E34" i="22"/>
  <c r="F34" i="22"/>
  <c r="C34" i="22"/>
  <c r="G34" i="22"/>
  <c r="D34" i="22"/>
  <c r="H34" i="22"/>
  <c r="K34" i="22"/>
  <c r="L34" i="22"/>
  <c r="E36" i="22"/>
  <c r="F36" i="22"/>
  <c r="C36" i="22"/>
  <c r="G36" i="22"/>
  <c r="H36" i="22"/>
  <c r="D36" i="22"/>
  <c r="K36" i="22"/>
  <c r="L36" i="22"/>
  <c r="E38" i="22"/>
  <c r="F38" i="22"/>
  <c r="C38" i="22"/>
  <c r="G38" i="22"/>
  <c r="D38" i="22"/>
  <c r="H38" i="22"/>
  <c r="K38" i="22"/>
  <c r="L38" i="22"/>
  <c r="E40" i="22"/>
  <c r="C40" i="22"/>
  <c r="F40" i="22"/>
  <c r="G40" i="22"/>
  <c r="D40" i="22"/>
  <c r="H40" i="22"/>
  <c r="K40" i="22"/>
  <c r="L40" i="22"/>
  <c r="E42" i="22"/>
  <c r="C42" i="22"/>
  <c r="F42" i="22"/>
  <c r="G42" i="22"/>
  <c r="D42" i="22"/>
  <c r="H42" i="22"/>
  <c r="K42" i="22"/>
  <c r="L42" i="22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F7" i="24"/>
  <c r="I32" i="22"/>
  <c r="J32" i="22"/>
  <c r="I41" i="22"/>
  <c r="J41" i="22"/>
  <c r="I21" i="22"/>
  <c r="J21" i="22"/>
  <c r="I36" i="22"/>
  <c r="J36" i="22"/>
  <c r="I40" i="22"/>
  <c r="J40" i="22"/>
  <c r="I28" i="22"/>
  <c r="J28" i="22"/>
  <c r="I24" i="22"/>
  <c r="J24" i="22"/>
  <c r="I16" i="22"/>
  <c r="J16" i="22"/>
  <c r="I12" i="22"/>
  <c r="J12" i="22"/>
  <c r="I10" i="22"/>
  <c r="J10" i="22"/>
  <c r="I8" i="22"/>
  <c r="J8" i="22"/>
  <c r="I37" i="22"/>
  <c r="J37" i="22"/>
  <c r="I33" i="22"/>
  <c r="J33" i="22"/>
  <c r="I29" i="22"/>
  <c r="J29" i="22"/>
  <c r="I27" i="22"/>
  <c r="J27" i="22"/>
  <c r="I25" i="22"/>
  <c r="J25" i="22"/>
  <c r="I13" i="22"/>
  <c r="J13" i="22"/>
  <c r="I9" i="22"/>
  <c r="J9" i="22"/>
  <c r="I5" i="22"/>
  <c r="J5" i="22"/>
  <c r="F4" i="24"/>
  <c r="I4" i="18" s="1"/>
  <c r="D16" i="23"/>
  <c r="K16" i="23" s="1"/>
  <c r="F5" i="24"/>
  <c r="F9" i="24"/>
  <c r="F10" i="24"/>
  <c r="F6" i="24"/>
  <c r="D20" i="23"/>
  <c r="D15" i="23"/>
  <c r="D19" i="23"/>
  <c r="K19" i="23" s="1"/>
  <c r="L4" i="24"/>
  <c r="U4" i="18" s="1"/>
  <c r="D18" i="23"/>
  <c r="I4" i="24"/>
  <c r="O4" i="18" s="1"/>
  <c r="D17" i="23"/>
  <c r="I6" i="24"/>
  <c r="L6" i="24"/>
  <c r="U6" i="18" s="1"/>
  <c r="C6" i="24"/>
  <c r="O6" i="24"/>
  <c r="AA6" i="18" s="1"/>
  <c r="R6" i="24"/>
  <c r="L8" i="24"/>
  <c r="C8" i="24"/>
  <c r="R8" i="24"/>
  <c r="AG8" i="18" s="1"/>
  <c r="I10" i="24"/>
  <c r="L10" i="24"/>
  <c r="U10" i="18" s="1"/>
  <c r="C10" i="24"/>
  <c r="O10" i="24"/>
  <c r="AA10" i="18" s="1"/>
  <c r="R10" i="24"/>
  <c r="C5" i="24"/>
  <c r="O5" i="24"/>
  <c r="R5" i="24"/>
  <c r="I5" i="24"/>
  <c r="L5" i="24"/>
  <c r="U5" i="18" s="1"/>
  <c r="C7" i="24"/>
  <c r="O7" i="24"/>
  <c r="Q7" i="24" s="1"/>
  <c r="R7" i="24"/>
  <c r="L7" i="24"/>
  <c r="C9" i="24"/>
  <c r="C9" i="18" s="1"/>
  <c r="O9" i="24"/>
  <c r="R9" i="24"/>
  <c r="AG9" i="18" s="1"/>
  <c r="I9" i="24"/>
  <c r="L9" i="24"/>
  <c r="U9" i="18" s="1"/>
  <c r="O11" i="24"/>
  <c r="Q11" i="24" s="1"/>
  <c r="R11" i="24"/>
  <c r="L11" i="24"/>
  <c r="R36" i="24"/>
  <c r="P15" i="28"/>
  <c r="Q15" i="28"/>
  <c r="I20" i="22"/>
  <c r="J20" i="22"/>
  <c r="I11" i="22"/>
  <c r="J11" i="22"/>
  <c r="I7" i="22"/>
  <c r="J7" i="22"/>
  <c r="I14" i="22"/>
  <c r="J14" i="22"/>
  <c r="I31" i="22"/>
  <c r="J31" i="22"/>
  <c r="P12" i="28"/>
  <c r="Q12" i="28"/>
  <c r="P4" i="28"/>
  <c r="Q4" i="28"/>
  <c r="P36" i="28"/>
  <c r="Q36" i="28"/>
  <c r="P28" i="28"/>
  <c r="Q28" i="28"/>
  <c r="P20" i="28"/>
  <c r="Q20" i="28"/>
  <c r="P38" i="28"/>
  <c r="Q38" i="28"/>
  <c r="P30" i="28"/>
  <c r="Q30" i="28"/>
  <c r="P22" i="28"/>
  <c r="Q22" i="28"/>
  <c r="P14" i="28"/>
  <c r="Q14" i="28"/>
  <c r="P6" i="28"/>
  <c r="Q6" i="28"/>
  <c r="P13" i="28"/>
  <c r="Q13" i="28"/>
  <c r="P9" i="28"/>
  <c r="Q9" i="28"/>
  <c r="P5" i="28"/>
  <c r="Q5" i="28"/>
  <c r="P11" i="28"/>
  <c r="Q11" i="28"/>
  <c r="P7" i="28"/>
  <c r="Q7" i="28"/>
  <c r="P8" i="28"/>
  <c r="Q8" i="28"/>
  <c r="P40" i="28"/>
  <c r="Q40" i="28"/>
  <c r="P32" i="28"/>
  <c r="Q32" i="28"/>
  <c r="P24" i="28"/>
  <c r="Q24" i="28"/>
  <c r="P16" i="28"/>
  <c r="Q16" i="28"/>
  <c r="P3" i="28"/>
  <c r="Q3" i="28"/>
  <c r="P34" i="28"/>
  <c r="Q34" i="28"/>
  <c r="P26" i="28"/>
  <c r="Q26" i="28"/>
  <c r="P18" i="28"/>
  <c r="Q18" i="28"/>
  <c r="P10" i="28"/>
  <c r="Q10" i="28"/>
  <c r="P39" i="28"/>
  <c r="Q39" i="28"/>
  <c r="P35" i="28"/>
  <c r="Q35" i="28"/>
  <c r="P31" i="28"/>
  <c r="Q31" i="28"/>
  <c r="P27" i="28"/>
  <c r="Q27" i="28"/>
  <c r="P23" i="28"/>
  <c r="Q23" i="28"/>
  <c r="P19" i="28"/>
  <c r="Q19" i="28"/>
  <c r="P41" i="28"/>
  <c r="Q41" i="28"/>
  <c r="P37" i="28"/>
  <c r="Q37" i="28"/>
  <c r="P33" i="28"/>
  <c r="Q33" i="28"/>
  <c r="P29" i="28"/>
  <c r="Q29" i="28"/>
  <c r="P25" i="28"/>
  <c r="Q25" i="28"/>
  <c r="P21" i="28"/>
  <c r="Q21" i="28"/>
  <c r="P17" i="28"/>
  <c r="Q17" i="28"/>
  <c r="I15" i="22"/>
  <c r="J15" i="22"/>
  <c r="I38" i="22"/>
  <c r="J38" i="22"/>
  <c r="I26" i="22"/>
  <c r="J26" i="22"/>
  <c r="I18" i="22"/>
  <c r="J18" i="22"/>
  <c r="I42" i="22"/>
  <c r="J42" i="22"/>
  <c r="I34" i="22"/>
  <c r="J34" i="22"/>
  <c r="I22" i="22"/>
  <c r="J22" i="22"/>
  <c r="I6" i="22"/>
  <c r="J6" i="22"/>
  <c r="I39" i="22"/>
  <c r="J39" i="22"/>
  <c r="I35" i="22"/>
  <c r="J35" i="22"/>
  <c r="I19" i="22"/>
  <c r="J19" i="22"/>
  <c r="I4" i="22"/>
  <c r="J4" i="22"/>
  <c r="A40" i="18"/>
  <c r="AK40" i="18"/>
  <c r="B40" i="18"/>
  <c r="A41" i="18"/>
  <c r="G41" i="18"/>
  <c r="B41" i="18"/>
  <c r="A42" i="18"/>
  <c r="M42" i="18"/>
  <c r="B42" i="18"/>
  <c r="A39" i="11"/>
  <c r="B39" i="11"/>
  <c r="A40" i="11"/>
  <c r="B40" i="11"/>
  <c r="A41" i="11"/>
  <c r="B41" i="11"/>
  <c r="R30" i="24"/>
  <c r="T30" i="24" s="1"/>
  <c r="R17" i="24"/>
  <c r="T17" i="24" s="1"/>
  <c r="R37" i="24"/>
  <c r="T37" i="24" s="1"/>
  <c r="R35" i="24"/>
  <c r="T35" i="24" s="1"/>
  <c r="R32" i="24"/>
  <c r="T32" i="24" s="1"/>
  <c r="R15" i="24"/>
  <c r="T15" i="24" s="1"/>
  <c r="R14" i="24"/>
  <c r="R27" i="24"/>
  <c r="T27" i="24" s="1"/>
  <c r="R21" i="24"/>
  <c r="T21" i="24" s="1"/>
  <c r="R38" i="24"/>
  <c r="T38" i="24" s="1"/>
  <c r="R16" i="24"/>
  <c r="T16" i="24" s="1"/>
  <c r="R26" i="24"/>
  <c r="T26" i="24" s="1"/>
  <c r="R28" i="24"/>
  <c r="T28" i="24" s="1"/>
  <c r="R34" i="24"/>
  <c r="T34" i="24" s="1"/>
  <c r="R29" i="24"/>
  <c r="R18" i="24"/>
  <c r="T18" i="24" s="1"/>
  <c r="R41" i="24"/>
  <c r="T41" i="24" s="1"/>
  <c r="R22" i="24"/>
  <c r="T22" i="24" s="1"/>
  <c r="R33" i="24"/>
  <c r="R40" i="24"/>
  <c r="T40" i="24" s="1"/>
  <c r="R19" i="24"/>
  <c r="T19" i="24" s="1"/>
  <c r="R13" i="24"/>
  <c r="T13" i="24" s="1"/>
  <c r="R24" i="24"/>
  <c r="R31" i="24"/>
  <c r="T31" i="24" s="1"/>
  <c r="R23" i="24"/>
  <c r="R39" i="24"/>
  <c r="T39" i="24" s="1"/>
  <c r="R20" i="24"/>
  <c r="T20" i="24" s="1"/>
  <c r="R25" i="24"/>
  <c r="T25" i="24" s="1"/>
  <c r="S41" i="18"/>
  <c r="S40" i="18"/>
  <c r="AK42" i="18"/>
  <c r="AN41" i="18"/>
  <c r="AM41" i="18"/>
  <c r="AJ41" i="18"/>
  <c r="G42" i="18"/>
  <c r="G40" i="18"/>
  <c r="M40" i="18"/>
  <c r="Y42" i="18"/>
  <c r="Y41" i="18"/>
  <c r="AK41" i="18"/>
  <c r="AN42" i="18"/>
  <c r="AM42" i="18"/>
  <c r="AJ42" i="18"/>
  <c r="AN40" i="18"/>
  <c r="AM40" i="18"/>
  <c r="AJ40" i="18"/>
  <c r="AL40" i="18"/>
  <c r="S42" i="18"/>
  <c r="Y40" i="18"/>
  <c r="AE42" i="18"/>
  <c r="AE41" i="18"/>
  <c r="AE40" i="18"/>
  <c r="M41" i="18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C15" i="24"/>
  <c r="E15" i="24" s="1"/>
  <c r="C19" i="24"/>
  <c r="E19" i="24" s="1"/>
  <c r="C23" i="24"/>
  <c r="C27" i="24"/>
  <c r="E27" i="24" s="1"/>
  <c r="C31" i="24"/>
  <c r="C35" i="24"/>
  <c r="E35" i="24" s="1"/>
  <c r="C39" i="24"/>
  <c r="C14" i="24"/>
  <c r="E14" i="24" s="1"/>
  <c r="C26" i="24"/>
  <c r="E26" i="24" s="1"/>
  <c r="C38" i="24"/>
  <c r="E38" i="24" s="1"/>
  <c r="C12" i="24"/>
  <c r="C12" i="18" s="1"/>
  <c r="C16" i="24"/>
  <c r="E16" i="24" s="1"/>
  <c r="C20" i="24"/>
  <c r="E20" i="24" s="1"/>
  <c r="C24" i="24"/>
  <c r="E24" i="24" s="1"/>
  <c r="C28" i="24"/>
  <c r="C32" i="24"/>
  <c r="E32" i="24" s="1"/>
  <c r="C36" i="24"/>
  <c r="E36" i="24" s="1"/>
  <c r="C40" i="24"/>
  <c r="E40" i="24" s="1"/>
  <c r="C22" i="24"/>
  <c r="E22" i="24" s="1"/>
  <c r="C34" i="24"/>
  <c r="E34" i="24" s="1"/>
  <c r="C13" i="24"/>
  <c r="C17" i="24"/>
  <c r="E17" i="24" s="1"/>
  <c r="C21" i="24"/>
  <c r="E21" i="24" s="1"/>
  <c r="C25" i="24"/>
  <c r="E25" i="24" s="1"/>
  <c r="C29" i="24"/>
  <c r="E29" i="24" s="1"/>
  <c r="C33" i="24"/>
  <c r="E33" i="24" s="1"/>
  <c r="C37" i="24"/>
  <c r="E37" i="24" s="1"/>
  <c r="C41" i="24"/>
  <c r="E41" i="24" s="1"/>
  <c r="C18" i="24"/>
  <c r="E18" i="24" s="1"/>
  <c r="C30" i="24"/>
  <c r="E30" i="24" s="1"/>
  <c r="L14" i="24"/>
  <c r="L18" i="24"/>
  <c r="N18" i="24" s="1"/>
  <c r="L22" i="24"/>
  <c r="N22" i="24" s="1"/>
  <c r="L26" i="24"/>
  <c r="N26" i="24" s="1"/>
  <c r="L30" i="24"/>
  <c r="L34" i="24"/>
  <c r="N34" i="24" s="1"/>
  <c r="L38" i="24"/>
  <c r="N38" i="24" s="1"/>
  <c r="L21" i="24"/>
  <c r="N21" i="24" s="1"/>
  <c r="L33" i="24"/>
  <c r="L15" i="24"/>
  <c r="N15" i="24" s="1"/>
  <c r="L19" i="24"/>
  <c r="N19" i="24" s="1"/>
  <c r="L23" i="24"/>
  <c r="N23" i="24" s="1"/>
  <c r="L27" i="24"/>
  <c r="N27" i="24" s="1"/>
  <c r="L31" i="24"/>
  <c r="N31" i="24" s="1"/>
  <c r="L35" i="24"/>
  <c r="N35" i="24" s="1"/>
  <c r="L39" i="24"/>
  <c r="N39" i="24" s="1"/>
  <c r="L17" i="24"/>
  <c r="N17" i="24" s="1"/>
  <c r="L25" i="24"/>
  <c r="N25" i="24" s="1"/>
  <c r="L37" i="24"/>
  <c r="N37" i="24" s="1"/>
  <c r="L12" i="24"/>
  <c r="U12" i="18" s="1"/>
  <c r="L16" i="24"/>
  <c r="L20" i="24"/>
  <c r="N20" i="24" s="1"/>
  <c r="L24" i="24"/>
  <c r="L28" i="24"/>
  <c r="N28" i="24" s="1"/>
  <c r="L32" i="24"/>
  <c r="L36" i="24"/>
  <c r="N36" i="24" s="1"/>
  <c r="L40" i="24"/>
  <c r="N40" i="24" s="1"/>
  <c r="L13" i="24"/>
  <c r="N13" i="24" s="1"/>
  <c r="L29" i="24"/>
  <c r="L41" i="24"/>
  <c r="N41" i="24" s="1"/>
  <c r="O15" i="24"/>
  <c r="Q15" i="24" s="1"/>
  <c r="O19" i="24"/>
  <c r="Q19" i="24" s="1"/>
  <c r="O23" i="24"/>
  <c r="O27" i="24"/>
  <c r="Q27" i="24" s="1"/>
  <c r="O31" i="24"/>
  <c r="Q31" i="24" s="1"/>
  <c r="O35" i="24"/>
  <c r="Q35" i="24" s="1"/>
  <c r="O39" i="24"/>
  <c r="O22" i="24"/>
  <c r="Q22" i="24" s="1"/>
  <c r="O34" i="24"/>
  <c r="Q34" i="24" s="1"/>
  <c r="O16" i="24"/>
  <c r="Q16" i="24" s="1"/>
  <c r="O20" i="24"/>
  <c r="Q20" i="24" s="1"/>
  <c r="O24" i="24"/>
  <c r="Q24" i="24" s="1"/>
  <c r="O28" i="24"/>
  <c r="Q28" i="24" s="1"/>
  <c r="O32" i="24"/>
  <c r="O36" i="24"/>
  <c r="Q36" i="24" s="1"/>
  <c r="O40" i="24"/>
  <c r="Q40" i="24" s="1"/>
  <c r="O18" i="24"/>
  <c r="Q18" i="24" s="1"/>
  <c r="O30" i="24"/>
  <c r="Q30" i="24" s="1"/>
  <c r="O13" i="24"/>
  <c r="Q13" i="24" s="1"/>
  <c r="O17" i="24"/>
  <c r="Q17" i="24" s="1"/>
  <c r="O21" i="24"/>
  <c r="Q21" i="24" s="1"/>
  <c r="O25" i="24"/>
  <c r="O29" i="24"/>
  <c r="Q29" i="24" s="1"/>
  <c r="O33" i="24"/>
  <c r="Q33" i="24" s="1"/>
  <c r="O37" i="24"/>
  <c r="Q37" i="24" s="1"/>
  <c r="O41" i="24"/>
  <c r="O14" i="24"/>
  <c r="Q14" i="24" s="1"/>
  <c r="O26" i="24"/>
  <c r="Q26" i="24" s="1"/>
  <c r="O38" i="24"/>
  <c r="Q38" i="24" s="1"/>
  <c r="F12" i="24"/>
  <c r="I12" i="18" s="1"/>
  <c r="F16" i="24"/>
  <c r="H16" i="24" s="1"/>
  <c r="F20" i="24"/>
  <c r="H20" i="24" s="1"/>
  <c r="F24" i="24"/>
  <c r="H24" i="24" s="1"/>
  <c r="F28" i="24"/>
  <c r="F32" i="24"/>
  <c r="H32" i="24" s="1"/>
  <c r="F36" i="24"/>
  <c r="F40" i="24"/>
  <c r="H40" i="24" s="1"/>
  <c r="F19" i="24"/>
  <c r="H19" i="24" s="1"/>
  <c r="F27" i="24"/>
  <c r="H27" i="24" s="1"/>
  <c r="F39" i="24"/>
  <c r="F13" i="24"/>
  <c r="H13" i="24" s="1"/>
  <c r="F17" i="24"/>
  <c r="F21" i="24"/>
  <c r="H21" i="24" s="1"/>
  <c r="F25" i="24"/>
  <c r="H25" i="24" s="1"/>
  <c r="F29" i="24"/>
  <c r="H29" i="24" s="1"/>
  <c r="F33" i="24"/>
  <c r="F37" i="24"/>
  <c r="H37" i="24" s="1"/>
  <c r="F41" i="24"/>
  <c r="H41" i="24" s="1"/>
  <c r="F23" i="24"/>
  <c r="H23" i="24" s="1"/>
  <c r="F35" i="24"/>
  <c r="F14" i="24"/>
  <c r="H14" i="24" s="1"/>
  <c r="F18" i="24"/>
  <c r="F22" i="24"/>
  <c r="H22" i="24" s="1"/>
  <c r="F26" i="24"/>
  <c r="F30" i="24"/>
  <c r="H30" i="24" s="1"/>
  <c r="F34" i="24"/>
  <c r="H34" i="24" s="1"/>
  <c r="F38" i="24"/>
  <c r="H38" i="24" s="1"/>
  <c r="F15" i="24"/>
  <c r="F31" i="24"/>
  <c r="H31" i="24" s="1"/>
  <c r="I13" i="24"/>
  <c r="K13" i="24" s="1"/>
  <c r="I17" i="24"/>
  <c r="K17" i="24" s="1"/>
  <c r="I21" i="24"/>
  <c r="K21" i="24" s="1"/>
  <c r="I25" i="24"/>
  <c r="K25" i="24" s="1"/>
  <c r="I29" i="24"/>
  <c r="I33" i="24"/>
  <c r="K33" i="24" s="1"/>
  <c r="I37" i="24"/>
  <c r="I41" i="24"/>
  <c r="K41" i="24" s="1"/>
  <c r="I20" i="24"/>
  <c r="K20" i="24" s="1"/>
  <c r="I32" i="24"/>
  <c r="K32" i="24" s="1"/>
  <c r="I14" i="24"/>
  <c r="I18" i="24"/>
  <c r="K18" i="24" s="1"/>
  <c r="I22" i="24"/>
  <c r="I26" i="24"/>
  <c r="K26" i="24" s="1"/>
  <c r="I30" i="24"/>
  <c r="I34" i="24"/>
  <c r="K34" i="24" s="1"/>
  <c r="I38" i="24"/>
  <c r="K38" i="24" s="1"/>
  <c r="O42" i="18"/>
  <c r="I24" i="24"/>
  <c r="K24" i="24" s="1"/>
  <c r="I36" i="24"/>
  <c r="K36" i="24" s="1"/>
  <c r="I15" i="24"/>
  <c r="K15" i="24" s="1"/>
  <c r="I19" i="24"/>
  <c r="K19" i="24" s="1"/>
  <c r="I23" i="24"/>
  <c r="K23" i="24" s="1"/>
  <c r="I27" i="24"/>
  <c r="K27" i="24" s="1"/>
  <c r="I31" i="24"/>
  <c r="K31" i="24" s="1"/>
  <c r="I35" i="24"/>
  <c r="K35" i="24" s="1"/>
  <c r="I39" i="24"/>
  <c r="K39" i="24" s="1"/>
  <c r="I16" i="24"/>
  <c r="K16" i="24" s="1"/>
  <c r="I28" i="24"/>
  <c r="K28" i="24" s="1"/>
  <c r="I40" i="24"/>
  <c r="I41" i="18"/>
  <c r="K41" i="18" s="1"/>
  <c r="AA40" i="18"/>
  <c r="AC40" i="18" s="1"/>
  <c r="AG40" i="18"/>
  <c r="AI40" i="18" s="1"/>
  <c r="U42" i="18"/>
  <c r="AG41" i="18"/>
  <c r="AI41" i="18" s="1"/>
  <c r="AG42" i="18"/>
  <c r="AI42" i="18" s="1"/>
  <c r="AL41" i="18"/>
  <c r="AL42" i="18"/>
  <c r="U41" i="18"/>
  <c r="W41" i="18" s="1"/>
  <c r="AA42" i="18"/>
  <c r="AC42" i="18" s="1"/>
  <c r="I40" i="18"/>
  <c r="K40" i="18" s="1"/>
  <c r="I42" i="18"/>
  <c r="O41" i="18"/>
  <c r="Q41" i="18" s="1"/>
  <c r="AA41" i="18"/>
  <c r="U40" i="18"/>
  <c r="W40" i="18" s="1"/>
  <c r="O40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AN36" i="18"/>
  <c r="AM36" i="18"/>
  <c r="AJ36" i="18"/>
  <c r="AK36" i="18"/>
  <c r="AG36" i="18"/>
  <c r="AI36" i="18" s="1"/>
  <c r="G36" i="18"/>
  <c r="Y36" i="18"/>
  <c r="S36" i="18"/>
  <c r="M36" i="18"/>
  <c r="AE36" i="18"/>
  <c r="AM24" i="18"/>
  <c r="AN24" i="18"/>
  <c r="AJ24" i="18"/>
  <c r="AE24" i="18"/>
  <c r="AK24" i="18"/>
  <c r="AG24" i="18"/>
  <c r="G24" i="18"/>
  <c r="M24" i="18"/>
  <c r="Y24" i="18"/>
  <c r="S24" i="18"/>
  <c r="AM16" i="18"/>
  <c r="AJ16" i="18"/>
  <c r="AG16" i="18"/>
  <c r="AI16" i="18" s="1"/>
  <c r="G16" i="18"/>
  <c r="M16" i="18"/>
  <c r="S16" i="18"/>
  <c r="AE16" i="18"/>
  <c r="AN16" i="18"/>
  <c r="AK16" i="18"/>
  <c r="Y16" i="18"/>
  <c r="AJ10" i="18"/>
  <c r="Y10" i="18"/>
  <c r="AM10" i="18"/>
  <c r="M10" i="18"/>
  <c r="S10" i="18"/>
  <c r="AN10" i="18"/>
  <c r="AK10" i="18"/>
  <c r="AE10" i="18"/>
  <c r="G10" i="18"/>
  <c r="AJ6" i="18"/>
  <c r="AE6" i="18"/>
  <c r="Y6" i="18"/>
  <c r="AK6" i="18"/>
  <c r="AM6" i="18"/>
  <c r="G6" i="18"/>
  <c r="S6" i="18"/>
  <c r="AN6" i="18"/>
  <c r="M6" i="18"/>
  <c r="AM39" i="18"/>
  <c r="AJ39" i="18"/>
  <c r="AN39" i="18"/>
  <c r="AE39" i="18"/>
  <c r="Y39" i="18"/>
  <c r="AK39" i="18"/>
  <c r="AL39" i="18"/>
  <c r="AG39" i="18"/>
  <c r="AI39" i="18" s="1"/>
  <c r="G39" i="18"/>
  <c r="M39" i="18"/>
  <c r="S39" i="18"/>
  <c r="AN38" i="18"/>
  <c r="AJ38" i="18"/>
  <c r="AM38" i="18"/>
  <c r="Y38" i="18"/>
  <c r="G38" i="18"/>
  <c r="AK38" i="18"/>
  <c r="AG38" i="18"/>
  <c r="AI38" i="18" s="1"/>
  <c r="M38" i="18"/>
  <c r="AE38" i="18"/>
  <c r="S38" i="18"/>
  <c r="AM32" i="18"/>
  <c r="AJ32" i="18"/>
  <c r="AN32" i="18"/>
  <c r="AG32" i="18"/>
  <c r="G32" i="18"/>
  <c r="Y32" i="18"/>
  <c r="M32" i="18"/>
  <c r="S32" i="18"/>
  <c r="AE32" i="18"/>
  <c r="AK32" i="18"/>
  <c r="AL32" i="18"/>
  <c r="AN28" i="18"/>
  <c r="AJ28" i="18"/>
  <c r="AM28" i="18"/>
  <c r="M28" i="18"/>
  <c r="S28" i="18"/>
  <c r="AE28" i="18"/>
  <c r="AK28" i="18"/>
  <c r="Y28" i="18"/>
  <c r="AG28" i="18"/>
  <c r="G28" i="18"/>
  <c r="AN20" i="18"/>
  <c r="AM20" i="18"/>
  <c r="AJ20" i="18"/>
  <c r="AK20" i="18"/>
  <c r="AG20" i="18"/>
  <c r="AI20" i="18" s="1"/>
  <c r="G20" i="18"/>
  <c r="Y20" i="18"/>
  <c r="M20" i="18"/>
  <c r="S20" i="18"/>
  <c r="AE20" i="18"/>
  <c r="AN14" i="18"/>
  <c r="AJ14" i="18"/>
  <c r="AM14" i="18"/>
  <c r="AK14" i="18"/>
  <c r="AG14" i="18"/>
  <c r="M14" i="18"/>
  <c r="AE14" i="18"/>
  <c r="S14" i="18"/>
  <c r="Y14" i="18"/>
  <c r="G14" i="18"/>
  <c r="AN34" i="18"/>
  <c r="AM34" i="18"/>
  <c r="AJ34" i="18"/>
  <c r="M34" i="18"/>
  <c r="G34" i="18"/>
  <c r="AG34" i="18"/>
  <c r="AE34" i="18"/>
  <c r="S34" i="18"/>
  <c r="AK34" i="18"/>
  <c r="Y34" i="18"/>
  <c r="AN30" i="18"/>
  <c r="AM30" i="18"/>
  <c r="AJ30" i="18"/>
  <c r="AG30" i="18"/>
  <c r="AE30" i="18"/>
  <c r="AK30" i="18"/>
  <c r="S30" i="18"/>
  <c r="M30" i="18"/>
  <c r="Y30" i="18"/>
  <c r="G30" i="18"/>
  <c r="AM26" i="18"/>
  <c r="AN26" i="18"/>
  <c r="AJ26" i="18"/>
  <c r="AG26" i="18"/>
  <c r="AI26" i="18" s="1"/>
  <c r="AE26" i="18"/>
  <c r="S26" i="18"/>
  <c r="Y26" i="18"/>
  <c r="M26" i="18"/>
  <c r="G26" i="18"/>
  <c r="AK26" i="18"/>
  <c r="AJ22" i="18"/>
  <c r="AM22" i="18"/>
  <c r="AN22" i="18"/>
  <c r="AK22" i="18"/>
  <c r="Y22" i="18"/>
  <c r="G22" i="18"/>
  <c r="AG22" i="18"/>
  <c r="AI22" i="18" s="1"/>
  <c r="M22" i="18"/>
  <c r="AE22" i="18"/>
  <c r="S22" i="18"/>
  <c r="AJ18" i="18"/>
  <c r="AM18" i="18"/>
  <c r="AN18" i="18"/>
  <c r="M18" i="18"/>
  <c r="G18" i="18"/>
  <c r="AG18" i="18"/>
  <c r="AE18" i="18"/>
  <c r="AK18" i="18"/>
  <c r="S18" i="18"/>
  <c r="Y18" i="18"/>
  <c r="AJ12" i="18"/>
  <c r="AM12" i="18"/>
  <c r="AN12" i="18"/>
  <c r="M12" i="18"/>
  <c r="S12" i="18"/>
  <c r="AE12" i="18"/>
  <c r="Y12" i="18"/>
  <c r="AK12" i="18"/>
  <c r="G12" i="18"/>
  <c r="AJ8" i="18"/>
  <c r="M8" i="18"/>
  <c r="AN8" i="18"/>
  <c r="AE8" i="18"/>
  <c r="AK8" i="18"/>
  <c r="AL8" i="18"/>
  <c r="Y8" i="18"/>
  <c r="AM8" i="18"/>
  <c r="S8" i="18"/>
  <c r="G8" i="18"/>
  <c r="AJ4" i="18"/>
  <c r="AM4" i="18"/>
  <c r="H27" i="3"/>
  <c r="S4" i="18"/>
  <c r="H17" i="3"/>
  <c r="AE4" i="18"/>
  <c r="H19" i="3"/>
  <c r="AK4" i="18"/>
  <c r="J27" i="3"/>
  <c r="AN4" i="18"/>
  <c r="H28" i="3"/>
  <c r="Y4" i="18"/>
  <c r="H18" i="3"/>
  <c r="G4" i="18"/>
  <c r="H15" i="3"/>
  <c r="H20" i="3"/>
  <c r="D20" i="3"/>
  <c r="M4" i="18"/>
  <c r="H16" i="3"/>
  <c r="AJ37" i="18"/>
  <c r="AN37" i="18"/>
  <c r="AM37" i="18"/>
  <c r="AK37" i="18"/>
  <c r="Y37" i="18"/>
  <c r="S37" i="18"/>
  <c r="G37" i="18"/>
  <c r="AG37" i="18"/>
  <c r="AI37" i="18" s="1"/>
  <c r="M37" i="18"/>
  <c r="AE37" i="18"/>
  <c r="AN35" i="18"/>
  <c r="AM35" i="18"/>
  <c r="AJ35" i="18"/>
  <c r="AK35" i="18"/>
  <c r="AG35" i="18"/>
  <c r="AI35" i="18" s="1"/>
  <c r="M35" i="18"/>
  <c r="G35" i="18"/>
  <c r="AE35" i="18"/>
  <c r="S35" i="18"/>
  <c r="Y35" i="18"/>
  <c r="AN33" i="18"/>
  <c r="AM33" i="18"/>
  <c r="AJ33" i="18"/>
  <c r="AG33" i="18"/>
  <c r="AI33" i="18" s="1"/>
  <c r="M33" i="18"/>
  <c r="G33" i="18"/>
  <c r="AE33" i="18"/>
  <c r="AK33" i="18"/>
  <c r="Y33" i="18"/>
  <c r="S33" i="18"/>
  <c r="AM31" i="18"/>
  <c r="AN31" i="18"/>
  <c r="AJ31" i="18"/>
  <c r="AG31" i="18"/>
  <c r="M31" i="18"/>
  <c r="G31" i="18"/>
  <c r="S31" i="18"/>
  <c r="Y31" i="18"/>
  <c r="AE31" i="18"/>
  <c r="AK31" i="18"/>
  <c r="AN29" i="18"/>
  <c r="AJ29" i="18"/>
  <c r="AM29" i="18"/>
  <c r="M29" i="18"/>
  <c r="G29" i="18"/>
  <c r="AE29" i="18"/>
  <c r="S29" i="18"/>
  <c r="AK29" i="18"/>
  <c r="Y29" i="18"/>
  <c r="AG29" i="18"/>
  <c r="AJ27" i="18"/>
  <c r="AN27" i="18"/>
  <c r="AM27" i="18"/>
  <c r="M27" i="18"/>
  <c r="S27" i="18"/>
  <c r="G27" i="18"/>
  <c r="AE27" i="18"/>
  <c r="Y27" i="18"/>
  <c r="AG27" i="18"/>
  <c r="AI27" i="18" s="1"/>
  <c r="AK27" i="18"/>
  <c r="AN25" i="18"/>
  <c r="AM25" i="18"/>
  <c r="AJ25" i="18"/>
  <c r="M25" i="18"/>
  <c r="AE25" i="18"/>
  <c r="AG25" i="18"/>
  <c r="G25" i="18"/>
  <c r="AK25" i="18"/>
  <c r="Y25" i="18"/>
  <c r="S25" i="18"/>
  <c r="AM23" i="18"/>
  <c r="AJ23" i="18"/>
  <c r="AN23" i="18"/>
  <c r="AG23" i="18"/>
  <c r="G23" i="18"/>
  <c r="Y23" i="18"/>
  <c r="AK23" i="18"/>
  <c r="M23" i="18"/>
  <c r="AE23" i="18"/>
  <c r="S23" i="18"/>
  <c r="AJ21" i="18"/>
  <c r="AN21" i="18"/>
  <c r="AM21" i="18"/>
  <c r="AK21" i="18"/>
  <c r="Y21" i="18"/>
  <c r="S21" i="18"/>
  <c r="AG21" i="18"/>
  <c r="AI21" i="18" s="1"/>
  <c r="M21" i="18"/>
  <c r="G21" i="18"/>
  <c r="AE21" i="18"/>
  <c r="AN19" i="18"/>
  <c r="AM19" i="18"/>
  <c r="AJ19" i="18"/>
  <c r="G19" i="18"/>
  <c r="AK19" i="18"/>
  <c r="AE19" i="18"/>
  <c r="AG19" i="18"/>
  <c r="AI19" i="18" s="1"/>
  <c r="M19" i="18"/>
  <c r="S19" i="18"/>
  <c r="Y19" i="18"/>
  <c r="AN17" i="18"/>
  <c r="AM17" i="18"/>
  <c r="AJ17" i="18"/>
  <c r="G17" i="18"/>
  <c r="AG17" i="18"/>
  <c r="AI17" i="18" s="1"/>
  <c r="M17" i="18"/>
  <c r="AE17" i="18"/>
  <c r="S17" i="18"/>
  <c r="AK17" i="18"/>
  <c r="Y17" i="18"/>
  <c r="AJ15" i="18"/>
  <c r="AM15" i="18"/>
  <c r="AN15" i="18"/>
  <c r="AG15" i="18"/>
  <c r="M15" i="18"/>
  <c r="S15" i="18"/>
  <c r="AE15" i="18"/>
  <c r="Y15" i="18"/>
  <c r="G15" i="18"/>
  <c r="AK15" i="18"/>
  <c r="AN13" i="18"/>
  <c r="AJ13" i="18"/>
  <c r="AM13" i="18"/>
  <c r="G13" i="18"/>
  <c r="S13" i="18"/>
  <c r="M13" i="18"/>
  <c r="AE13" i="18"/>
  <c r="AK13" i="18"/>
  <c r="Y13" i="18"/>
  <c r="AG13" i="18"/>
  <c r="AJ11" i="18"/>
  <c r="S11" i="18"/>
  <c r="AN11" i="18"/>
  <c r="Y11" i="18"/>
  <c r="AK11" i="18"/>
  <c r="G11" i="18"/>
  <c r="M11" i="18"/>
  <c r="AM11" i="18"/>
  <c r="AE11" i="18"/>
  <c r="AJ9" i="18"/>
  <c r="AN9" i="18"/>
  <c r="S9" i="18"/>
  <c r="G9" i="18"/>
  <c r="M9" i="18"/>
  <c r="Y9" i="18"/>
  <c r="AE9" i="18"/>
  <c r="AM9" i="18"/>
  <c r="AK9" i="18"/>
  <c r="AL9" i="18"/>
  <c r="AJ7" i="18"/>
  <c r="AK7" i="18"/>
  <c r="G7" i="18"/>
  <c r="S7" i="18"/>
  <c r="AN7" i="18"/>
  <c r="Y7" i="18"/>
  <c r="M7" i="18"/>
  <c r="AM7" i="18"/>
  <c r="AE7" i="18"/>
  <c r="AJ5" i="18"/>
  <c r="AK5" i="18"/>
  <c r="S5" i="18"/>
  <c r="AN5" i="18"/>
  <c r="G5" i="18"/>
  <c r="M5" i="18"/>
  <c r="Y5" i="18"/>
  <c r="AE5" i="18"/>
  <c r="AM5" i="18"/>
  <c r="AD4" i="18"/>
  <c r="G19" i="3"/>
  <c r="I19" i="3" s="1"/>
  <c r="F4" i="18"/>
  <c r="G15" i="3"/>
  <c r="I15" i="3" s="1"/>
  <c r="L4" i="18"/>
  <c r="G16" i="3"/>
  <c r="I16" i="3" s="1"/>
  <c r="D19" i="3"/>
  <c r="F19" i="3" s="1"/>
  <c r="J19" i="3" s="1"/>
  <c r="X4" i="18"/>
  <c r="G18" i="3"/>
  <c r="I18" i="3" s="1"/>
  <c r="D18" i="3"/>
  <c r="R4" i="18"/>
  <c r="G17" i="3"/>
  <c r="I17" i="3" s="1"/>
  <c r="D16" i="3"/>
  <c r="F16" i="3" s="1"/>
  <c r="J16" i="3" s="1"/>
  <c r="D17" i="3"/>
  <c r="F17" i="3" s="1"/>
  <c r="J17" i="3" s="1"/>
  <c r="R37" i="18"/>
  <c r="U37" i="18"/>
  <c r="AD37" i="18"/>
  <c r="L37" i="18"/>
  <c r="X37" i="18"/>
  <c r="F37" i="18"/>
  <c r="AA37" i="18"/>
  <c r="AC37" i="18" s="1"/>
  <c r="I37" i="18"/>
  <c r="K37" i="18" s="1"/>
  <c r="O37" i="18"/>
  <c r="AD35" i="18"/>
  <c r="F35" i="18"/>
  <c r="U35" i="18"/>
  <c r="W35" i="18" s="1"/>
  <c r="X35" i="18"/>
  <c r="AA35" i="18"/>
  <c r="R35" i="18"/>
  <c r="L35" i="18"/>
  <c r="O35" i="18"/>
  <c r="Q35" i="18" s="1"/>
  <c r="I35" i="18"/>
  <c r="R33" i="18"/>
  <c r="U33" i="18"/>
  <c r="W33" i="18" s="1"/>
  <c r="AD33" i="18"/>
  <c r="L33" i="18"/>
  <c r="AA33" i="18"/>
  <c r="AC33" i="18" s="1"/>
  <c r="X33" i="18"/>
  <c r="F33" i="18"/>
  <c r="I33" i="18"/>
  <c r="O33" i="18"/>
  <c r="Q33" i="18" s="1"/>
  <c r="AD31" i="18"/>
  <c r="F31" i="18"/>
  <c r="U31" i="18"/>
  <c r="X31" i="18"/>
  <c r="R31" i="18"/>
  <c r="AA31" i="18"/>
  <c r="AC31" i="18" s="1"/>
  <c r="O31" i="18"/>
  <c r="L31" i="18"/>
  <c r="I31" i="18"/>
  <c r="K31" i="18" s="1"/>
  <c r="R29" i="18"/>
  <c r="U29" i="18"/>
  <c r="AD29" i="18"/>
  <c r="L29" i="18"/>
  <c r="I29" i="18"/>
  <c r="K29" i="18" s="1"/>
  <c r="F29" i="18"/>
  <c r="AA29" i="18"/>
  <c r="AC29" i="18" s="1"/>
  <c r="X29" i="18"/>
  <c r="O29" i="18"/>
  <c r="AD27" i="18"/>
  <c r="F27" i="18"/>
  <c r="U27" i="18"/>
  <c r="W27" i="18" s="1"/>
  <c r="L27" i="18"/>
  <c r="AA27" i="18"/>
  <c r="X27" i="18"/>
  <c r="O27" i="18"/>
  <c r="Q27" i="18" s="1"/>
  <c r="I27" i="18"/>
  <c r="K27" i="18" s="1"/>
  <c r="R27" i="18"/>
  <c r="R25" i="18"/>
  <c r="U25" i="18"/>
  <c r="W25" i="18" s="1"/>
  <c r="X25" i="18"/>
  <c r="F25" i="18"/>
  <c r="AA25" i="18"/>
  <c r="AC25" i="18" s="1"/>
  <c r="L25" i="18"/>
  <c r="I25" i="18"/>
  <c r="K25" i="18" s="1"/>
  <c r="AD25" i="18"/>
  <c r="O25" i="18"/>
  <c r="Q25" i="18" s="1"/>
  <c r="AD23" i="18"/>
  <c r="F23" i="18"/>
  <c r="U23" i="18"/>
  <c r="R23" i="18"/>
  <c r="L23" i="18"/>
  <c r="AA23" i="18"/>
  <c r="AC23" i="18" s="1"/>
  <c r="O23" i="18"/>
  <c r="X23" i="18"/>
  <c r="I23" i="18"/>
  <c r="K23" i="18" s="1"/>
  <c r="R21" i="18"/>
  <c r="U21" i="18"/>
  <c r="AD21" i="18"/>
  <c r="L21" i="18"/>
  <c r="X21" i="18"/>
  <c r="F21" i="18"/>
  <c r="I21" i="18"/>
  <c r="K21" i="18" s="1"/>
  <c r="AA21" i="18"/>
  <c r="AC21" i="18" s="1"/>
  <c r="O21" i="18"/>
  <c r="AD19" i="18"/>
  <c r="F19" i="18"/>
  <c r="U19" i="18"/>
  <c r="W19" i="18" s="1"/>
  <c r="X19" i="18"/>
  <c r="AA19" i="18"/>
  <c r="R19" i="18"/>
  <c r="L19" i="18"/>
  <c r="O19" i="18"/>
  <c r="Q19" i="18" s="1"/>
  <c r="I19" i="18"/>
  <c r="R17" i="18"/>
  <c r="U17" i="18"/>
  <c r="W17" i="18" s="1"/>
  <c r="AD17" i="18"/>
  <c r="L17" i="18"/>
  <c r="AA17" i="18"/>
  <c r="AC17" i="18" s="1"/>
  <c r="X17" i="18"/>
  <c r="F17" i="18"/>
  <c r="I17" i="18"/>
  <c r="O17" i="18"/>
  <c r="Q17" i="18" s="1"/>
  <c r="AD15" i="18"/>
  <c r="F15" i="18"/>
  <c r="U15" i="18"/>
  <c r="W15" i="18" s="1"/>
  <c r="X15" i="18"/>
  <c r="R15" i="18"/>
  <c r="AA15" i="18"/>
  <c r="AC15" i="18" s="1"/>
  <c r="O15" i="18"/>
  <c r="L15" i="18"/>
  <c r="I15" i="18"/>
  <c r="K15" i="18" s="1"/>
  <c r="R13" i="18"/>
  <c r="U13" i="18"/>
  <c r="W13" i="18" s="1"/>
  <c r="AD13" i="18"/>
  <c r="L13" i="18"/>
  <c r="X13" i="18"/>
  <c r="I13" i="18"/>
  <c r="F13" i="18"/>
  <c r="AA13" i="18"/>
  <c r="AC13" i="18" s="1"/>
  <c r="O13" i="18"/>
  <c r="Q13" i="18" s="1"/>
  <c r="AD11" i="18"/>
  <c r="F11" i="18"/>
  <c r="L11" i="18"/>
  <c r="X11" i="18"/>
  <c r="R11" i="18"/>
  <c r="R9" i="18"/>
  <c r="X9" i="18"/>
  <c r="F9" i="18"/>
  <c r="AD9" i="18"/>
  <c r="L9" i="18"/>
  <c r="AD7" i="18"/>
  <c r="F7" i="18"/>
  <c r="R7" i="18"/>
  <c r="L7" i="18"/>
  <c r="X7" i="18"/>
  <c r="R5" i="18"/>
  <c r="AD5" i="18"/>
  <c r="L5" i="18"/>
  <c r="X5" i="18"/>
  <c r="F5" i="18"/>
  <c r="L38" i="18"/>
  <c r="AA38" i="18"/>
  <c r="AC38" i="18" s="1"/>
  <c r="AD38" i="18"/>
  <c r="O38" i="18"/>
  <c r="Q38" i="18" s="1"/>
  <c r="X38" i="18"/>
  <c r="F38" i="18"/>
  <c r="R38" i="18"/>
  <c r="U38" i="18"/>
  <c r="W38" i="18" s="1"/>
  <c r="I38" i="18"/>
  <c r="K38" i="18" s="1"/>
  <c r="X36" i="18"/>
  <c r="AA36" i="18"/>
  <c r="AC36" i="18" s="1"/>
  <c r="F36" i="18"/>
  <c r="O36" i="18"/>
  <c r="Q36" i="18" s="1"/>
  <c r="R36" i="18"/>
  <c r="U36" i="18"/>
  <c r="W36" i="18" s="1"/>
  <c r="AD36" i="18"/>
  <c r="L36" i="18"/>
  <c r="I36" i="18"/>
  <c r="K36" i="18" s="1"/>
  <c r="L34" i="18"/>
  <c r="AA34" i="18"/>
  <c r="AC34" i="18" s="1"/>
  <c r="R34" i="18"/>
  <c r="U34" i="18"/>
  <c r="W34" i="18" s="1"/>
  <c r="O34" i="18"/>
  <c r="Q34" i="18" s="1"/>
  <c r="AD34" i="18"/>
  <c r="X34" i="18"/>
  <c r="I34" i="18"/>
  <c r="K34" i="18" s="1"/>
  <c r="F34" i="18"/>
  <c r="X32" i="18"/>
  <c r="AA32" i="18"/>
  <c r="AC32" i="18" s="1"/>
  <c r="AD32" i="18"/>
  <c r="L32" i="18"/>
  <c r="F32" i="18"/>
  <c r="O32" i="18"/>
  <c r="Q32" i="18" s="1"/>
  <c r="U32" i="18"/>
  <c r="I32" i="18"/>
  <c r="K32" i="18" s="1"/>
  <c r="R32" i="18"/>
  <c r="L30" i="18"/>
  <c r="AA30" i="18"/>
  <c r="AC30" i="18" s="1"/>
  <c r="X30" i="18"/>
  <c r="F30" i="18"/>
  <c r="R30" i="18"/>
  <c r="O30" i="18"/>
  <c r="AD30" i="18"/>
  <c r="I30" i="18"/>
  <c r="K30" i="18" s="1"/>
  <c r="U30" i="18"/>
  <c r="W30" i="18" s="1"/>
  <c r="X28" i="18"/>
  <c r="AA28" i="18"/>
  <c r="AC28" i="18" s="1"/>
  <c r="R28" i="18"/>
  <c r="AD28" i="18"/>
  <c r="L28" i="18"/>
  <c r="O28" i="18"/>
  <c r="Q28" i="18" s="1"/>
  <c r="F28" i="18"/>
  <c r="U28" i="18"/>
  <c r="W28" i="18" s="1"/>
  <c r="I28" i="18"/>
  <c r="K28" i="18" s="1"/>
  <c r="L26" i="18"/>
  <c r="AA26" i="18"/>
  <c r="AC26" i="18" s="1"/>
  <c r="AD26" i="18"/>
  <c r="X26" i="18"/>
  <c r="F26" i="18"/>
  <c r="U26" i="18"/>
  <c r="W26" i="18" s="1"/>
  <c r="O26" i="18"/>
  <c r="Q26" i="18" s="1"/>
  <c r="R26" i="18"/>
  <c r="I26" i="18"/>
  <c r="K26" i="18" s="1"/>
  <c r="X24" i="18"/>
  <c r="AA24" i="18"/>
  <c r="AC24" i="18" s="1"/>
  <c r="R24" i="18"/>
  <c r="O24" i="18"/>
  <c r="Q24" i="18" s="1"/>
  <c r="AD24" i="18"/>
  <c r="L24" i="18"/>
  <c r="U24" i="18"/>
  <c r="W24" i="18" s="1"/>
  <c r="F24" i="18"/>
  <c r="I24" i="18"/>
  <c r="K24" i="18" s="1"/>
  <c r="L22" i="18"/>
  <c r="AA22" i="18"/>
  <c r="AD22" i="18"/>
  <c r="O22" i="18"/>
  <c r="Q22" i="18" s="1"/>
  <c r="X22" i="18"/>
  <c r="F22" i="18"/>
  <c r="R22" i="18"/>
  <c r="U22" i="18"/>
  <c r="W22" i="18" s="1"/>
  <c r="I22" i="18"/>
  <c r="K22" i="18" s="1"/>
  <c r="X20" i="18"/>
  <c r="AA20" i="18"/>
  <c r="AC20" i="18" s="1"/>
  <c r="F20" i="18"/>
  <c r="O20" i="18"/>
  <c r="Q20" i="18" s="1"/>
  <c r="R20" i="18"/>
  <c r="L20" i="18"/>
  <c r="U20" i="18"/>
  <c r="W20" i="18" s="1"/>
  <c r="AD20" i="18"/>
  <c r="I20" i="18"/>
  <c r="K20" i="18" s="1"/>
  <c r="L18" i="18"/>
  <c r="AA18" i="18"/>
  <c r="R18" i="18"/>
  <c r="U18" i="18"/>
  <c r="O18" i="18"/>
  <c r="Q18" i="18" s="1"/>
  <c r="AD18" i="18"/>
  <c r="I18" i="18"/>
  <c r="K18" i="18" s="1"/>
  <c r="X18" i="18"/>
  <c r="F18" i="18"/>
  <c r="X16" i="18"/>
  <c r="AA16" i="18"/>
  <c r="AC16" i="18" s="1"/>
  <c r="AD16" i="18"/>
  <c r="L16" i="18"/>
  <c r="F16" i="18"/>
  <c r="O16" i="18"/>
  <c r="U16" i="18"/>
  <c r="W16" i="18" s="1"/>
  <c r="R16" i="18"/>
  <c r="I16" i="18"/>
  <c r="K16" i="18" s="1"/>
  <c r="L14" i="18"/>
  <c r="AA14" i="18"/>
  <c r="X14" i="18"/>
  <c r="F14" i="18"/>
  <c r="R14" i="18"/>
  <c r="O14" i="18"/>
  <c r="Q14" i="18" s="1"/>
  <c r="AD14" i="18"/>
  <c r="I14" i="18"/>
  <c r="K14" i="18" s="1"/>
  <c r="U14" i="18"/>
  <c r="W14" i="18" s="1"/>
  <c r="X12" i="18"/>
  <c r="R12" i="18"/>
  <c r="AD12" i="18"/>
  <c r="L12" i="18"/>
  <c r="F12" i="18"/>
  <c r="L10" i="18"/>
  <c r="AD10" i="18"/>
  <c r="X10" i="18"/>
  <c r="F10" i="18"/>
  <c r="R10" i="18"/>
  <c r="X8" i="18"/>
  <c r="R8" i="18"/>
  <c r="AD8" i="18"/>
  <c r="L8" i="18"/>
  <c r="F8" i="18"/>
  <c r="L6" i="18"/>
  <c r="AD6" i="18"/>
  <c r="X6" i="18"/>
  <c r="F6" i="18"/>
  <c r="R6" i="18"/>
  <c r="AD39" i="18"/>
  <c r="F39" i="18"/>
  <c r="R39" i="18"/>
  <c r="L39" i="18"/>
  <c r="U39" i="18"/>
  <c r="W39" i="18" s="1"/>
  <c r="AA39" i="18"/>
  <c r="AC39" i="18" s="1"/>
  <c r="X39" i="18"/>
  <c r="O39" i="18"/>
  <c r="Q39" i="18" s="1"/>
  <c r="I39" i="18"/>
  <c r="K39" i="18" s="1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/>
  <c r="AP4" i="18"/>
  <c r="H30" i="3"/>
  <c r="AQ4" i="18"/>
  <c r="C22" i="3"/>
  <c r="AO4" i="18"/>
  <c r="H29" i="3"/>
  <c r="AS4" i="18"/>
  <c r="B36" i="3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E28" i="18" s="1"/>
  <c r="AT28" i="18" s="1"/>
  <c r="AU28" i="18" s="1"/>
  <c r="C26" i="18"/>
  <c r="E26" i="18" s="1"/>
  <c r="AT26" i="18" s="1"/>
  <c r="AU26" i="18" s="1"/>
  <c r="C24" i="18"/>
  <c r="E24" i="18" s="1"/>
  <c r="AT24" i="18" s="1"/>
  <c r="AU24" i="18" s="1"/>
  <c r="C22" i="18"/>
  <c r="E22" i="18" s="1"/>
  <c r="AT22" i="18" s="1"/>
  <c r="AU22" i="18" s="1"/>
  <c r="C20" i="18"/>
  <c r="E20" i="18" s="1"/>
  <c r="AT20" i="18" s="1"/>
  <c r="AU20" i="18" s="1"/>
  <c r="C18" i="18"/>
  <c r="E18" i="18" s="1"/>
  <c r="AT18" i="18" s="1"/>
  <c r="AU18" i="18" s="1"/>
  <c r="C16" i="18"/>
  <c r="E16" i="18" s="1"/>
  <c r="AT16" i="18" s="1"/>
  <c r="AU16" i="18" s="1"/>
  <c r="C14" i="18"/>
  <c r="E14" i="18" s="1"/>
  <c r="AT14" i="18" s="1"/>
  <c r="AU14" i="18" s="1"/>
  <c r="C29" i="18"/>
  <c r="E29" i="18" s="1"/>
  <c r="AT29" i="18" s="1"/>
  <c r="AU29" i="18" s="1"/>
  <c r="C27" i="18"/>
  <c r="E27" i="18" s="1"/>
  <c r="AT27" i="18" s="1"/>
  <c r="AU27" i="18" s="1"/>
  <c r="C25" i="18"/>
  <c r="E25" i="18" s="1"/>
  <c r="AT25" i="18" s="1"/>
  <c r="AU25" i="18" s="1"/>
  <c r="C23" i="18"/>
  <c r="E23" i="18" s="1"/>
  <c r="AT23" i="18" s="1"/>
  <c r="AU23" i="18" s="1"/>
  <c r="C21" i="18"/>
  <c r="E21" i="18" s="1"/>
  <c r="AT21" i="18" s="1"/>
  <c r="AU21" i="18" s="1"/>
  <c r="C19" i="18"/>
  <c r="E19" i="18" s="1"/>
  <c r="AT19" i="18" s="1"/>
  <c r="AU19" i="18" s="1"/>
  <c r="C17" i="18"/>
  <c r="E17" i="18" s="1"/>
  <c r="AT17" i="18" s="1"/>
  <c r="AU17" i="18" s="1"/>
  <c r="C15" i="18"/>
  <c r="E15" i="18" s="1"/>
  <c r="AT15" i="18" s="1"/>
  <c r="AU15" i="18" s="1"/>
  <c r="C13" i="18"/>
  <c r="E13" i="18" s="1"/>
  <c r="AT13" i="18" s="1"/>
  <c r="AU13" i="18" s="1"/>
  <c r="AL34" i="18"/>
  <c r="AL28" i="18"/>
  <c r="AL24" i="18"/>
  <c r="J30" i="3"/>
  <c r="I29" i="3"/>
  <c r="J29" i="3"/>
  <c r="I27" i="3"/>
  <c r="AL20" i="18"/>
  <c r="AL22" i="18"/>
  <c r="AL12" i="18"/>
  <c r="AL30" i="18"/>
  <c r="I28" i="3"/>
  <c r="AL6" i="18"/>
  <c r="AL5" i="18"/>
  <c r="I30" i="3"/>
  <c r="AL35" i="18"/>
  <c r="AL17" i="18"/>
  <c r="AL7" i="18"/>
  <c r="AL15" i="18"/>
  <c r="AL25" i="18"/>
  <c r="AL33" i="18"/>
  <c r="AL14" i="18"/>
  <c r="AL13" i="18"/>
  <c r="AL29" i="18"/>
  <c r="AL31" i="18"/>
  <c r="AL16" i="18"/>
  <c r="AL18" i="18"/>
  <c r="AL11" i="18"/>
  <c r="AL19" i="18"/>
  <c r="AL26" i="18"/>
  <c r="AL36" i="18"/>
  <c r="AL38" i="18"/>
  <c r="AL21" i="18"/>
  <c r="AL27" i="18"/>
  <c r="AL37" i="18"/>
  <c r="J28" i="3"/>
  <c r="AL23" i="18"/>
  <c r="G20" i="3"/>
  <c r="I20" i="3" s="1"/>
  <c r="AL4" i="18"/>
  <c r="AL10" i="18"/>
  <c r="D15" i="3"/>
  <c r="F15" i="3" s="1"/>
  <c r="J15" i="3" s="1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I5" i="25"/>
  <c r="U6" i="24"/>
  <c r="I9" i="25"/>
  <c r="U10" i="24"/>
  <c r="I13" i="25"/>
  <c r="I17" i="25"/>
  <c r="I21" i="25"/>
  <c r="I25" i="25"/>
  <c r="I29" i="25"/>
  <c r="I33" i="25"/>
  <c r="I37" i="25"/>
  <c r="I41" i="25"/>
  <c r="J6" i="25"/>
  <c r="V7" i="24"/>
  <c r="J10" i="25"/>
  <c r="V11" i="24"/>
  <c r="J14" i="25"/>
  <c r="J18" i="25"/>
  <c r="J22" i="25"/>
  <c r="J26" i="25"/>
  <c r="J30" i="25"/>
  <c r="J34" i="25"/>
  <c r="J38" i="25"/>
  <c r="J5" i="25"/>
  <c r="V6" i="24"/>
  <c r="J9" i="25"/>
  <c r="V10" i="24"/>
  <c r="J13" i="25"/>
  <c r="J17" i="25"/>
  <c r="J21" i="25"/>
  <c r="J25" i="25"/>
  <c r="J29" i="25"/>
  <c r="J33" i="25"/>
  <c r="J37" i="25"/>
  <c r="J41" i="25"/>
  <c r="I6" i="25"/>
  <c r="U7" i="24"/>
  <c r="I10" i="25"/>
  <c r="U11" i="24"/>
  <c r="I14" i="25"/>
  <c r="I18" i="25"/>
  <c r="I22" i="25"/>
  <c r="I26" i="25"/>
  <c r="I30" i="25"/>
  <c r="I34" i="25"/>
  <c r="I38" i="25"/>
  <c r="I3" i="25"/>
  <c r="U4" i="24"/>
  <c r="K27" i="23"/>
  <c r="I7" i="25"/>
  <c r="U8" i="24"/>
  <c r="I11" i="25"/>
  <c r="I15" i="25"/>
  <c r="I19" i="25"/>
  <c r="I23" i="25"/>
  <c r="I27" i="25"/>
  <c r="I31" i="25"/>
  <c r="I35" i="25"/>
  <c r="I39" i="25"/>
  <c r="J4" i="25"/>
  <c r="V5" i="24"/>
  <c r="J8" i="25"/>
  <c r="V9" i="24"/>
  <c r="J12" i="25"/>
  <c r="J16" i="25"/>
  <c r="J20" i="25"/>
  <c r="J24" i="25"/>
  <c r="J28" i="25"/>
  <c r="J32" i="25"/>
  <c r="J36" i="25"/>
  <c r="J40" i="25"/>
  <c r="J3" i="25"/>
  <c r="V4" i="24"/>
  <c r="K28" i="23"/>
  <c r="J7" i="25"/>
  <c r="V8" i="24"/>
  <c r="J11" i="25"/>
  <c r="J15" i="25"/>
  <c r="J19" i="25"/>
  <c r="J23" i="25"/>
  <c r="J27" i="25"/>
  <c r="J31" i="25"/>
  <c r="J35" i="25"/>
  <c r="J39" i="25"/>
  <c r="I4" i="25"/>
  <c r="U5" i="24"/>
  <c r="I8" i="25"/>
  <c r="U9" i="24"/>
  <c r="I12" i="25"/>
  <c r="I16" i="25"/>
  <c r="I20" i="25"/>
  <c r="I24" i="25"/>
  <c r="I28" i="25"/>
  <c r="I32" i="25"/>
  <c r="I36" i="25"/>
  <c r="I40" i="25"/>
  <c r="H4" i="18"/>
  <c r="T4" i="18"/>
  <c r="M4" i="25"/>
  <c r="Y5" i="24"/>
  <c r="M5" i="25"/>
  <c r="Y6" i="24"/>
  <c r="M6" i="25"/>
  <c r="Y7" i="24"/>
  <c r="M7" i="25"/>
  <c r="Y8" i="24"/>
  <c r="M8" i="25"/>
  <c r="Y9" i="24"/>
  <c r="M9" i="25"/>
  <c r="Y10" i="24"/>
  <c r="M10" i="25"/>
  <c r="Y11" i="24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/>
  <c r="L7" i="25"/>
  <c r="X8" i="24"/>
  <c r="L10" i="25"/>
  <c r="X11" i="24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/>
  <c r="N5" i="25"/>
  <c r="Z6" i="24"/>
  <c r="N6" i="25"/>
  <c r="Z7" i="24"/>
  <c r="N7" i="25"/>
  <c r="Z8" i="24"/>
  <c r="N8" i="25"/>
  <c r="Z9" i="24"/>
  <c r="N9" i="25"/>
  <c r="Z10" i="24"/>
  <c r="N10" i="25"/>
  <c r="Z11" i="24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/>
  <c r="L8" i="25"/>
  <c r="X9" i="24"/>
  <c r="L11" i="25"/>
  <c r="L16" i="25"/>
  <c r="L19" i="25"/>
  <c r="L22" i="25"/>
  <c r="L27" i="25"/>
  <c r="L30" i="25"/>
  <c r="L33" i="25"/>
  <c r="L36" i="25"/>
  <c r="L41" i="25"/>
  <c r="O4" i="25"/>
  <c r="AA5" i="24"/>
  <c r="O5" i="25"/>
  <c r="AA6" i="24"/>
  <c r="O6" i="25"/>
  <c r="AA7" i="24"/>
  <c r="O7" i="25"/>
  <c r="AA8" i="24"/>
  <c r="O8" i="25"/>
  <c r="AA9" i="24"/>
  <c r="O9" i="25"/>
  <c r="AA10" i="24"/>
  <c r="O10" i="25"/>
  <c r="AA11" i="24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/>
  <c r="L9" i="25"/>
  <c r="X10" i="24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/>
  <c r="C22" i="23"/>
  <c r="L3" i="25"/>
  <c r="X4" i="24"/>
  <c r="K30" i="23"/>
  <c r="N3" i="25"/>
  <c r="Z4" i="24"/>
  <c r="D22" i="23"/>
  <c r="O3" i="25"/>
  <c r="AA4" i="24"/>
  <c r="B36" i="23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/>
  <c r="K29" i="23"/>
  <c r="K25" i="25"/>
  <c r="K22" i="25"/>
  <c r="K28" i="25"/>
  <c r="K34" i="25"/>
  <c r="K40" i="25"/>
  <c r="K9" i="25"/>
  <c r="W10" i="24"/>
  <c r="K13" i="25"/>
  <c r="K15" i="25"/>
  <c r="K19" i="25"/>
  <c r="K31" i="25"/>
  <c r="K35" i="25"/>
  <c r="K37" i="25"/>
  <c r="K4" i="25"/>
  <c r="W5" i="24"/>
  <c r="K6" i="25"/>
  <c r="W7" i="24"/>
  <c r="K8" i="25"/>
  <c r="W9" i="24"/>
  <c r="K10" i="25"/>
  <c r="W11" i="24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/>
  <c r="K7" i="25"/>
  <c r="W8" i="24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/>
  <c r="D39" i="25"/>
  <c r="C30" i="25"/>
  <c r="C4" i="25"/>
  <c r="D5" i="24"/>
  <c r="D5" i="18"/>
  <c r="D8" i="25"/>
  <c r="G9" i="24"/>
  <c r="J9" i="18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/>
  <c r="E20" i="25"/>
  <c r="C38" i="25"/>
  <c r="F17" i="25"/>
  <c r="F35" i="25"/>
  <c r="F4" i="25"/>
  <c r="M5" i="24"/>
  <c r="V5" i="18"/>
  <c r="G4" i="25"/>
  <c r="P5" i="24"/>
  <c r="C8" i="25"/>
  <c r="D9" i="24"/>
  <c r="D9" i="18"/>
  <c r="D10" i="25"/>
  <c r="G11" i="24"/>
  <c r="J11" i="18"/>
  <c r="E10" i="25"/>
  <c r="J11" i="24"/>
  <c r="P11" i="18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/>
  <c r="P9" i="18"/>
  <c r="E4" i="25"/>
  <c r="J5" i="24"/>
  <c r="P5" i="18"/>
  <c r="E32" i="25"/>
  <c r="D11" i="25"/>
  <c r="F41" i="25"/>
  <c r="G34" i="25"/>
  <c r="D27" i="25"/>
  <c r="D31" i="25"/>
  <c r="G22" i="25"/>
  <c r="D14" i="25"/>
  <c r="C6" i="25"/>
  <c r="D7" i="24"/>
  <c r="D7" i="18"/>
  <c r="C5" i="25"/>
  <c r="D6" i="24"/>
  <c r="D6" i="18"/>
  <c r="C7" i="25"/>
  <c r="D8" i="24"/>
  <c r="D8" i="18"/>
  <c r="G9" i="25"/>
  <c r="P10" i="24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/>
  <c r="AB4" i="18"/>
  <c r="E19" i="3"/>
  <c r="G38" i="25"/>
  <c r="C34" i="25"/>
  <c r="F29" i="25"/>
  <c r="F21" i="25"/>
  <c r="E12" i="25"/>
  <c r="D4" i="25"/>
  <c r="G5" i="24"/>
  <c r="J5" i="18"/>
  <c r="E6" i="25"/>
  <c r="J7" i="24"/>
  <c r="P7" i="18"/>
  <c r="F8" i="25"/>
  <c r="M9" i="24"/>
  <c r="V9" i="18"/>
  <c r="F10" i="25"/>
  <c r="M11" i="24"/>
  <c r="V11" i="18"/>
  <c r="C12" i="25"/>
  <c r="D16" i="25"/>
  <c r="F20" i="25"/>
  <c r="C24" i="25"/>
  <c r="F28" i="25"/>
  <c r="E3" i="25"/>
  <c r="J4" i="24"/>
  <c r="G28" i="25"/>
  <c r="D3" i="25"/>
  <c r="G4" i="24"/>
  <c r="G5" i="25"/>
  <c r="P6" i="24"/>
  <c r="E5" i="25"/>
  <c r="J6" i="24"/>
  <c r="P6" i="18"/>
  <c r="G7" i="25"/>
  <c r="P8" i="24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/>
  <c r="V10" i="18"/>
  <c r="F37" i="25"/>
  <c r="E28" i="25"/>
  <c r="D19" i="25"/>
  <c r="C10" i="25"/>
  <c r="D11" i="24"/>
  <c r="D11" i="18"/>
  <c r="G6" i="25"/>
  <c r="P7" i="24"/>
  <c r="F13" i="25"/>
  <c r="E40" i="25"/>
  <c r="F6" i="25"/>
  <c r="M7" i="24"/>
  <c r="V7" i="18"/>
  <c r="G8" i="25"/>
  <c r="P9" i="24"/>
  <c r="D12" i="25"/>
  <c r="E14" i="25"/>
  <c r="F16" i="25"/>
  <c r="F18" i="25"/>
  <c r="C20" i="25"/>
  <c r="D24" i="25"/>
  <c r="G36" i="25"/>
  <c r="C22" i="25"/>
  <c r="F3" i="25"/>
  <c r="M4" i="24"/>
  <c r="F7" i="25"/>
  <c r="M8" i="24"/>
  <c r="V8" i="18"/>
  <c r="E9" i="25"/>
  <c r="J10" i="24"/>
  <c r="P10" i="18"/>
  <c r="F15" i="25"/>
  <c r="E17" i="25"/>
  <c r="F23" i="25"/>
  <c r="E25" i="25"/>
  <c r="E27" i="25"/>
  <c r="G29" i="25"/>
  <c r="G33" i="25"/>
  <c r="G37" i="25"/>
  <c r="G41" i="25"/>
  <c r="F25" i="25"/>
  <c r="D7" i="25"/>
  <c r="G8" i="24"/>
  <c r="J8" i="18"/>
  <c r="E36" i="25"/>
  <c r="C26" i="25"/>
  <c r="F33" i="25"/>
  <c r="D6" i="25"/>
  <c r="G7" i="24"/>
  <c r="J7" i="18"/>
  <c r="D5" i="25"/>
  <c r="G6" i="24"/>
  <c r="J6" i="18"/>
  <c r="E11" i="25"/>
  <c r="D13" i="25"/>
  <c r="E19" i="25"/>
  <c r="D21" i="25"/>
  <c r="E29" i="25"/>
  <c r="G14" i="25"/>
  <c r="E34" i="25"/>
  <c r="C9" i="25"/>
  <c r="D10" i="24"/>
  <c r="D10" i="18"/>
  <c r="C17" i="25"/>
  <c r="C25" i="25"/>
  <c r="E31" i="25"/>
  <c r="E33" i="25"/>
  <c r="D35" i="25"/>
  <c r="F5" i="25"/>
  <c r="M6" i="24"/>
  <c r="V6" i="18"/>
  <c r="E39" i="25"/>
  <c r="D23" i="25"/>
  <c r="G20" i="25"/>
  <c r="E7" i="25"/>
  <c r="J8" i="24"/>
  <c r="P8" i="18"/>
  <c r="D9" i="25"/>
  <c r="G10" i="24"/>
  <c r="J10" i="18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V38" i="24"/>
  <c r="V17" i="24"/>
  <c r="V13" i="24"/>
  <c r="V32" i="24"/>
  <c r="V28" i="24"/>
  <c r="V24" i="24"/>
  <c r="V20" i="24"/>
  <c r="V16" i="24"/>
  <c r="V12" i="24"/>
  <c r="V39" i="24"/>
  <c r="V35" i="24"/>
  <c r="V34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U32" i="24"/>
  <c r="U28" i="24"/>
  <c r="U24" i="24"/>
  <c r="U20" i="24"/>
  <c r="U16" i="24"/>
  <c r="U12" i="24"/>
  <c r="U39" i="24"/>
  <c r="U35" i="24"/>
  <c r="U33" i="24"/>
  <c r="U29" i="24"/>
  <c r="U25" i="24"/>
  <c r="U21" i="24"/>
  <c r="U38" i="24"/>
  <c r="U31" i="24"/>
  <c r="U27" i="24"/>
  <c r="U23" i="24"/>
  <c r="U19" i="24"/>
  <c r="U17" i="24"/>
  <c r="U13" i="24"/>
  <c r="U40" i="24"/>
  <c r="U36" i="24"/>
  <c r="U15" i="24"/>
  <c r="U34" i="24"/>
  <c r="U30" i="24"/>
  <c r="U26" i="24"/>
  <c r="U22" i="24"/>
  <c r="U18" i="24"/>
  <c r="U14" i="24"/>
  <c r="U41" i="24"/>
  <c r="U37" i="24"/>
  <c r="AB9" i="18"/>
  <c r="AB7" i="18"/>
  <c r="AB6" i="18"/>
  <c r="G16" i="23"/>
  <c r="J4" i="18"/>
  <c r="E16" i="3"/>
  <c r="AB10" i="18"/>
  <c r="AB11" i="18"/>
  <c r="G18" i="23"/>
  <c r="K18" i="23"/>
  <c r="V4" i="18"/>
  <c r="E18" i="3"/>
  <c r="F18" i="3"/>
  <c r="J18" i="3" s="1"/>
  <c r="G17" i="23"/>
  <c r="K17" i="23"/>
  <c r="P4" i="18"/>
  <c r="E17" i="3"/>
  <c r="AB5" i="18"/>
  <c r="G15" i="23"/>
  <c r="K15" i="23"/>
  <c r="L23" i="23" s="1"/>
  <c r="D4" i="18"/>
  <c r="AB8" i="18"/>
  <c r="G19" i="23"/>
  <c r="P34" i="25"/>
  <c r="Q34" i="25"/>
  <c r="J12" i="24"/>
  <c r="J16" i="24"/>
  <c r="J20" i="24"/>
  <c r="J24" i="24"/>
  <c r="J28" i="24"/>
  <c r="J32" i="24"/>
  <c r="J36" i="24"/>
  <c r="J40" i="24"/>
  <c r="J19" i="24"/>
  <c r="J13" i="24"/>
  <c r="J17" i="24"/>
  <c r="J21" i="24"/>
  <c r="J25" i="24"/>
  <c r="J29" i="24"/>
  <c r="J33" i="24"/>
  <c r="J37" i="24"/>
  <c r="J41" i="24"/>
  <c r="J23" i="24"/>
  <c r="J14" i="24"/>
  <c r="K14" i="24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P20" i="24"/>
  <c r="P24" i="24"/>
  <c r="P28" i="24"/>
  <c r="P32" i="24"/>
  <c r="Q32" i="24"/>
  <c r="P36" i="24"/>
  <c r="P40" i="24"/>
  <c r="P27" i="24"/>
  <c r="P13" i="24"/>
  <c r="P17" i="24"/>
  <c r="P21" i="24"/>
  <c r="P25" i="24"/>
  <c r="Q25" i="24"/>
  <c r="P29" i="24"/>
  <c r="P33" i="24"/>
  <c r="P37" i="24"/>
  <c r="P41" i="24"/>
  <c r="Q41" i="24"/>
  <c r="P15" i="24"/>
  <c r="P23" i="24"/>
  <c r="Q23" i="24"/>
  <c r="P35" i="24"/>
  <c r="P14" i="24"/>
  <c r="P18" i="24"/>
  <c r="P22" i="24"/>
  <c r="P26" i="24"/>
  <c r="P30" i="24"/>
  <c r="P34" i="24"/>
  <c r="P38" i="24"/>
  <c r="P19" i="24"/>
  <c r="P31" i="24"/>
  <c r="P39" i="24"/>
  <c r="Q39" i="24"/>
  <c r="D15" i="24"/>
  <c r="D19" i="24"/>
  <c r="D23" i="24"/>
  <c r="E23" i="24"/>
  <c r="D27" i="24"/>
  <c r="D31" i="24"/>
  <c r="D35" i="24"/>
  <c r="D39" i="24"/>
  <c r="D12" i="24"/>
  <c r="D16" i="24"/>
  <c r="D20" i="24"/>
  <c r="D24" i="24"/>
  <c r="D28" i="24"/>
  <c r="E28" i="24"/>
  <c r="D32" i="24"/>
  <c r="D36" i="24"/>
  <c r="D40" i="24"/>
  <c r="D13" i="24"/>
  <c r="D17" i="24"/>
  <c r="D21" i="24"/>
  <c r="D25" i="24"/>
  <c r="D29" i="24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S26" i="24"/>
  <c r="S30" i="24"/>
  <c r="S34" i="24"/>
  <c r="S38" i="24"/>
  <c r="S13" i="24"/>
  <c r="S15" i="24"/>
  <c r="S19" i="24"/>
  <c r="S23" i="24"/>
  <c r="S27" i="24"/>
  <c r="S31" i="24"/>
  <c r="S35" i="24"/>
  <c r="S39" i="24"/>
  <c r="S21" i="24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/>
  <c r="S7" i="24"/>
  <c r="AH7" i="18"/>
  <c r="S8" i="24"/>
  <c r="AH8" i="18"/>
  <c r="S5" i="24"/>
  <c r="AH5" i="18"/>
  <c r="M14" i="24"/>
  <c r="M18" i="24"/>
  <c r="M22" i="24"/>
  <c r="M26" i="24"/>
  <c r="M30" i="24"/>
  <c r="M34" i="24"/>
  <c r="M38" i="24"/>
  <c r="M21" i="24"/>
  <c r="M33" i="24"/>
  <c r="M15" i="24"/>
  <c r="M19" i="24"/>
  <c r="M23" i="24"/>
  <c r="M27" i="24"/>
  <c r="M31" i="24"/>
  <c r="M35" i="24"/>
  <c r="M39" i="24"/>
  <c r="M13" i="24"/>
  <c r="M25" i="24"/>
  <c r="M37" i="24"/>
  <c r="M12" i="24"/>
  <c r="M16" i="24"/>
  <c r="N16" i="24"/>
  <c r="M20" i="24"/>
  <c r="M24" i="24"/>
  <c r="N24" i="24"/>
  <c r="M28" i="24"/>
  <c r="M32" i="24"/>
  <c r="M36" i="24"/>
  <c r="M40" i="24"/>
  <c r="M17" i="24"/>
  <c r="M29" i="24"/>
  <c r="M41" i="24"/>
  <c r="S10" i="24"/>
  <c r="AH10" i="18"/>
  <c r="P25" i="25"/>
  <c r="Q25" i="25"/>
  <c r="P20" i="25"/>
  <c r="Q20" i="25"/>
  <c r="P41" i="25"/>
  <c r="Q41" i="25"/>
  <c r="P21" i="25"/>
  <c r="Q21" i="25"/>
  <c r="G14" i="24"/>
  <c r="G18" i="24"/>
  <c r="H18" i="24"/>
  <c r="G22" i="24"/>
  <c r="G26" i="24"/>
  <c r="H26" i="24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G28" i="24"/>
  <c r="G32" i="24"/>
  <c r="G36" i="24"/>
  <c r="G40" i="24"/>
  <c r="G21" i="24"/>
  <c r="G37" i="24"/>
  <c r="G25" i="24"/>
  <c r="G41" i="24"/>
  <c r="G13" i="24"/>
  <c r="G29" i="24"/>
  <c r="G17" i="24"/>
  <c r="G33" i="24"/>
  <c r="P38" i="25"/>
  <c r="Q38" i="25"/>
  <c r="S6" i="24"/>
  <c r="AH6" i="18"/>
  <c r="S11" i="24"/>
  <c r="AH11" i="18"/>
  <c r="P33" i="25"/>
  <c r="Q33" i="25"/>
  <c r="P31" i="25"/>
  <c r="Q31" i="25"/>
  <c r="P13" i="25"/>
  <c r="Q13" i="25"/>
  <c r="P26" i="25"/>
  <c r="Q26" i="25"/>
  <c r="P27" i="25"/>
  <c r="Q27" i="25"/>
  <c r="P11" i="25"/>
  <c r="Q11" i="25"/>
  <c r="P32" i="25"/>
  <c r="Q32" i="25"/>
  <c r="P16" i="25"/>
  <c r="Q16" i="25"/>
  <c r="P28" i="25"/>
  <c r="Q28" i="25"/>
  <c r="P9" i="25"/>
  <c r="Q9" i="25"/>
  <c r="P10" i="25"/>
  <c r="Q10" i="25"/>
  <c r="P37" i="25"/>
  <c r="Q37" i="25"/>
  <c r="P29" i="25"/>
  <c r="Q29" i="25"/>
  <c r="P24" i="25"/>
  <c r="Q24" i="25"/>
  <c r="P39" i="25"/>
  <c r="Q39" i="25"/>
  <c r="P30" i="25"/>
  <c r="Q30" i="25"/>
  <c r="P3" i="25"/>
  <c r="Q3" i="25"/>
  <c r="P17" i="25"/>
  <c r="Q17" i="25"/>
  <c r="P22" i="25"/>
  <c r="Q22" i="25"/>
  <c r="P12" i="25"/>
  <c r="Q12" i="25"/>
  <c r="P19" i="25"/>
  <c r="Q19" i="25"/>
  <c r="P6" i="25"/>
  <c r="Q6" i="25"/>
  <c r="P40" i="25"/>
  <c r="Q40" i="25"/>
  <c r="P4" i="25"/>
  <c r="Q4" i="25"/>
  <c r="P35" i="25"/>
  <c r="Q35" i="25"/>
  <c r="P23" i="25"/>
  <c r="Q23" i="25"/>
  <c r="P15" i="25"/>
  <c r="Q15" i="25"/>
  <c r="P7" i="25"/>
  <c r="Q7" i="25"/>
  <c r="P8" i="25"/>
  <c r="Q8" i="25"/>
  <c r="P18" i="25"/>
  <c r="Q18" i="25"/>
  <c r="P36" i="25"/>
  <c r="Q36" i="25"/>
  <c r="P14" i="25"/>
  <c r="Q14" i="25"/>
  <c r="P5" i="25"/>
  <c r="Q5" i="25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H4" i="24"/>
  <c r="N4" i="24"/>
  <c r="K4" i="24"/>
  <c r="C23" i="23"/>
  <c r="D23" i="23"/>
  <c r="E20" i="3"/>
  <c r="F20" i="3"/>
  <c r="J20" i="3" s="1"/>
  <c r="V40" i="18"/>
  <c r="V41" i="18"/>
  <c r="V42" i="18"/>
  <c r="V33" i="18"/>
  <c r="V31" i="18"/>
  <c r="V27" i="18"/>
  <c r="V25" i="18"/>
  <c r="V17" i="18"/>
  <c r="V15" i="18"/>
  <c r="V38" i="18"/>
  <c r="V26" i="18"/>
  <c r="V22" i="18"/>
  <c r="V39" i="18"/>
  <c r="V30" i="18"/>
  <c r="V28" i="18"/>
  <c r="V24" i="18"/>
  <c r="V12" i="18"/>
  <c r="V37" i="18"/>
  <c r="V35" i="18"/>
  <c r="V23" i="18"/>
  <c r="V21" i="18"/>
  <c r="V19" i="18"/>
  <c r="V36" i="18"/>
  <c r="V32" i="18"/>
  <c r="V20" i="18"/>
  <c r="V34" i="18"/>
  <c r="V18" i="18"/>
  <c r="V16" i="18"/>
  <c r="V14" i="18"/>
  <c r="V29" i="18"/>
  <c r="V13" i="18"/>
  <c r="AH9" i="18"/>
  <c r="AH15" i="18"/>
  <c r="AI15" i="18"/>
  <c r="AH19" i="18"/>
  <c r="AH23" i="18"/>
  <c r="AI23" i="18"/>
  <c r="AH27" i="18"/>
  <c r="AH31" i="18"/>
  <c r="AI31" i="18"/>
  <c r="AH35" i="18"/>
  <c r="AH39" i="18"/>
  <c r="AH22" i="18"/>
  <c r="AH30" i="18"/>
  <c r="AI30" i="18"/>
  <c r="AH38" i="18"/>
  <c r="AH12" i="18"/>
  <c r="AH16" i="18"/>
  <c r="AH20" i="18"/>
  <c r="AH24" i="18"/>
  <c r="AI24" i="18"/>
  <c r="AH28" i="18"/>
  <c r="AI28" i="18"/>
  <c r="AH32" i="18"/>
  <c r="AI32" i="18"/>
  <c r="AH36" i="18"/>
  <c r="AH40" i="18"/>
  <c r="AH13" i="18"/>
  <c r="AI13" i="18"/>
  <c r="AH17" i="18"/>
  <c r="AH21" i="18"/>
  <c r="AH25" i="18"/>
  <c r="AI25" i="18"/>
  <c r="AH29" i="18"/>
  <c r="AI29" i="18"/>
  <c r="AH33" i="18"/>
  <c r="AH37" i="18"/>
  <c r="AH41" i="18"/>
  <c r="AH14" i="18"/>
  <c r="AI14" i="18"/>
  <c r="AH18" i="18"/>
  <c r="AI18" i="18"/>
  <c r="AH26" i="18"/>
  <c r="AH34" i="18"/>
  <c r="AI34" i="18"/>
  <c r="AH42" i="18"/>
  <c r="P40" i="18"/>
  <c r="P41" i="18"/>
  <c r="P42" i="18"/>
  <c r="P29" i="18"/>
  <c r="P27" i="18"/>
  <c r="P31" i="18"/>
  <c r="P23" i="18"/>
  <c r="P22" i="18"/>
  <c r="P14" i="18"/>
  <c r="P25" i="18"/>
  <c r="P13" i="18"/>
  <c r="P36" i="18"/>
  <c r="P26" i="18"/>
  <c r="P20" i="18"/>
  <c r="P35" i="18"/>
  <c r="P33" i="18"/>
  <c r="P21" i="18"/>
  <c r="P19" i="18"/>
  <c r="P17" i="18"/>
  <c r="P15" i="18"/>
  <c r="P32" i="18"/>
  <c r="P24" i="18"/>
  <c r="P16" i="18"/>
  <c r="P39" i="18"/>
  <c r="P37" i="18"/>
  <c r="P38" i="18"/>
  <c r="P34" i="18"/>
  <c r="P30" i="18"/>
  <c r="P28" i="18"/>
  <c r="P18" i="18"/>
  <c r="P12" i="18"/>
  <c r="J42" i="18"/>
  <c r="J41" i="18"/>
  <c r="J40" i="18"/>
  <c r="J35" i="18"/>
  <c r="J29" i="18"/>
  <c r="J19" i="18"/>
  <c r="J15" i="18"/>
  <c r="J28" i="18"/>
  <c r="J12" i="18"/>
  <c r="J18" i="18"/>
  <c r="J14" i="18"/>
  <c r="J39" i="18"/>
  <c r="J33" i="18"/>
  <c r="J25" i="18"/>
  <c r="J17" i="18"/>
  <c r="J13" i="18"/>
  <c r="J32" i="18"/>
  <c r="J27" i="18"/>
  <c r="J21" i="18"/>
  <c r="J38" i="18"/>
  <c r="J34" i="18"/>
  <c r="J30" i="18"/>
  <c r="J22" i="18"/>
  <c r="J37" i="18"/>
  <c r="J36" i="18"/>
  <c r="J20" i="18"/>
  <c r="J31" i="18"/>
  <c r="J23" i="18"/>
  <c r="J26" i="18"/>
  <c r="J24" i="18"/>
  <c r="J16" i="18"/>
  <c r="AB42" i="18"/>
  <c r="AB40" i="18"/>
  <c r="AB41" i="18"/>
  <c r="AB29" i="18"/>
  <c r="AB23" i="18"/>
  <c r="AB13" i="18"/>
  <c r="AB36" i="18"/>
  <c r="AB26" i="18"/>
  <c r="AB24" i="18"/>
  <c r="AB20" i="18"/>
  <c r="AB18" i="18"/>
  <c r="AB14" i="18"/>
  <c r="AB25" i="18"/>
  <c r="AB38" i="18"/>
  <c r="AB39" i="18"/>
  <c r="AB33" i="18"/>
  <c r="AB27" i="18"/>
  <c r="AB17" i="18"/>
  <c r="AB34" i="18"/>
  <c r="AB30" i="18"/>
  <c r="AB37" i="18"/>
  <c r="AB35" i="18"/>
  <c r="AB31" i="18"/>
  <c r="AB21" i="18"/>
  <c r="AB19" i="18"/>
  <c r="AB32" i="18"/>
  <c r="AB28" i="18"/>
  <c r="AB16" i="18"/>
  <c r="AB12" i="18"/>
  <c r="AB15" i="18"/>
  <c r="AB22" i="18"/>
  <c r="E15" i="3"/>
  <c r="D42" i="18"/>
  <c r="D41" i="18"/>
  <c r="D40" i="18"/>
  <c r="D37" i="18"/>
  <c r="D31" i="18"/>
  <c r="D15" i="18"/>
  <c r="D38" i="18"/>
  <c r="D34" i="18"/>
  <c r="D32" i="18"/>
  <c r="D30" i="18"/>
  <c r="D22" i="18"/>
  <c r="D18" i="18"/>
  <c r="D14" i="18"/>
  <c r="D16" i="18"/>
  <c r="D12" i="18"/>
  <c r="D39" i="18"/>
  <c r="D27" i="18"/>
  <c r="D21" i="18"/>
  <c r="D19" i="18"/>
  <c r="D29" i="18"/>
  <c r="D23" i="18"/>
  <c r="D13" i="18"/>
  <c r="D28" i="18"/>
  <c r="D25" i="18"/>
  <c r="D36" i="18"/>
  <c r="D26" i="18"/>
  <c r="D24" i="18"/>
  <c r="D20" i="18"/>
  <c r="D35" i="18"/>
  <c r="D33" i="18"/>
  <c r="D17" i="18"/>
  <c r="G20" i="23"/>
  <c r="K20" i="23"/>
  <c r="E12" i="24"/>
  <c r="H28" i="24"/>
  <c r="T14" i="24"/>
  <c r="K29" i="24"/>
  <c r="N14" i="24"/>
  <c r="T24" i="24"/>
  <c r="K22" i="24"/>
  <c r="H12" i="24"/>
  <c r="H17" i="24"/>
  <c r="T29" i="24"/>
  <c r="N10" i="24"/>
  <c r="T23" i="24"/>
  <c r="T8" i="24"/>
  <c r="E13" i="24"/>
  <c r="H39" i="24"/>
  <c r="H36" i="24"/>
  <c r="N32" i="24"/>
  <c r="K40" i="24"/>
  <c r="H35" i="24"/>
  <c r="T33" i="24"/>
  <c r="T36" i="24"/>
  <c r="N30" i="24"/>
  <c r="E31" i="24"/>
  <c r="C42" i="18"/>
  <c r="E42" i="18" s="1"/>
  <c r="AT42" i="18" s="1"/>
  <c r="AU42" i="18" s="1"/>
  <c r="C41" i="18"/>
  <c r="E41" i="18" s="1"/>
  <c r="AT41" i="18" s="1"/>
  <c r="AU41" i="18" s="1"/>
  <c r="C40" i="18"/>
  <c r="E40" i="18" s="1"/>
  <c r="AT40" i="18" s="1"/>
  <c r="AU40" i="18" s="1"/>
  <c r="C34" i="18"/>
  <c r="E34" i="18" s="1"/>
  <c r="AT34" i="18" s="1"/>
  <c r="AU34" i="18" s="1"/>
  <c r="C35" i="18"/>
  <c r="E35" i="18" s="1"/>
  <c r="AT35" i="18" s="1"/>
  <c r="AU35" i="18" s="1"/>
  <c r="C31" i="18"/>
  <c r="E31" i="18" s="1"/>
  <c r="AT31" i="18" s="1"/>
  <c r="AU31" i="18" s="1"/>
  <c r="C37" i="18"/>
  <c r="E37" i="18" s="1"/>
  <c r="AT37" i="18" s="1"/>
  <c r="AU37" i="18" s="1"/>
  <c r="C32" i="18"/>
  <c r="E32" i="18" s="1"/>
  <c r="AT32" i="18" s="1"/>
  <c r="AU32" i="18" s="1"/>
  <c r="C33" i="18"/>
  <c r="E33" i="18" s="1"/>
  <c r="AT33" i="18" s="1"/>
  <c r="AU33" i="18" s="1"/>
  <c r="C38" i="18"/>
  <c r="E38" i="18" s="1"/>
  <c r="AT38" i="18" s="1"/>
  <c r="AU38" i="18" s="1"/>
  <c r="C39" i="18"/>
  <c r="E39" i="18" s="1"/>
  <c r="AT39" i="18" s="1"/>
  <c r="AU39" i="18" s="1"/>
  <c r="C36" i="18"/>
  <c r="E36" i="18" s="1"/>
  <c r="AT36" i="18" s="1"/>
  <c r="AU36" i="18" s="1"/>
  <c r="C30" i="18"/>
  <c r="E30" i="18" s="1"/>
  <c r="AT30" i="18" s="1"/>
  <c r="AU30" i="18" s="1"/>
  <c r="H15" i="24"/>
  <c r="N29" i="24"/>
  <c r="K30" i="24"/>
  <c r="N33" i="24"/>
  <c r="E39" i="24"/>
  <c r="K37" i="24"/>
  <c r="H33" i="24"/>
  <c r="AC35" i="18"/>
  <c r="AC41" i="18"/>
  <c r="W31" i="18"/>
  <c r="Q37" i="18"/>
  <c r="Q42" i="18"/>
  <c r="K17" i="18"/>
  <c r="Q30" i="18"/>
  <c r="W42" i="18"/>
  <c r="W21" i="18"/>
  <c r="W32" i="18"/>
  <c r="Q31" i="18"/>
  <c r="K13" i="18"/>
  <c r="W29" i="18"/>
  <c r="W18" i="18"/>
  <c r="W37" i="18"/>
  <c r="K42" i="18"/>
  <c r="K35" i="18"/>
  <c r="K33" i="18"/>
  <c r="W23" i="18"/>
  <c r="Q40" i="18"/>
  <c r="AC22" i="18"/>
  <c r="AC18" i="18"/>
  <c r="Q29" i="18"/>
  <c r="Q15" i="18"/>
  <c r="AC19" i="18"/>
  <c r="AC14" i="18"/>
  <c r="Q23" i="18"/>
  <c r="Q21" i="18"/>
  <c r="Q16" i="18"/>
  <c r="AC27" i="18"/>
  <c r="K19" i="18"/>
  <c r="I8" i="18" l="1"/>
  <c r="K8" i="18" s="1"/>
  <c r="H8" i="24"/>
  <c r="I9" i="18"/>
  <c r="H9" i="24"/>
  <c r="O8" i="18"/>
  <c r="Q8" i="18" s="1"/>
  <c r="K8" i="24"/>
  <c r="I12" i="19"/>
  <c r="J12" i="19" s="1"/>
  <c r="C4" i="18"/>
  <c r="E4" i="18" s="1"/>
  <c r="E4" i="24"/>
  <c r="I4" i="19"/>
  <c r="J4" i="19" s="1"/>
  <c r="AG5" i="18"/>
  <c r="AI5" i="18" s="1"/>
  <c r="T5" i="24"/>
  <c r="C8" i="18"/>
  <c r="E8" i="18" s="1"/>
  <c r="E8" i="24"/>
  <c r="C5" i="18"/>
  <c r="E5" i="18" s="1"/>
  <c r="E5" i="24"/>
  <c r="I8" i="19"/>
  <c r="J8" i="19" s="1"/>
  <c r="I5" i="19"/>
  <c r="J5" i="19" s="1"/>
  <c r="I9" i="19"/>
  <c r="J9" i="19" s="1"/>
  <c r="I6" i="19"/>
  <c r="J6" i="19" s="1"/>
  <c r="H11" i="24"/>
  <c r="N6" i="24"/>
  <c r="T4" i="24"/>
  <c r="I10" i="19"/>
  <c r="J10" i="19" s="1"/>
  <c r="I7" i="19"/>
  <c r="J7" i="19" s="1"/>
  <c r="I11" i="19"/>
  <c r="J11" i="19" s="1"/>
  <c r="C7" i="18"/>
  <c r="E7" i="18" s="1"/>
  <c r="E7" i="24"/>
  <c r="I10" i="18"/>
  <c r="K10" i="18" s="1"/>
  <c r="H10" i="24"/>
  <c r="C11" i="18"/>
  <c r="E11" i="18" s="1"/>
  <c r="E11" i="24"/>
  <c r="AG7" i="18"/>
  <c r="AI7" i="18" s="1"/>
  <c r="T7" i="24"/>
  <c r="AG10" i="18"/>
  <c r="AI10" i="18" s="1"/>
  <c r="T10" i="24"/>
  <c r="U8" i="18"/>
  <c r="N8" i="24"/>
  <c r="I6" i="18"/>
  <c r="K6" i="18" s="1"/>
  <c r="H6" i="24"/>
  <c r="O9" i="18"/>
  <c r="Q9" i="18" s="1"/>
  <c r="K9" i="24"/>
  <c r="AG6" i="18"/>
  <c r="AI6" i="18" s="1"/>
  <c r="T6" i="24"/>
  <c r="AG11" i="18"/>
  <c r="AI11" i="18" s="1"/>
  <c r="T11" i="24"/>
  <c r="U7" i="18"/>
  <c r="W7" i="18" s="1"/>
  <c r="N7" i="24"/>
  <c r="AA5" i="18"/>
  <c r="AC5" i="18" s="1"/>
  <c r="Q5" i="24"/>
  <c r="AA8" i="18"/>
  <c r="AC8" i="18" s="1"/>
  <c r="Q8" i="24"/>
  <c r="K6" i="24"/>
  <c r="O6" i="18"/>
  <c r="Q6" i="18" s="1"/>
  <c r="I7" i="18"/>
  <c r="K7" i="18" s="1"/>
  <c r="H7" i="24"/>
  <c r="C10" i="18"/>
  <c r="E10" i="18" s="1"/>
  <c r="E10" i="24"/>
  <c r="U11" i="18"/>
  <c r="W11" i="18" s="1"/>
  <c r="N11" i="24"/>
  <c r="AA9" i="18"/>
  <c r="AC9" i="18" s="1"/>
  <c r="Q9" i="24"/>
  <c r="O5" i="18"/>
  <c r="Q5" i="18" s="1"/>
  <c r="K5" i="24"/>
  <c r="K10" i="24"/>
  <c r="O10" i="18"/>
  <c r="Q10" i="18" s="1"/>
  <c r="C6" i="18"/>
  <c r="E6" i="18" s="1"/>
  <c r="E6" i="24"/>
  <c r="H5" i="24"/>
  <c r="I5" i="18"/>
  <c r="K5" i="18" s="1"/>
  <c r="N12" i="24"/>
  <c r="Q6" i="24"/>
  <c r="Q4" i="24"/>
  <c r="K12" i="24"/>
  <c r="N5" i="24"/>
  <c r="K7" i="24"/>
  <c r="Q12" i="24"/>
  <c r="K4" i="18"/>
  <c r="AI4" i="18"/>
  <c r="AA7" i="18"/>
  <c r="AC7" i="18" s="1"/>
  <c r="Q11" i="18"/>
  <c r="E9" i="18"/>
  <c r="Q10" i="24"/>
  <c r="E9" i="24"/>
  <c r="N9" i="24"/>
  <c r="T12" i="24"/>
  <c r="K11" i="24"/>
  <c r="T9" i="24"/>
  <c r="W8" i="18"/>
  <c r="W4" i="18"/>
  <c r="J23" i="3"/>
  <c r="J22" i="3"/>
  <c r="AI9" i="18"/>
  <c r="W5" i="18"/>
  <c r="AI8" i="18"/>
  <c r="AC6" i="18"/>
  <c r="K11" i="18"/>
  <c r="AC10" i="18"/>
  <c r="K9" i="18"/>
  <c r="Q7" i="18"/>
  <c r="W9" i="18"/>
  <c r="K12" i="18"/>
  <c r="E12" i="18"/>
  <c r="AA11" i="18"/>
  <c r="AC11" i="18" s="1"/>
  <c r="AI12" i="18"/>
  <c r="W6" i="18"/>
  <c r="Q12" i="18"/>
  <c r="AC12" i="18"/>
  <c r="W12" i="18"/>
  <c r="Q4" i="18"/>
  <c r="W10" i="18"/>
  <c r="AC4" i="18"/>
  <c r="L22" i="23"/>
  <c r="AT10" i="18" l="1"/>
  <c r="AU10" i="18" s="1"/>
  <c r="AT6" i="18"/>
  <c r="AU6" i="18" s="1"/>
  <c r="AT7" i="18"/>
  <c r="AU7" i="18" s="1"/>
  <c r="AT11" i="18"/>
  <c r="AU11" i="18" s="1"/>
  <c r="AT9" i="18"/>
  <c r="AU9" i="18" s="1"/>
  <c r="AT12" i="18"/>
  <c r="AU12" i="18" s="1"/>
  <c r="AT4" i="18"/>
  <c r="AU4" i="18" s="1"/>
  <c r="AT8" i="18"/>
  <c r="AU8" i="18" s="1"/>
  <c r="AT5" i="18"/>
  <c r="AU5" i="18" s="1"/>
</calcChain>
</file>

<file path=xl/sharedStrings.xml><?xml version="1.0" encoding="utf-8"?>
<sst xmlns="http://schemas.openxmlformats.org/spreadsheetml/2006/main" count="466" uniqueCount="154">
  <si>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</si>
  <si>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</si>
  <si>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</si>
  <si>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</si>
  <si>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</si>
  <si>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</si>
  <si>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</si>
  <si>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</si>
  <si>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</si>
  <si>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</si>
  <si>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</si>
  <si>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</si>
  <si>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</si>
  <si>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</si>
  <si>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</si>
  <si>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</si>
  <si>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</si>
  <si>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</si>
  <si>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</si>
  <si>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</si>
  <si>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</si>
  <si>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</si>
  <si>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</si>
  <si>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</si>
  <si>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</si>
  <si>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</si>
  <si>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</si>
  <si>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</si>
  <si>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</si>
  <si>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</si>
  <si>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</si>
  <si>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</si>
  <si>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</si>
  <si>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</si>
  <si>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</si>
  <si>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</si>
  <si>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</si>
  <si>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</si>
  <si>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</si>
  <si>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</si>
  <si>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</si>
  <si>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</si>
  <si>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</si>
  <si>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</si>
  <si>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</si>
  <si>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</si>
  <si>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</si>
  <si>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</si>
  <si>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</si>
  <si>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</si>
  <si>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</si>
  <si>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</si>
  <si>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</si>
  <si>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</si>
  <si>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</si>
  <si>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</si>
  <si>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</si>
  <si>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</si>
  <si>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</si>
  <si>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</si>
  <si>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</si>
  <si>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</si>
  <si>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</si>
  <si>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</si>
  <si>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</si>
  <si>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</si>
  <si>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</si>
  <si>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</si>
  <si>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</si>
  <si>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</si>
  <si>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</si>
  <si>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</si>
  <si>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</si>
  <si>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</si>
  <si>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</si>
  <si>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UNIT TEST - I                                              (20)</t>
  </si>
  <si>
    <t>TOTAL                                      (100)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</si>
  <si>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</si>
  <si>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</si>
  <si>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</si>
  <si>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</si>
  <si>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</si>
  <si>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</si>
  <si>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</si>
  <si>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</si>
  <si>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</si>
  <si>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</si>
  <si>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</si>
  <si>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</si>
  <si>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</si>
  <si>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</si>
  <si>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School Reopen Date : 01.04.2026</t>
  </si>
  <si>
    <t>Promoted to Class : XII</t>
  </si>
  <si>
    <t>HINDI/CS</t>
  </si>
  <si>
    <t>PHYSICAL EDUCATION</t>
  </si>
  <si>
    <t>Elective1</t>
  </si>
  <si>
    <t>HINDI CORE</t>
  </si>
  <si>
    <t>ENGLISH CORE</t>
  </si>
  <si>
    <t>UNIT TEST-I (2025-26) CLASS - XI-Comm</t>
  </si>
  <si>
    <t>ACCOUNTACNY</t>
  </si>
  <si>
    <t>ECONOMICS</t>
  </si>
  <si>
    <t>BUSINESS STUDIES</t>
  </si>
  <si>
    <t>ACCOUNTANCY</t>
  </si>
  <si>
    <t>COMIPILE REPORT (2025-26) CLASS - XI-Comm</t>
  </si>
  <si>
    <t>ANNUAL EXAMINATION (2025-26) CLASS - XI-Comm</t>
  </si>
  <si>
    <t>UNIT TEST-II (2025-26) CLASS - XI-Comm</t>
  </si>
  <si>
    <t>Half Yearly Compile Report (2025-26) Class - XI-Comm</t>
  </si>
  <si>
    <t>HALF YEARLY EXAMINATION (2025-26) CLASS - XI-Comm</t>
  </si>
  <si>
    <t>Elective1 Code</t>
  </si>
  <si>
    <t>HINDI/CS/App. Maths</t>
  </si>
  <si>
    <t>AMINUDDIN</t>
  </si>
  <si>
    <t>RAFIYA BANO</t>
  </si>
  <si>
    <t>ANSAR AHMAD</t>
  </si>
  <si>
    <t>13.09.2008</t>
  </si>
  <si>
    <t>ARPIT VERMA</t>
  </si>
  <si>
    <t>SUNITA VERMA</t>
  </si>
  <si>
    <t>MANISH KUMAR VERMA</t>
  </si>
  <si>
    <t>12.12.2008</t>
  </si>
  <si>
    <t>ATUL VERMA</t>
  </si>
  <si>
    <t>SUSHEELA DEVI</t>
  </si>
  <si>
    <t>RAVI SHANKAR</t>
  </si>
  <si>
    <t>31.10.2010</t>
  </si>
  <si>
    <t>GAURAV GAUTAM</t>
  </si>
  <si>
    <t>SUSHMA GAUTAM</t>
  </si>
  <si>
    <t>SUNIL KUMAR</t>
  </si>
  <si>
    <t>09.05.2011</t>
  </si>
  <si>
    <t>HIMANSHU</t>
  </si>
  <si>
    <t>ANITA</t>
  </si>
  <si>
    <t>ANIL KUMAR</t>
  </si>
  <si>
    <t>06.03.2008</t>
  </si>
  <si>
    <t>JYOTIRADITYA DAS</t>
  </si>
  <si>
    <t>NEELAM  DAS</t>
  </si>
  <si>
    <t>AJAY BAX DAS</t>
  </si>
  <si>
    <t>31.08.2009</t>
  </si>
  <si>
    <t>MASIRA AKHTAR</t>
  </si>
  <si>
    <t>BABY TABASSUM</t>
  </si>
  <si>
    <t>SHAMSUL ARFEEN</t>
  </si>
  <si>
    <t>12.04.2009</t>
  </si>
  <si>
    <t>SIDDHARTH</t>
  </si>
  <si>
    <t>PUSHPA GAUTAM</t>
  </si>
  <si>
    <t>JAGDISH KUMAR</t>
  </si>
  <si>
    <t>19.09.2007</t>
  </si>
  <si>
    <t>YASH SONI</t>
  </si>
  <si>
    <t>ARTI SONI</t>
  </si>
  <si>
    <t>ASHEESH KUMAR</t>
  </si>
  <si>
    <t>15.08.2010</t>
  </si>
  <si>
    <t>XI-COM</t>
  </si>
  <si>
    <t>UNIT TEST-I (2025-26) CLASS - XI-Comm.</t>
  </si>
  <si>
    <t>AB</t>
  </si>
  <si>
    <t>RANK IN CLASS</t>
  </si>
  <si>
    <t>PARENT'S SIGNATURE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</si>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</sst>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 wrapText="1"/>
    </xf>
    <xf numFmtId="0" fontId="1" fillId="4" borderId="21" xfId="0" applyFont="1" applyFill="1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1" xfId="0" applyBorder="1" applyAlignment="1">
      <alignment horizontal="right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0" xfId="0" applyFont="1" applyAlignment="1">
      <alignment horizontal="right"/>
    </xf>
    <xf numFmtId="0" fontId="0" fillId="0" borderId="1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28778" y="7192118"/>
          <a:ext cx="5596151" cy="533553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"/>
  <sheetViews>
    <sheetView zoomScale="130" zoomScaleNormal="130" workbookViewId="0">
      <selection activeCell="H12" sqref="H12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  <col min="7" max="7" width="10.88671875" bestFit="1" customWidth="1"/>
    <col min="8" max="8" width="13.33203125" bestFit="1" customWidth="1"/>
  </cols>
  <sheetData>
    <row r="1" spans="1:11" x14ac:dyDescent="0.3">
      <c r="A1" s="45" t="s">
        <v>38</v>
      </c>
      <c r="B1" s="46"/>
      <c r="C1" s="46"/>
      <c r="D1" s="46"/>
      <c r="E1" s="46"/>
      <c r="F1" s="46"/>
      <c r="G1" s="46"/>
      <c r="H1" s="46"/>
    </row>
    <row r="2" spans="1:11" x14ac:dyDescent="0.3">
      <c r="A2" s="23" t="s">
        <v>32</v>
      </c>
      <c r="B2" s="33" t="s">
        <v>33</v>
      </c>
      <c r="C2" s="33" t="s">
        <v>35</v>
      </c>
      <c r="D2" s="33" t="s">
        <v>34</v>
      </c>
      <c r="E2" s="33" t="s">
        <v>36</v>
      </c>
      <c r="F2" s="33" t="s">
        <v>37</v>
      </c>
      <c r="G2" s="33" t="s">
        <v>95</v>
      </c>
      <c r="H2" s="42" t="s">
        <v>108</v>
      </c>
    </row>
    <row r="3" spans="1:11" x14ac:dyDescent="0.3">
      <c r="A3" s="22">
        <v>688</v>
      </c>
      <c r="B3" s="21" t="s">
        <v>110</v>
      </c>
      <c r="C3" s="3" t="s">
        <v>111</v>
      </c>
      <c r="D3" s="3" t="s">
        <v>112</v>
      </c>
      <c r="E3" s="3" t="s">
        <v>113</v>
      </c>
      <c r="F3" s="3" t="s">
        <v>146</v>
      </c>
      <c r="G3" s="3" t="s">
        <v>96</v>
      </c>
      <c r="H3">
        <v>302</v>
      </c>
      <c r="K3">
        <v>83</v>
      </c>
    </row>
    <row r="4" spans="1:11" x14ac:dyDescent="0.3">
      <c r="A4" s="22">
        <v>1011</v>
      </c>
      <c r="B4" s="21" t="s">
        <v>114</v>
      </c>
      <c r="C4" s="3" t="s">
        <v>115</v>
      </c>
      <c r="D4" s="3" t="s">
        <v>116</v>
      </c>
      <c r="E4" s="3" t="s">
        <v>117</v>
      </c>
      <c r="F4" s="3" t="s">
        <v>146</v>
      </c>
      <c r="G4" s="3"/>
      <c r="H4">
        <v>83</v>
      </c>
    </row>
    <row r="5" spans="1:11" x14ac:dyDescent="0.3">
      <c r="A5" s="22">
        <v>692</v>
      </c>
      <c r="B5" s="21" t="s">
        <v>118</v>
      </c>
      <c r="C5" s="3" t="s">
        <v>119</v>
      </c>
      <c r="D5" s="3" t="s">
        <v>120</v>
      </c>
      <c r="E5" s="3" t="s">
        <v>121</v>
      </c>
      <c r="F5" s="3" t="s">
        <v>146</v>
      </c>
      <c r="G5" s="3"/>
      <c r="H5">
        <v>83</v>
      </c>
    </row>
    <row r="6" spans="1:11" x14ac:dyDescent="0.3">
      <c r="A6" s="22">
        <v>1931</v>
      </c>
      <c r="B6" s="21" t="s">
        <v>122</v>
      </c>
      <c r="C6" s="3" t="s">
        <v>123</v>
      </c>
      <c r="D6" s="3" t="s">
        <v>124</v>
      </c>
      <c r="E6" s="3" t="s">
        <v>125</v>
      </c>
      <c r="F6" s="3" t="s">
        <v>146</v>
      </c>
      <c r="G6" s="3"/>
      <c r="H6">
        <v>241</v>
      </c>
    </row>
    <row r="7" spans="1:11" x14ac:dyDescent="0.3">
      <c r="A7" s="22">
        <v>1509</v>
      </c>
      <c r="B7" s="21" t="s">
        <v>126</v>
      </c>
      <c r="C7" s="3" t="s">
        <v>127</v>
      </c>
      <c r="D7" s="3" t="s">
        <v>128</v>
      </c>
      <c r="E7" s="3" t="s">
        <v>129</v>
      </c>
      <c r="F7" s="3" t="s">
        <v>146</v>
      </c>
      <c r="G7" s="3"/>
      <c r="H7">
        <v>83</v>
      </c>
    </row>
    <row r="8" spans="1:11" x14ac:dyDescent="0.3">
      <c r="A8" s="22">
        <v>694</v>
      </c>
      <c r="B8" s="21" t="s">
        <v>130</v>
      </c>
      <c r="C8" s="3" t="s">
        <v>131</v>
      </c>
      <c r="D8" s="3" t="s">
        <v>132</v>
      </c>
      <c r="E8" s="3" t="s">
        <v>133</v>
      </c>
      <c r="F8" s="3" t="s">
        <v>146</v>
      </c>
      <c r="G8" s="3"/>
      <c r="H8">
        <v>83</v>
      </c>
    </row>
    <row r="9" spans="1:11" x14ac:dyDescent="0.3">
      <c r="A9" s="22">
        <v>1873</v>
      </c>
      <c r="B9" s="21" t="s">
        <v>134</v>
      </c>
      <c r="C9" s="3" t="s">
        <v>135</v>
      </c>
      <c r="D9" s="3" t="s">
        <v>136</v>
      </c>
      <c r="E9" s="3" t="s">
        <v>137</v>
      </c>
      <c r="F9" s="3" t="s">
        <v>146</v>
      </c>
      <c r="G9" s="3"/>
      <c r="H9">
        <v>83</v>
      </c>
    </row>
    <row r="10" spans="1:11" x14ac:dyDescent="0.3">
      <c r="A10" s="22">
        <v>1491</v>
      </c>
      <c r="B10" s="21" t="s">
        <v>138</v>
      </c>
      <c r="C10" s="3" t="s">
        <v>139</v>
      </c>
      <c r="D10" s="3" t="s">
        <v>140</v>
      </c>
      <c r="E10" s="3" t="s">
        <v>141</v>
      </c>
      <c r="F10" s="3" t="s">
        <v>146</v>
      </c>
      <c r="G10" s="3"/>
      <c r="H10">
        <v>83</v>
      </c>
    </row>
    <row r="11" spans="1:11" x14ac:dyDescent="0.3">
      <c r="A11" s="22">
        <v>701</v>
      </c>
      <c r="B11" s="21" t="s">
        <v>142</v>
      </c>
      <c r="C11" s="3" t="s">
        <v>143</v>
      </c>
      <c r="D11" s="3" t="s">
        <v>144</v>
      </c>
      <c r="E11" s="3" t="s">
        <v>145</v>
      </c>
      <c r="F11" s="3" t="s">
        <v>146</v>
      </c>
      <c r="G11" s="3"/>
      <c r="H11">
        <v>83</v>
      </c>
    </row>
  </sheetData>
  <mergeCells count="1">
    <mergeCell ref="A1:H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J12"/>
  <sheetViews>
    <sheetView zoomScale="160" zoomScaleNormal="160" workbookViewId="0">
      <selection activeCell="H14" sqref="H14"/>
    </sheetView>
  </sheetViews>
  <sheetFormatPr defaultRowHeight="14.4" x14ac:dyDescent="0.3"/>
  <cols>
    <col min="2" max="2" width="22.33203125" bestFit="1" customWidth="1"/>
    <col min="4" max="4" width="10.77734375" customWidth="1"/>
    <col min="6" max="6" width="11.109375" customWidth="1"/>
    <col min="7" max="7" width="11.5546875" bestFit="1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7" t="s">
        <v>98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ht="14.4" customHeight="1" x14ac:dyDescent="0.3">
      <c r="A2" s="51" t="s">
        <v>39</v>
      </c>
      <c r="B2" s="51" t="s">
        <v>40</v>
      </c>
      <c r="C2" s="52" t="s">
        <v>9</v>
      </c>
      <c r="D2" s="49" t="s">
        <v>109</v>
      </c>
      <c r="E2" s="49" t="s">
        <v>99</v>
      </c>
      <c r="F2" s="49" t="s">
        <v>101</v>
      </c>
      <c r="G2" s="49" t="s">
        <v>100</v>
      </c>
      <c r="H2" s="49" t="s">
        <v>94</v>
      </c>
      <c r="I2" s="51" t="s">
        <v>60</v>
      </c>
      <c r="J2" s="51"/>
    </row>
    <row r="3" spans="1:10" x14ac:dyDescent="0.3">
      <c r="A3" s="51"/>
      <c r="B3" s="51"/>
      <c r="C3" s="53"/>
      <c r="D3" s="50"/>
      <c r="E3" s="50"/>
      <c r="F3" s="50"/>
      <c r="G3" s="50"/>
      <c r="H3" s="50"/>
      <c r="I3" s="25" t="s">
        <v>61</v>
      </c>
      <c r="J3" s="25" t="s">
        <v>62</v>
      </c>
    </row>
    <row r="4" spans="1:10" x14ac:dyDescent="0.3">
      <c r="A4" s="27">
        <f>DETAILS!A3</f>
        <v>688</v>
      </c>
      <c r="B4" s="28" t="str">
        <f>DETAILS!B3</f>
        <v>AMINUDDIN</v>
      </c>
      <c r="C4" s="43" t="s">
        <v>148</v>
      </c>
      <c r="D4" s="43" t="s">
        <v>148</v>
      </c>
      <c r="E4" s="43" t="s">
        <v>148</v>
      </c>
      <c r="F4" s="43" t="s">
        <v>148</v>
      </c>
      <c r="G4" s="43" t="s">
        <v>148</v>
      </c>
      <c r="H4" s="43" t="s">
        <v>148</v>
      </c>
      <c r="I4" s="3">
        <v>47</v>
      </c>
      <c r="J4" s="3">
        <v>71</v>
      </c>
    </row>
    <row r="5" spans="1:10" x14ac:dyDescent="0.3">
      <c r="A5" s="22">
        <f>DETAILS!A4</f>
        <v>1011</v>
      </c>
      <c r="B5" s="3" t="str">
        <f>DETAILS!B4</f>
        <v>ARPIT VERMA</v>
      </c>
      <c r="C5" s="3">
        <v>12</v>
      </c>
      <c r="D5" s="3">
        <v>12</v>
      </c>
      <c r="E5" s="3">
        <v>13</v>
      </c>
      <c r="F5" s="3">
        <v>9</v>
      </c>
      <c r="G5" s="3">
        <v>2</v>
      </c>
      <c r="H5" s="3">
        <v>10</v>
      </c>
      <c r="I5" s="3">
        <v>32</v>
      </c>
      <c r="J5" s="3">
        <v>71</v>
      </c>
    </row>
    <row r="6" spans="1:10" x14ac:dyDescent="0.3">
      <c r="A6" s="22">
        <f>DETAILS!A5</f>
        <v>692</v>
      </c>
      <c r="B6" s="3" t="str">
        <f>DETAILS!B5</f>
        <v>ATUL VERMA</v>
      </c>
      <c r="C6" s="3">
        <v>26</v>
      </c>
      <c r="D6" s="3">
        <v>36</v>
      </c>
      <c r="E6" s="3">
        <v>33</v>
      </c>
      <c r="F6" s="3">
        <v>38</v>
      </c>
      <c r="G6" s="3">
        <v>24</v>
      </c>
      <c r="H6" s="3">
        <v>33</v>
      </c>
      <c r="I6" s="3">
        <v>65</v>
      </c>
      <c r="J6" s="3">
        <v>71</v>
      </c>
    </row>
    <row r="7" spans="1:10" x14ac:dyDescent="0.3">
      <c r="A7" s="22">
        <f>DETAILS!A6</f>
        <v>1931</v>
      </c>
      <c r="B7" s="3" t="str">
        <f>DETAILS!B6</f>
        <v>GAURAV GAUTAM</v>
      </c>
      <c r="C7" s="3">
        <v>30</v>
      </c>
      <c r="D7" s="3">
        <v>40</v>
      </c>
      <c r="E7" s="3">
        <v>33</v>
      </c>
      <c r="F7" s="3">
        <v>39</v>
      </c>
      <c r="G7" s="3">
        <v>25</v>
      </c>
      <c r="H7" s="3">
        <v>29</v>
      </c>
      <c r="I7" s="3">
        <v>15</v>
      </c>
      <c r="J7" s="3">
        <v>18</v>
      </c>
    </row>
    <row r="8" spans="1:10" x14ac:dyDescent="0.3">
      <c r="A8" s="22">
        <f>DETAILS!A7</f>
        <v>1509</v>
      </c>
      <c r="B8" s="3" t="str">
        <f>DETAILS!B7</f>
        <v>HIMANSHU</v>
      </c>
      <c r="C8" s="3">
        <v>26</v>
      </c>
      <c r="D8" s="3">
        <v>24</v>
      </c>
      <c r="E8" s="3">
        <v>26</v>
      </c>
      <c r="F8" s="3">
        <v>32</v>
      </c>
      <c r="G8" s="3">
        <v>16</v>
      </c>
      <c r="H8" s="3">
        <v>23</v>
      </c>
      <c r="I8" s="3">
        <v>43</v>
      </c>
      <c r="J8" s="3">
        <v>71</v>
      </c>
    </row>
    <row r="9" spans="1:10" x14ac:dyDescent="0.3">
      <c r="A9" s="22">
        <f>DETAILS!A8</f>
        <v>694</v>
      </c>
      <c r="B9" s="3" t="str">
        <f>DETAILS!B8</f>
        <v>JYOTIRADITYA DAS</v>
      </c>
      <c r="C9" s="3">
        <v>17</v>
      </c>
      <c r="D9" s="3">
        <v>18</v>
      </c>
      <c r="E9" s="3">
        <v>25</v>
      </c>
      <c r="F9" s="3">
        <v>26</v>
      </c>
      <c r="G9" s="3">
        <v>10</v>
      </c>
      <c r="H9" s="3">
        <v>19</v>
      </c>
      <c r="I9" s="3">
        <v>33</v>
      </c>
      <c r="J9" s="3">
        <v>71</v>
      </c>
    </row>
    <row r="10" spans="1:10" x14ac:dyDescent="0.3">
      <c r="A10" s="22">
        <f>DETAILS!A9</f>
        <v>1873</v>
      </c>
      <c r="B10" s="3" t="str">
        <f>DETAILS!B9</f>
        <v>MASIRA AKHTAR</v>
      </c>
      <c r="C10" s="3">
        <v>26</v>
      </c>
      <c r="D10" s="3">
        <v>32</v>
      </c>
      <c r="E10" s="3">
        <v>31</v>
      </c>
      <c r="F10" s="3">
        <v>34</v>
      </c>
      <c r="G10" s="3">
        <v>28</v>
      </c>
      <c r="H10" s="3">
        <v>29</v>
      </c>
      <c r="I10" s="3">
        <v>42</v>
      </c>
      <c r="J10" s="3">
        <v>33</v>
      </c>
    </row>
    <row r="11" spans="1:10" x14ac:dyDescent="0.3">
      <c r="A11" s="22">
        <f>DETAILS!A10</f>
        <v>1491</v>
      </c>
      <c r="B11" s="3" t="str">
        <f>DETAILS!B10</f>
        <v>SIDDHARTH</v>
      </c>
      <c r="C11" s="3">
        <v>21</v>
      </c>
      <c r="D11" s="3">
        <v>17</v>
      </c>
      <c r="E11" s="3">
        <v>22</v>
      </c>
      <c r="F11" s="3">
        <v>31</v>
      </c>
      <c r="G11" s="3">
        <v>15</v>
      </c>
      <c r="H11" s="3">
        <v>26</v>
      </c>
      <c r="I11" s="3">
        <v>39</v>
      </c>
      <c r="J11" s="3">
        <v>71</v>
      </c>
    </row>
    <row r="12" spans="1:10" x14ac:dyDescent="0.3">
      <c r="A12" s="22">
        <f>DETAILS!A11</f>
        <v>701</v>
      </c>
      <c r="B12" s="3" t="str">
        <f>DETAILS!B11</f>
        <v>YASH SONI</v>
      </c>
      <c r="C12" s="44" t="s">
        <v>148</v>
      </c>
      <c r="D12" s="44" t="s">
        <v>148</v>
      </c>
      <c r="E12" s="44" t="s">
        <v>148</v>
      </c>
      <c r="F12" s="44" t="s">
        <v>148</v>
      </c>
      <c r="G12" s="44" t="s">
        <v>148</v>
      </c>
      <c r="H12" s="44" t="s">
        <v>148</v>
      </c>
      <c r="I12" s="3">
        <v>21</v>
      </c>
      <c r="J12" s="3">
        <v>71</v>
      </c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N12"/>
  <sheetViews>
    <sheetView tabSelected="1" zoomScale="115" zoomScaleNormal="115" workbookViewId="0">
      <selection activeCell="G17" sqref="G17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5" max="5" width="11.109375" bestFit="1" customWidth="1"/>
    <col min="6" max="6" width="10.77734375" bestFit="1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  <col min="14" max="14" width="11" customWidth="1"/>
  </cols>
  <sheetData>
    <row r="1" spans="1:14" x14ac:dyDescent="0.3">
      <c r="A1" s="55" t="s">
        <v>147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</row>
    <row r="2" spans="1:14" x14ac:dyDescent="0.3">
      <c r="A2" s="57" t="s">
        <v>39</v>
      </c>
      <c r="B2" s="57" t="s">
        <v>40</v>
      </c>
      <c r="C2" s="51" t="s">
        <v>9</v>
      </c>
      <c r="D2" s="51" t="s">
        <v>93</v>
      </c>
      <c r="E2" s="56" t="s">
        <v>99</v>
      </c>
      <c r="F2" s="56" t="s">
        <v>101</v>
      </c>
      <c r="G2" s="56" t="s">
        <v>100</v>
      </c>
      <c r="H2" s="56" t="s">
        <v>94</v>
      </c>
      <c r="I2" s="51" t="s">
        <v>41</v>
      </c>
      <c r="J2" s="51" t="s">
        <v>63</v>
      </c>
      <c r="K2" s="51" t="s">
        <v>60</v>
      </c>
      <c r="L2" s="51"/>
      <c r="M2" s="54" t="s">
        <v>149</v>
      </c>
      <c r="N2" s="54" t="s">
        <v>150</v>
      </c>
    </row>
    <row r="3" spans="1:14" x14ac:dyDescent="0.3">
      <c r="A3" s="57"/>
      <c r="B3" s="57"/>
      <c r="C3" s="51"/>
      <c r="D3" s="51"/>
      <c r="E3" s="56"/>
      <c r="F3" s="56"/>
      <c r="G3" s="56"/>
      <c r="H3" s="56"/>
      <c r="I3" s="51"/>
      <c r="J3" s="51"/>
      <c r="K3" s="25" t="s">
        <v>61</v>
      </c>
      <c r="L3" s="25" t="s">
        <v>62</v>
      </c>
      <c r="M3" s="54"/>
      <c r="N3" s="54"/>
    </row>
    <row r="4" spans="1:14" x14ac:dyDescent="0.3">
      <c r="A4" s="22">
        <f>DETAILS!A3</f>
        <v>688</v>
      </c>
      <c r="B4" s="3" t="str">
        <f>DETAILS!B3</f>
        <v>AMINUDDIN</v>
      </c>
      <c r="C4" s="26" t="str">
        <f>IFERROR(ROUND((VLOOKUP(A4,'UT-I(Entry)'!$1:$1048576,3,0))/2,0),VLOOKUP(A4,'UT-I(Entry)'!$1:$1048576,3,0))</f>
        <v>AB</v>
      </c>
      <c r="D4" s="26" t="str">
        <f>IF(VLOOKUP($A4,DETAILS!$1:$1048576,8,0)=DETAILS!$K$3,IFERROR(ROUND((VLOOKUP($A4,'UT-I(Entry)'!$1:$1048576,4,0))/2.5,0),VLOOKUP($A4,'UT-I(Entry)'!$1:$1048576,4,0)),IFERROR(ROUND((VLOOKUP($A4,'UT-I(Entry)'!$1:$1048576,4,0))/2,0),VLOOKUP($A4,'UT-I(Entry)'!$1:$1048576,4,0)))</f>
        <v>AB</v>
      </c>
      <c r="E4" s="26" t="str">
        <f>IFERROR(ROUND((VLOOKUP(A4,'UT-I(Entry)'!$1:$1048576,5,0))/2,0),VLOOKUP(A4,'UT-I(Entry)'!$1:$1048576,5,0))</f>
        <v>AB</v>
      </c>
      <c r="F4" s="26" t="str">
        <f>IFERROR(ROUND((VLOOKUP(A4,'UT-I(Entry)'!$1:$1048576,6,0))/2,0),VLOOKUP(A4,'UT-I(Entry)'!$1:$1048576,6,0))</f>
        <v>AB</v>
      </c>
      <c r="G4" s="26" t="str">
        <f>IFERROR(ROUND((VLOOKUP($A4,'UT-I(Entry)'!$1:$1048576,7,0))/2,0),VLOOKUP($A4,'UT-I(Entry)'!$1:$1048576,7,0))</f>
        <v>AB</v>
      </c>
      <c r="H4" s="26" t="str">
        <f>IFERROR(ROUND((VLOOKUP($A4,'UT-I(Entry)'!$1:$1048576,8,0))/1.75,0),VLOOKUP($A4,'UT-I(Entry)'!$1:$1048576,8,0))</f>
        <v>AB</v>
      </c>
      <c r="I4" s="35">
        <f>SUM(C4:H4)</f>
        <v>0</v>
      </c>
      <c r="J4" s="35" t="str">
        <f>ROUND(I4/1.2,2)&amp;" %"</f>
        <v>0 %</v>
      </c>
      <c r="K4" s="3">
        <f>VLOOKUP(A4,'UT-I(Entry)'!$1:$1048576,9,0)</f>
        <v>47</v>
      </c>
      <c r="L4" s="3">
        <f>VLOOKUP(A4,'UT-I(Entry)'!$1:$1048576,10,0)</f>
        <v>71</v>
      </c>
      <c r="M4" s="35"/>
      <c r="N4" s="3"/>
    </row>
    <row r="5" spans="1:14" x14ac:dyDescent="0.3">
      <c r="A5" s="22">
        <f>DETAILS!A4</f>
        <v>1011</v>
      </c>
      <c r="B5" s="3" t="str">
        <f>DETAILS!B4</f>
        <v>ARPIT VERMA</v>
      </c>
      <c r="C5" s="26">
        <f>IFERROR(ROUND((VLOOKUP(A5,'UT-I(Entry)'!$1:$1048576,3,0))/2,0),VLOOKUP(A5,'UT-I(Entry)'!$1:$1048576,3,0))</f>
        <v>6</v>
      </c>
      <c r="D5" s="26">
        <f>IF(VLOOKUP($A5,DETAILS!$1:$1048576,8,0)=DETAILS!$K$3,IFERROR(ROUND((VLOOKUP($A5,'UT-I(Entry)'!$1:$1048576,4,0))/2.5,0),VLOOKUP($A5,'UT-I(Entry)'!$1:$1048576,4,0)),IFERROR(ROUND((VLOOKUP($A5,'UT-I(Entry)'!$1:$1048576,4,0))/2,0),VLOOKUP($A5,'UT-I(Entry)'!$1:$1048576,4,0)))</f>
        <v>5</v>
      </c>
      <c r="E5" s="26">
        <f>IFERROR(ROUND((VLOOKUP(A5,'UT-I(Entry)'!$1:$1048576,5,0))/2,0),VLOOKUP(A5,'UT-I(Entry)'!$1:$1048576,5,0))</f>
        <v>7</v>
      </c>
      <c r="F5" s="26">
        <f>IFERROR(ROUND((VLOOKUP(A5,'UT-I(Entry)'!$1:$1048576,6,0))/2,0),VLOOKUP(A5,'UT-I(Entry)'!$1:$1048576,6,0))</f>
        <v>5</v>
      </c>
      <c r="G5" s="26">
        <f>IFERROR(ROUND((VLOOKUP($A5,'UT-I(Entry)'!$1:$1048576,7,0))/2,0),VLOOKUP($A5,'UT-I(Entry)'!$1:$1048576,7,0))</f>
        <v>1</v>
      </c>
      <c r="H5" s="26">
        <f>IFERROR(ROUND((VLOOKUP($A5,'UT-I(Entry)'!$1:$1048576,8,0))/1.75,0),VLOOKUP($A5,'UT-I(Entry)'!$1:$1048576,8,0))</f>
        <v>6</v>
      </c>
      <c r="I5" s="35">
        <f t="shared" ref="I5:I12" si="0">SUM(C5:H5)</f>
        <v>30</v>
      </c>
      <c r="J5" s="35" t="str">
        <f t="shared" ref="J5:J12" si="1">ROUND(I5/1.2,2)&amp;" %"</f>
        <v>25 %</v>
      </c>
      <c r="K5" s="3">
        <f>VLOOKUP(A5,'UT-I(Entry)'!$1:$1048576,9,0)</f>
        <v>32</v>
      </c>
      <c r="L5" s="3">
        <f>VLOOKUP(A5,'UT-I(Entry)'!$1:$1048576,10,0)</f>
        <v>71</v>
      </c>
      <c r="M5" s="35"/>
      <c r="N5" s="3"/>
    </row>
    <row r="6" spans="1:14" x14ac:dyDescent="0.3">
      <c r="A6" s="22">
        <f>DETAILS!A5</f>
        <v>692</v>
      </c>
      <c r="B6" s="3" t="str">
        <f>DETAILS!B5</f>
        <v>ATUL VERMA</v>
      </c>
      <c r="C6" s="26">
        <f>IFERROR(ROUND((VLOOKUP(A6,'UT-I(Entry)'!$1:$1048576,3,0))/2,0),VLOOKUP(A6,'UT-I(Entry)'!$1:$1048576,3,0))</f>
        <v>13</v>
      </c>
      <c r="D6" s="26">
        <f>IF(VLOOKUP($A6,DETAILS!$1:$1048576,8,0)=DETAILS!$K$3,IFERROR(ROUND((VLOOKUP($A6,'UT-I(Entry)'!$1:$1048576,4,0))/2.5,0),VLOOKUP($A6,'UT-I(Entry)'!$1:$1048576,4,0)),IFERROR(ROUND((VLOOKUP($A6,'UT-I(Entry)'!$1:$1048576,4,0))/2,0),VLOOKUP($A6,'UT-I(Entry)'!$1:$1048576,4,0)))</f>
        <v>14</v>
      </c>
      <c r="E6" s="26">
        <f>IFERROR(ROUND((VLOOKUP(A6,'UT-I(Entry)'!$1:$1048576,5,0))/2,0),VLOOKUP(A6,'UT-I(Entry)'!$1:$1048576,5,0))</f>
        <v>17</v>
      </c>
      <c r="F6" s="26">
        <f>IFERROR(ROUND((VLOOKUP(A6,'UT-I(Entry)'!$1:$1048576,6,0))/2,0),VLOOKUP(A6,'UT-I(Entry)'!$1:$1048576,6,0))</f>
        <v>19</v>
      </c>
      <c r="G6" s="26">
        <f>IFERROR(ROUND((VLOOKUP($A6,'UT-I(Entry)'!$1:$1048576,7,0))/2,0),VLOOKUP($A6,'UT-I(Entry)'!$1:$1048576,7,0))</f>
        <v>12</v>
      </c>
      <c r="H6" s="26">
        <f>IFERROR(ROUND((VLOOKUP($A6,'UT-I(Entry)'!$1:$1048576,8,0))/1.75,0),VLOOKUP($A6,'UT-I(Entry)'!$1:$1048576,8,0))</f>
        <v>19</v>
      </c>
      <c r="I6" s="35">
        <f t="shared" si="0"/>
        <v>94</v>
      </c>
      <c r="J6" s="35" t="str">
        <f t="shared" si="1"/>
        <v>78.33 %</v>
      </c>
      <c r="K6" s="3">
        <f>VLOOKUP(A6,'UT-I(Entry)'!$1:$1048576,9,0)</f>
        <v>65</v>
      </c>
      <c r="L6" s="3">
        <f>VLOOKUP(A6,'UT-I(Entry)'!$1:$1048576,10,0)</f>
        <v>71</v>
      </c>
      <c r="M6" s="35" t="s">
        <v>152</v>
      </c>
      <c r="N6" s="3"/>
    </row>
    <row r="7" spans="1:14" x14ac:dyDescent="0.3">
      <c r="A7" s="22">
        <f>DETAILS!A6</f>
        <v>1931</v>
      </c>
      <c r="B7" s="3" t="str">
        <f>DETAILS!B6</f>
        <v>GAURAV GAUTAM</v>
      </c>
      <c r="C7" s="26">
        <f>IFERROR(ROUND((VLOOKUP(A7,'UT-I(Entry)'!$1:$1048576,3,0))/2,0),VLOOKUP(A7,'UT-I(Entry)'!$1:$1048576,3,0))</f>
        <v>15</v>
      </c>
      <c r="D7" s="26">
        <f>IF(VLOOKUP($A7,DETAILS!$1:$1048576,8,0)=DETAILS!$K$3,IFERROR(ROUND((VLOOKUP($A7,'UT-I(Entry)'!$1:$1048576,4,0))/2.5,0),VLOOKUP($A7,'UT-I(Entry)'!$1:$1048576,4,0)),IFERROR(ROUND((VLOOKUP($A7,'UT-I(Entry)'!$1:$1048576,4,0))/2,0),VLOOKUP($A7,'UT-I(Entry)'!$1:$1048576,4,0)))</f>
        <v>20</v>
      </c>
      <c r="E7" s="26">
        <f>IFERROR(ROUND((VLOOKUP(A7,'UT-I(Entry)'!$1:$1048576,5,0))/2,0),VLOOKUP(A7,'UT-I(Entry)'!$1:$1048576,5,0))</f>
        <v>17</v>
      </c>
      <c r="F7" s="26">
        <f>IFERROR(ROUND((VLOOKUP(A7,'UT-I(Entry)'!$1:$1048576,6,0))/2,0),VLOOKUP(A7,'UT-I(Entry)'!$1:$1048576,6,0))</f>
        <v>20</v>
      </c>
      <c r="G7" s="26">
        <f>IFERROR(ROUND((VLOOKUP($A7,'UT-I(Entry)'!$1:$1048576,7,0))/2,0),VLOOKUP($A7,'UT-I(Entry)'!$1:$1048576,7,0))</f>
        <v>13</v>
      </c>
      <c r="H7" s="26">
        <f>IFERROR(ROUND((VLOOKUP($A7,'UT-I(Entry)'!$1:$1048576,8,0))/1.75,0),VLOOKUP($A7,'UT-I(Entry)'!$1:$1048576,8,0))</f>
        <v>17</v>
      </c>
      <c r="I7" s="35">
        <f t="shared" si="0"/>
        <v>102</v>
      </c>
      <c r="J7" s="35" t="str">
        <f t="shared" si="1"/>
        <v>85 %</v>
      </c>
      <c r="K7" s="3">
        <f>VLOOKUP(A7,'UT-I(Entry)'!$1:$1048576,9,0)</f>
        <v>15</v>
      </c>
      <c r="L7" s="3">
        <f>VLOOKUP(A7,'UT-I(Entry)'!$1:$1048576,10,0)</f>
        <v>18</v>
      </c>
      <c r="M7" s="35" t="s">
        <v>151</v>
      </c>
      <c r="N7" s="3"/>
    </row>
    <row r="8" spans="1:14" x14ac:dyDescent="0.3">
      <c r="A8" s="22">
        <f>DETAILS!A7</f>
        <v>1509</v>
      </c>
      <c r="B8" s="3" t="str">
        <f>DETAILS!B7</f>
        <v>HIMANSHU</v>
      </c>
      <c r="C8" s="26">
        <f>IFERROR(ROUND((VLOOKUP(A8,'UT-I(Entry)'!$1:$1048576,3,0))/2,0),VLOOKUP(A8,'UT-I(Entry)'!$1:$1048576,3,0))</f>
        <v>13</v>
      </c>
      <c r="D8" s="26">
        <f>IF(VLOOKUP($A8,DETAILS!$1:$1048576,8,0)=DETAILS!$K$3,IFERROR(ROUND((VLOOKUP($A8,'UT-I(Entry)'!$1:$1048576,4,0))/2.5,0),VLOOKUP($A8,'UT-I(Entry)'!$1:$1048576,4,0)),IFERROR(ROUND((VLOOKUP($A8,'UT-I(Entry)'!$1:$1048576,4,0))/2,0),VLOOKUP($A8,'UT-I(Entry)'!$1:$1048576,4,0)))</f>
        <v>10</v>
      </c>
      <c r="E8" s="26">
        <f>IFERROR(ROUND((VLOOKUP(A8,'UT-I(Entry)'!$1:$1048576,5,0))/2,0),VLOOKUP(A8,'UT-I(Entry)'!$1:$1048576,5,0))</f>
        <v>13</v>
      </c>
      <c r="F8" s="26">
        <f>IFERROR(ROUND((VLOOKUP(A8,'UT-I(Entry)'!$1:$1048576,6,0))/2,0),VLOOKUP(A8,'UT-I(Entry)'!$1:$1048576,6,0))</f>
        <v>16</v>
      </c>
      <c r="G8" s="26">
        <f>IFERROR(ROUND((VLOOKUP($A8,'UT-I(Entry)'!$1:$1048576,7,0))/2,0),VLOOKUP($A8,'UT-I(Entry)'!$1:$1048576,7,0))</f>
        <v>8</v>
      </c>
      <c r="H8" s="26">
        <f>IFERROR(ROUND((VLOOKUP($A8,'UT-I(Entry)'!$1:$1048576,8,0))/1.75,0),VLOOKUP($A8,'UT-I(Entry)'!$1:$1048576,8,0))</f>
        <v>13</v>
      </c>
      <c r="I8" s="35">
        <f t="shared" si="0"/>
        <v>73</v>
      </c>
      <c r="J8" s="35" t="str">
        <f t="shared" si="1"/>
        <v>60.83 %</v>
      </c>
      <c r="K8" s="3">
        <f>VLOOKUP(A8,'UT-I(Entry)'!$1:$1048576,9,0)</f>
        <v>43</v>
      </c>
      <c r="L8" s="3">
        <f>VLOOKUP(A8,'UT-I(Entry)'!$1:$1048576,10,0)</f>
        <v>71</v>
      </c>
      <c r="M8" s="35"/>
      <c r="N8" s="3"/>
    </row>
    <row r="9" spans="1:14" x14ac:dyDescent="0.3">
      <c r="A9" s="22">
        <f>DETAILS!A8</f>
        <v>694</v>
      </c>
      <c r="B9" s="3" t="str">
        <f>DETAILS!B8</f>
        <v>JYOTIRADITYA DAS</v>
      </c>
      <c r="C9" s="26">
        <f>IFERROR(ROUND((VLOOKUP(A9,'UT-I(Entry)'!$1:$1048576,3,0))/2,0),VLOOKUP(A9,'UT-I(Entry)'!$1:$1048576,3,0))</f>
        <v>9</v>
      </c>
      <c r="D9" s="26">
        <f>IF(VLOOKUP($A9,DETAILS!$1:$1048576,8,0)=DETAILS!$K$3,IFERROR(ROUND((VLOOKUP($A9,'UT-I(Entry)'!$1:$1048576,4,0))/2.5,0),VLOOKUP($A9,'UT-I(Entry)'!$1:$1048576,4,0)),IFERROR(ROUND((VLOOKUP($A9,'UT-I(Entry)'!$1:$1048576,4,0))/2,0),VLOOKUP($A9,'UT-I(Entry)'!$1:$1048576,4,0)))</f>
        <v>7</v>
      </c>
      <c r="E9" s="26">
        <f>IFERROR(ROUND((VLOOKUP(A9,'UT-I(Entry)'!$1:$1048576,5,0))/2,0),VLOOKUP(A9,'UT-I(Entry)'!$1:$1048576,5,0))</f>
        <v>13</v>
      </c>
      <c r="F9" s="26">
        <f>IFERROR(ROUND((VLOOKUP(A9,'UT-I(Entry)'!$1:$1048576,6,0))/2,0),VLOOKUP(A9,'UT-I(Entry)'!$1:$1048576,6,0))</f>
        <v>13</v>
      </c>
      <c r="G9" s="26">
        <f>IFERROR(ROUND((VLOOKUP($A9,'UT-I(Entry)'!$1:$1048576,7,0))/2,0),VLOOKUP($A9,'UT-I(Entry)'!$1:$1048576,7,0))</f>
        <v>5</v>
      </c>
      <c r="H9" s="26">
        <f>IFERROR(ROUND((VLOOKUP($A9,'UT-I(Entry)'!$1:$1048576,8,0))/1.75,0),VLOOKUP($A9,'UT-I(Entry)'!$1:$1048576,8,0))</f>
        <v>11</v>
      </c>
      <c r="I9" s="35">
        <f t="shared" si="0"/>
        <v>58</v>
      </c>
      <c r="J9" s="35" t="str">
        <f t="shared" si="1"/>
        <v>48.33 %</v>
      </c>
      <c r="K9" s="3">
        <f>VLOOKUP(A9,'UT-I(Entry)'!$1:$1048576,9,0)</f>
        <v>33</v>
      </c>
      <c r="L9" s="3">
        <f>VLOOKUP(A9,'UT-I(Entry)'!$1:$1048576,10,0)</f>
        <v>71</v>
      </c>
      <c r="M9" s="35"/>
      <c r="N9" s="3"/>
    </row>
    <row r="10" spans="1:14" x14ac:dyDescent="0.3">
      <c r="A10" s="22">
        <f>DETAILS!A9</f>
        <v>1873</v>
      </c>
      <c r="B10" s="3" t="str">
        <f>DETAILS!B9</f>
        <v>MASIRA AKHTAR</v>
      </c>
      <c r="C10" s="26">
        <f>IFERROR(ROUND((VLOOKUP(A10,'UT-I(Entry)'!$1:$1048576,3,0))/2,0),VLOOKUP(A10,'UT-I(Entry)'!$1:$1048576,3,0))</f>
        <v>13</v>
      </c>
      <c r="D10" s="26">
        <f>IF(VLOOKUP($A10,DETAILS!$1:$1048576,8,0)=DETAILS!$K$3,IFERROR(ROUND((VLOOKUP($A10,'UT-I(Entry)'!$1:$1048576,4,0))/2.5,0),VLOOKUP($A10,'UT-I(Entry)'!$1:$1048576,4,0)),IFERROR(ROUND((VLOOKUP($A10,'UT-I(Entry)'!$1:$1048576,4,0))/2,0),VLOOKUP($A10,'UT-I(Entry)'!$1:$1048576,4,0)))</f>
        <v>13</v>
      </c>
      <c r="E10" s="26">
        <f>IFERROR(ROUND((VLOOKUP(A10,'UT-I(Entry)'!$1:$1048576,5,0))/2,0),VLOOKUP(A10,'UT-I(Entry)'!$1:$1048576,5,0))</f>
        <v>16</v>
      </c>
      <c r="F10" s="26">
        <f>IFERROR(ROUND((VLOOKUP(A10,'UT-I(Entry)'!$1:$1048576,6,0))/2,0),VLOOKUP(A10,'UT-I(Entry)'!$1:$1048576,6,0))</f>
        <v>17</v>
      </c>
      <c r="G10" s="26">
        <f>IFERROR(ROUND((VLOOKUP($A10,'UT-I(Entry)'!$1:$1048576,7,0))/2,0),VLOOKUP($A10,'UT-I(Entry)'!$1:$1048576,7,0))</f>
        <v>14</v>
      </c>
      <c r="H10" s="26">
        <f>IFERROR(ROUND((VLOOKUP($A10,'UT-I(Entry)'!$1:$1048576,8,0))/1.75,0),VLOOKUP($A10,'UT-I(Entry)'!$1:$1048576,8,0))</f>
        <v>17</v>
      </c>
      <c r="I10" s="35">
        <f t="shared" si="0"/>
        <v>90</v>
      </c>
      <c r="J10" s="35" t="str">
        <f t="shared" si="1"/>
        <v>75 %</v>
      </c>
      <c r="K10" s="3">
        <f>VLOOKUP(A10,'UT-I(Entry)'!$1:$1048576,9,0)</f>
        <v>42</v>
      </c>
      <c r="L10" s="3">
        <f>VLOOKUP(A10,'UT-I(Entry)'!$1:$1048576,10,0)</f>
        <v>33</v>
      </c>
      <c r="M10" s="35" t="s">
        <v>153</v>
      </c>
      <c r="N10" s="3"/>
    </row>
    <row r="11" spans="1:14" x14ac:dyDescent="0.3">
      <c r="A11" s="22">
        <f>DETAILS!A10</f>
        <v>1491</v>
      </c>
      <c r="B11" s="3" t="str">
        <f>DETAILS!B10</f>
        <v>SIDDHARTH</v>
      </c>
      <c r="C11" s="26">
        <f>IFERROR(ROUND((VLOOKUP(A11,'UT-I(Entry)'!$1:$1048576,3,0))/2,0),VLOOKUP(A11,'UT-I(Entry)'!$1:$1048576,3,0))</f>
        <v>11</v>
      </c>
      <c r="D11" s="26">
        <f>IF(VLOOKUP($A11,DETAILS!$1:$1048576,8,0)=DETAILS!$K$3,IFERROR(ROUND((VLOOKUP($A11,'UT-I(Entry)'!$1:$1048576,4,0))/2.5,0),VLOOKUP($A11,'UT-I(Entry)'!$1:$1048576,4,0)),IFERROR(ROUND((VLOOKUP($A11,'UT-I(Entry)'!$1:$1048576,4,0))/2,0),VLOOKUP($A11,'UT-I(Entry)'!$1:$1048576,4,0)))</f>
        <v>7</v>
      </c>
      <c r="E11" s="26">
        <f>IFERROR(ROUND((VLOOKUP(A11,'UT-I(Entry)'!$1:$1048576,5,0))/2,0),VLOOKUP(A11,'UT-I(Entry)'!$1:$1048576,5,0))</f>
        <v>11</v>
      </c>
      <c r="F11" s="26">
        <f>IFERROR(ROUND((VLOOKUP(A11,'UT-I(Entry)'!$1:$1048576,6,0))/2,0),VLOOKUP(A11,'UT-I(Entry)'!$1:$1048576,6,0))</f>
        <v>16</v>
      </c>
      <c r="G11" s="26">
        <f>IFERROR(ROUND((VLOOKUP($A11,'UT-I(Entry)'!$1:$1048576,7,0))/2,0),VLOOKUP($A11,'UT-I(Entry)'!$1:$1048576,7,0))</f>
        <v>8</v>
      </c>
      <c r="H11" s="26">
        <f>IFERROR(ROUND((VLOOKUP($A11,'UT-I(Entry)'!$1:$1048576,8,0))/1.75,0),VLOOKUP($A11,'UT-I(Entry)'!$1:$1048576,8,0))</f>
        <v>15</v>
      </c>
      <c r="I11" s="35">
        <f t="shared" si="0"/>
        <v>68</v>
      </c>
      <c r="J11" s="35" t="str">
        <f t="shared" si="1"/>
        <v>56.67 %</v>
      </c>
      <c r="K11" s="3">
        <f>VLOOKUP(A11,'UT-I(Entry)'!$1:$1048576,9,0)</f>
        <v>39</v>
      </c>
      <c r="L11" s="3">
        <f>VLOOKUP(A11,'UT-I(Entry)'!$1:$1048576,10,0)</f>
        <v>71</v>
      </c>
      <c r="M11" s="35"/>
      <c r="N11" s="3"/>
    </row>
    <row r="12" spans="1:14" x14ac:dyDescent="0.3">
      <c r="A12" s="22">
        <f>DETAILS!A11</f>
        <v>701</v>
      </c>
      <c r="B12" s="3" t="str">
        <f>DETAILS!B11</f>
        <v>YASH SONI</v>
      </c>
      <c r="C12" s="26" t="str">
        <f>IFERROR(ROUND((VLOOKUP(A12,'UT-I(Entry)'!$1:$1048576,3,0))/2,0),VLOOKUP(A12,'UT-I(Entry)'!$1:$1048576,3,0))</f>
        <v>AB</v>
      </c>
      <c r="D12" s="26" t="str">
        <f>IF(VLOOKUP($A12,DETAILS!$1:$1048576,8,0)=DETAILS!$K$3,IFERROR(ROUND((VLOOKUP($A12,'UT-I(Entry)'!$1:$1048576,4,0))/2.5,0),VLOOKUP($A12,'UT-I(Entry)'!$1:$1048576,4,0)),IFERROR(ROUND((VLOOKUP($A12,'UT-I(Entry)'!$1:$1048576,4,0))/2,0),VLOOKUP($A12,'UT-I(Entry)'!$1:$1048576,4,0)))</f>
        <v>AB</v>
      </c>
      <c r="E12" s="26" t="str">
        <f>IFERROR(ROUND((VLOOKUP(A12,'UT-I(Entry)'!$1:$1048576,5,0))/2,0),VLOOKUP(A12,'UT-I(Entry)'!$1:$1048576,5,0))</f>
        <v>AB</v>
      </c>
      <c r="F12" s="26" t="str">
        <f>IFERROR(ROUND((VLOOKUP(A12,'UT-I(Entry)'!$1:$1048576,6,0))/2,0),VLOOKUP(A12,'UT-I(Entry)'!$1:$1048576,6,0))</f>
        <v>AB</v>
      </c>
      <c r="G12" s="26" t="str">
        <f>IFERROR(ROUND((VLOOKUP($A12,'UT-I(Entry)'!$1:$1048576,7,0))/2,0),VLOOKUP($A12,'UT-I(Entry)'!$1:$1048576,7,0))</f>
        <v>AB</v>
      </c>
      <c r="H12" s="26" t="str">
        <f>IFERROR(ROUND((VLOOKUP($A12,'UT-I(Entry)'!$1:$1048576,8,0))/1.75,0),VLOOKUP($A12,'UT-I(Entry)'!$1:$1048576,8,0))</f>
        <v>AB</v>
      </c>
      <c r="I12" s="35">
        <f t="shared" si="0"/>
        <v>0</v>
      </c>
      <c r="J12" s="35" t="str">
        <f t="shared" si="1"/>
        <v>0 %</v>
      </c>
      <c r="K12" s="3">
        <f>VLOOKUP(A12,'UT-I(Entry)'!$1:$1048576,9,0)</f>
        <v>21</v>
      </c>
      <c r="L12" s="3">
        <f>VLOOKUP(A12,'UT-I(Entry)'!$1:$1048576,10,0)</f>
        <v>71</v>
      </c>
      <c r="M12" s="35"/>
      <c r="N12" s="3"/>
    </row>
  </sheetData>
  <mergeCells count="14">
    <mergeCell ref="M2:M3"/>
    <mergeCell ref="N2:N3"/>
    <mergeCell ref="A1:N1"/>
    <mergeCell ref="H2:H3"/>
    <mergeCell ref="K2:L2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  <pageSetup paperSize="9" scale="82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22</v>
      </c>
    </row>
    <row r="3" spans="1:2" x14ac:dyDescent="0.3">
      <c r="A3">
        <v>39</v>
      </c>
      <c r="B3" t="s">
        <v>22</v>
      </c>
    </row>
    <row r="4" spans="1:2" x14ac:dyDescent="0.3">
      <c r="A4">
        <v>38</v>
      </c>
      <c r="B4" t="s">
        <v>22</v>
      </c>
    </row>
    <row r="5" spans="1:2" x14ac:dyDescent="0.3">
      <c r="A5">
        <v>37</v>
      </c>
      <c r="B5" t="s">
        <v>22</v>
      </c>
    </row>
    <row r="6" spans="1:2" x14ac:dyDescent="0.3">
      <c r="A6">
        <v>36</v>
      </c>
      <c r="B6" t="s">
        <v>22</v>
      </c>
    </row>
    <row r="7" spans="1:2" x14ac:dyDescent="0.3">
      <c r="A7">
        <v>35</v>
      </c>
      <c r="B7" t="s">
        <v>22</v>
      </c>
    </row>
    <row r="8" spans="1:2" x14ac:dyDescent="0.3">
      <c r="A8">
        <v>34</v>
      </c>
      <c r="B8" t="s">
        <v>22</v>
      </c>
    </row>
    <row r="9" spans="1:2" x14ac:dyDescent="0.3">
      <c r="A9">
        <v>33</v>
      </c>
      <c r="B9" t="s">
        <v>22</v>
      </c>
    </row>
    <row r="10" spans="1:2" x14ac:dyDescent="0.3">
      <c r="A10">
        <v>32</v>
      </c>
      <c r="B10" t="s">
        <v>23</v>
      </c>
    </row>
    <row r="11" spans="1:2" x14ac:dyDescent="0.3">
      <c r="A11">
        <v>31</v>
      </c>
      <c r="B11" t="s">
        <v>23</v>
      </c>
    </row>
    <row r="12" spans="1:2" x14ac:dyDescent="0.3">
      <c r="A12">
        <v>30</v>
      </c>
      <c r="B12" t="s">
        <v>23</v>
      </c>
    </row>
    <row r="13" spans="1:2" x14ac:dyDescent="0.3">
      <c r="A13">
        <v>29</v>
      </c>
      <c r="B13" t="s">
        <v>23</v>
      </c>
    </row>
    <row r="14" spans="1:2" x14ac:dyDescent="0.3">
      <c r="A14">
        <v>28</v>
      </c>
      <c r="B14" t="s">
        <v>23</v>
      </c>
    </row>
    <row r="15" spans="1:2" x14ac:dyDescent="0.3">
      <c r="A15">
        <v>27</v>
      </c>
      <c r="B15" t="s">
        <v>23</v>
      </c>
    </row>
    <row r="16" spans="1:2" x14ac:dyDescent="0.3">
      <c r="A16">
        <v>26</v>
      </c>
      <c r="B16" t="s">
        <v>23</v>
      </c>
    </row>
    <row r="17" spans="1:2" x14ac:dyDescent="0.3">
      <c r="A17">
        <v>25</v>
      </c>
      <c r="B17" t="s">
        <v>23</v>
      </c>
    </row>
    <row r="18" spans="1:2" x14ac:dyDescent="0.3">
      <c r="A18">
        <v>24</v>
      </c>
      <c r="B18" t="s">
        <v>24</v>
      </c>
    </row>
    <row r="19" spans="1:2" x14ac:dyDescent="0.3">
      <c r="A19">
        <v>23</v>
      </c>
      <c r="B19" t="s">
        <v>24</v>
      </c>
    </row>
    <row r="20" spans="1:2" x14ac:dyDescent="0.3">
      <c r="A20">
        <v>22</v>
      </c>
      <c r="B20" t="s">
        <v>24</v>
      </c>
    </row>
    <row r="21" spans="1:2" x14ac:dyDescent="0.3">
      <c r="A21">
        <v>21</v>
      </c>
      <c r="B21" t="s">
        <v>24</v>
      </c>
    </row>
    <row r="22" spans="1:2" x14ac:dyDescent="0.3">
      <c r="A22">
        <v>20</v>
      </c>
      <c r="B22" t="s">
        <v>24</v>
      </c>
    </row>
    <row r="23" spans="1:2" x14ac:dyDescent="0.3">
      <c r="A23">
        <v>19</v>
      </c>
      <c r="B23" t="s">
        <v>24</v>
      </c>
    </row>
    <row r="24" spans="1:2" x14ac:dyDescent="0.3">
      <c r="A24">
        <v>18</v>
      </c>
      <c r="B24" t="s">
        <v>24</v>
      </c>
    </row>
    <row r="25" spans="1:2" x14ac:dyDescent="0.3">
      <c r="A25">
        <v>17</v>
      </c>
      <c r="B25" t="s">
        <v>24</v>
      </c>
    </row>
    <row r="26" spans="1:2" x14ac:dyDescent="0.3">
      <c r="A26">
        <v>16</v>
      </c>
      <c r="B26" t="s">
        <v>24</v>
      </c>
    </row>
    <row r="27" spans="1:2" x14ac:dyDescent="0.3">
      <c r="A27">
        <v>15</v>
      </c>
      <c r="B27" t="s">
        <v>25</v>
      </c>
    </row>
    <row r="28" spans="1:2" x14ac:dyDescent="0.3">
      <c r="A28">
        <v>14</v>
      </c>
      <c r="B28" t="s">
        <v>25</v>
      </c>
    </row>
    <row r="29" spans="1:2" x14ac:dyDescent="0.3">
      <c r="A29">
        <v>13</v>
      </c>
      <c r="B29" t="s">
        <v>25</v>
      </c>
    </row>
    <row r="30" spans="1:2" x14ac:dyDescent="0.3">
      <c r="A30">
        <v>12</v>
      </c>
      <c r="B30" t="s">
        <v>26</v>
      </c>
    </row>
    <row r="31" spans="1:2" x14ac:dyDescent="0.3">
      <c r="A31">
        <v>11</v>
      </c>
      <c r="B31" t="s">
        <v>26</v>
      </c>
    </row>
    <row r="32" spans="1:2" x14ac:dyDescent="0.3">
      <c r="A32">
        <v>10</v>
      </c>
      <c r="B32" t="s">
        <v>26</v>
      </c>
    </row>
    <row r="33" spans="1:2" x14ac:dyDescent="0.3">
      <c r="A33">
        <v>9</v>
      </c>
      <c r="B33" t="s">
        <v>26</v>
      </c>
    </row>
    <row r="34" spans="1:2" x14ac:dyDescent="0.3">
      <c r="A34">
        <v>8</v>
      </c>
      <c r="B34" t="s">
        <v>26</v>
      </c>
    </row>
    <row r="35" spans="1:2" x14ac:dyDescent="0.3">
      <c r="A35">
        <v>7</v>
      </c>
      <c r="B35" t="s">
        <v>26</v>
      </c>
    </row>
    <row r="36" spans="1:2" x14ac:dyDescent="0.3">
      <c r="A36">
        <v>6</v>
      </c>
      <c r="B36" t="s">
        <v>26</v>
      </c>
    </row>
    <row r="37" spans="1:2" x14ac:dyDescent="0.3">
      <c r="A37">
        <v>5</v>
      </c>
      <c r="B37" t="s">
        <v>26</v>
      </c>
    </row>
    <row r="38" spans="1:2" x14ac:dyDescent="0.3">
      <c r="A38">
        <v>4</v>
      </c>
      <c r="B38" t="s">
        <v>26</v>
      </c>
    </row>
    <row r="39" spans="1:2" x14ac:dyDescent="0.3">
      <c r="A39">
        <v>3</v>
      </c>
      <c r="B39" t="s">
        <v>26</v>
      </c>
    </row>
    <row r="40" spans="1:2" x14ac:dyDescent="0.3">
      <c r="A40">
        <v>2</v>
      </c>
      <c r="B40" t="s">
        <v>26</v>
      </c>
    </row>
    <row r="41" spans="1:2" x14ac:dyDescent="0.3">
      <c r="A41">
        <v>1</v>
      </c>
      <c r="B41" t="s">
        <v>26</v>
      </c>
    </row>
    <row r="42" spans="1:2" x14ac:dyDescent="0.3">
      <c r="A42">
        <v>0</v>
      </c>
      <c r="B42" t="s">
        <v>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1.88671875" customWidth="1"/>
    <col min="8" max="8" width="13.33203125" customWidth="1"/>
    <col min="9" max="9" width="11.5546875" customWidth="1"/>
    <col min="10" max="10" width="12.33203125" customWidth="1"/>
    <col min="11" max="11" width="12.21875" customWidth="1"/>
    <col min="12" max="14" width="10.88671875" customWidth="1"/>
    <col min="15" max="15" width="31.5546875" customWidth="1"/>
    <col min="17" max="17" width="11.44140625" customWidth="1"/>
  </cols>
  <sheetData>
    <row r="1" spans="1:17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4" t="s">
        <v>39</v>
      </c>
      <c r="B2" s="24" t="s">
        <v>40</v>
      </c>
      <c r="C2" s="25" t="s">
        <v>9</v>
      </c>
      <c r="D2" s="25" t="s">
        <v>93</v>
      </c>
      <c r="E2" s="24" t="s">
        <v>99</v>
      </c>
      <c r="F2" s="24" t="s">
        <v>101</v>
      </c>
      <c r="G2" s="24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40"/>
      <c r="D3" s="40"/>
      <c r="E3" s="40"/>
      <c r="F3" s="40"/>
      <c r="G3" s="41"/>
      <c r="H3" s="41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A2" sqref="A2"/>
    </sheetView>
  </sheetViews>
  <sheetFormatPr defaultRowHeight="14.4" x14ac:dyDescent="0.3"/>
  <cols>
    <col min="2" max="2" width="22.33203125" bestFit="1" customWidth="1"/>
    <col min="3" max="6" width="10.88671875" customWidth="1"/>
    <col min="7" max="7" width="12.6640625" customWidth="1"/>
    <col min="8" max="8" width="13.33203125" customWidth="1"/>
    <col min="9" max="12" width="13" customWidth="1"/>
    <col min="13" max="14" width="10.88671875" customWidth="1"/>
    <col min="15" max="15" width="41.88671875" customWidth="1"/>
    <col min="16" max="16" width="8.77734375" customWidth="1"/>
  </cols>
  <sheetData>
    <row r="1" spans="1:17" x14ac:dyDescent="0.3">
      <c r="A1" s="45" t="s">
        <v>107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4" t="s">
        <v>39</v>
      </c>
      <c r="B2" s="24" t="s">
        <v>40</v>
      </c>
      <c r="C2" s="39" t="s">
        <v>9</v>
      </c>
      <c r="D2" s="39" t="s">
        <v>93</v>
      </c>
      <c r="E2" s="24" t="s">
        <v>99</v>
      </c>
      <c r="F2" s="24" t="s">
        <v>101</v>
      </c>
      <c r="G2" s="24" t="s">
        <v>100</v>
      </c>
      <c r="H2" s="29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VLOOKUP($A12,'HALF YEARLY(Entry)'!$1:$1048576,3,0)</f>
        <v>#REF!</v>
      </c>
      <c r="D12" s="26" t="e">
        <f>VLOOKUP($A12,'HALF YEARLY(Entry)'!$1:$1048576,4,0)</f>
        <v>#REF!</v>
      </c>
      <c r="E12" s="26" t="e">
        <f>VLOOKUP($A12,'HALF YEARLY(Entry)'!$1:$1048576,5,0)</f>
        <v>#REF!</v>
      </c>
      <c r="F12" s="26" t="e">
        <f>VLOOKUP($A12,'HALF YEARLY(Entry)'!$1:$1048576,6,0)</f>
        <v>#REF!</v>
      </c>
      <c r="G12" s="26" t="e">
        <f>VLOOKUP($A12,'HALF YEARLY(Entry)'!$1:$1048576,7,0)</f>
        <v>#REF!</v>
      </c>
      <c r="H12" s="26" t="e">
        <f>VLOOKUP($A12,'HALF YEARLY(Entry)'!$1:$1048576,8,0)</f>
        <v>#REF!</v>
      </c>
      <c r="I12" s="26" t="e">
        <f>VLOOKUP($A12,'HALF YEARLY(Entry)'!$1:$1048576,9,0)</f>
        <v>#REF!</v>
      </c>
      <c r="J12" s="26" t="e">
        <f>VLOOKUP($A12,'HALF YEARLY(Entry)'!$1:$1048576,10,0)</f>
        <v>#REF!</v>
      </c>
      <c r="K12" s="26" t="e">
        <f>VLOOKUP($A12,'HALF YEARLY(Entry)'!$1:$1048576,11,0)</f>
        <v>#REF!</v>
      </c>
      <c r="L12" s="26" t="e">
        <f>VLOOKUP($A12,'HALF YEARLY(Entry)'!$1:$1048576,12,0)</f>
        <v>#REF!</v>
      </c>
      <c r="M12" s="26" t="e">
        <f>VLOOKUP($A12,'HALF YEARLY(Entry)'!$1:$1048576,13,0)</f>
        <v>#REF!</v>
      </c>
      <c r="N12" s="26" t="e">
        <f>VLOOKUP($A12,'HALF YEARLY(Entry)'!$1:$1048576,14,0)</f>
        <v>#REF!</v>
      </c>
      <c r="O12" s="31" t="e">
        <f>VLOOKUP($A12,'HALF YEARLY(Entry)'!$1:$1048576,15,0)</f>
        <v>#REF!</v>
      </c>
      <c r="P12" s="26" t="e">
        <f t="shared" si="0"/>
        <v>#REF!</v>
      </c>
      <c r="Q12" s="26" t="e">
        <f t="shared" si="1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VLOOKUP($A13,'HALF YEARLY(Entry)'!$1:$1048576,3,0)</f>
        <v>#REF!</v>
      </c>
      <c r="D13" s="26" t="e">
        <f>VLOOKUP($A13,'HALF YEARLY(Entry)'!$1:$1048576,4,0)</f>
        <v>#REF!</v>
      </c>
      <c r="E13" s="26" t="e">
        <f>VLOOKUP($A13,'HALF YEARLY(Entry)'!$1:$1048576,5,0)</f>
        <v>#REF!</v>
      </c>
      <c r="F13" s="26" t="e">
        <f>VLOOKUP($A13,'HALF YEARLY(Entry)'!$1:$1048576,6,0)</f>
        <v>#REF!</v>
      </c>
      <c r="G13" s="26" t="e">
        <f>VLOOKUP($A13,'HALF YEARLY(Entry)'!$1:$1048576,7,0)</f>
        <v>#REF!</v>
      </c>
      <c r="H13" s="26" t="e">
        <f>VLOOKUP($A13,'HALF YEARLY(Entry)'!$1:$1048576,8,0)</f>
        <v>#REF!</v>
      </c>
      <c r="I13" s="26" t="e">
        <f>VLOOKUP($A13,'HALF YEARLY(Entry)'!$1:$1048576,9,0)</f>
        <v>#REF!</v>
      </c>
      <c r="J13" s="26" t="e">
        <f>VLOOKUP($A13,'HALF YEARLY(Entry)'!$1:$1048576,10,0)</f>
        <v>#REF!</v>
      </c>
      <c r="K13" s="26" t="e">
        <f>VLOOKUP($A13,'HALF YEARLY(Entry)'!$1:$1048576,11,0)</f>
        <v>#REF!</v>
      </c>
      <c r="L13" s="26" t="e">
        <f>VLOOKUP($A13,'HALF YEARLY(Entry)'!$1:$1048576,12,0)</f>
        <v>#REF!</v>
      </c>
      <c r="M13" s="26" t="e">
        <f>VLOOKUP($A13,'HALF YEARLY(Entry)'!$1:$1048576,13,0)</f>
        <v>#REF!</v>
      </c>
      <c r="N13" s="26" t="e">
        <f>VLOOKUP($A13,'HALF YEARLY(Entry)'!$1:$1048576,14,0)</f>
        <v>#REF!</v>
      </c>
      <c r="O13" s="31" t="e">
        <f>VLOOKUP($A13,'HALF YEARLY(Entry)'!$1:$1048576,15,0)</f>
        <v>#REF!</v>
      </c>
      <c r="P13" s="26" t="e">
        <f t="shared" si="0"/>
        <v>#REF!</v>
      </c>
      <c r="Q13" s="26" t="e">
        <f t="shared" si="1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VLOOKUP($A14,'HALF YEARLY(Entry)'!$1:$1048576,3,0)</f>
        <v>#REF!</v>
      </c>
      <c r="D14" s="26" t="e">
        <f>VLOOKUP($A14,'HALF YEARLY(Entry)'!$1:$1048576,4,0)</f>
        <v>#REF!</v>
      </c>
      <c r="E14" s="26" t="e">
        <f>VLOOKUP($A14,'HALF YEARLY(Entry)'!$1:$1048576,5,0)</f>
        <v>#REF!</v>
      </c>
      <c r="F14" s="26" t="e">
        <f>VLOOKUP($A14,'HALF YEARLY(Entry)'!$1:$1048576,6,0)</f>
        <v>#REF!</v>
      </c>
      <c r="G14" s="26" t="e">
        <f>VLOOKUP($A14,'HALF YEARLY(Entry)'!$1:$1048576,7,0)</f>
        <v>#REF!</v>
      </c>
      <c r="H14" s="26" t="e">
        <f>VLOOKUP($A14,'HALF YEARLY(Entry)'!$1:$1048576,8,0)</f>
        <v>#REF!</v>
      </c>
      <c r="I14" s="26" t="e">
        <f>VLOOKUP($A14,'HALF YEARLY(Entry)'!$1:$1048576,9,0)</f>
        <v>#REF!</v>
      </c>
      <c r="J14" s="26" t="e">
        <f>VLOOKUP($A14,'HALF YEARLY(Entry)'!$1:$1048576,10,0)</f>
        <v>#REF!</v>
      </c>
      <c r="K14" s="26" t="e">
        <f>VLOOKUP($A14,'HALF YEARLY(Entry)'!$1:$1048576,11,0)</f>
        <v>#REF!</v>
      </c>
      <c r="L14" s="26" t="e">
        <f>VLOOKUP($A14,'HALF YEARLY(Entry)'!$1:$1048576,12,0)</f>
        <v>#REF!</v>
      </c>
      <c r="M14" s="26" t="e">
        <f>VLOOKUP($A14,'HALF YEARLY(Entry)'!$1:$1048576,13,0)</f>
        <v>#REF!</v>
      </c>
      <c r="N14" s="26" t="e">
        <f>VLOOKUP($A14,'HALF YEARLY(Entry)'!$1:$1048576,14,0)</f>
        <v>#REF!</v>
      </c>
      <c r="O14" s="31" t="e">
        <f>VLOOKUP($A14,'HALF YEARLY(Entry)'!$1:$1048576,15,0)</f>
        <v>#REF!</v>
      </c>
      <c r="P14" s="26" t="e">
        <f t="shared" si="0"/>
        <v>#REF!</v>
      </c>
      <c r="Q14" s="26" t="e">
        <f t="shared" si="1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VLOOKUP($A15,'HALF YEARLY(Entry)'!$1:$1048576,3,0)</f>
        <v>#REF!</v>
      </c>
      <c r="D15" s="26" t="e">
        <f>VLOOKUP($A15,'HALF YEARLY(Entry)'!$1:$1048576,4,0)</f>
        <v>#REF!</v>
      </c>
      <c r="E15" s="26" t="e">
        <f>VLOOKUP($A15,'HALF YEARLY(Entry)'!$1:$1048576,5,0)</f>
        <v>#REF!</v>
      </c>
      <c r="F15" s="26" t="e">
        <f>VLOOKUP($A15,'HALF YEARLY(Entry)'!$1:$1048576,6,0)</f>
        <v>#REF!</v>
      </c>
      <c r="G15" s="26" t="e">
        <f>VLOOKUP($A15,'HALF YEARLY(Entry)'!$1:$1048576,7,0)</f>
        <v>#REF!</v>
      </c>
      <c r="H15" s="26" t="e">
        <f>VLOOKUP($A15,'HALF YEARLY(Entry)'!$1:$1048576,8,0)</f>
        <v>#REF!</v>
      </c>
      <c r="I15" s="26" t="e">
        <f>VLOOKUP($A15,'HALF YEARLY(Entry)'!$1:$1048576,9,0)</f>
        <v>#REF!</v>
      </c>
      <c r="J15" s="26" t="e">
        <f>VLOOKUP($A15,'HALF YEARLY(Entry)'!$1:$1048576,10,0)</f>
        <v>#REF!</v>
      </c>
      <c r="K15" s="26" t="e">
        <f>VLOOKUP($A15,'HALF YEARLY(Entry)'!$1:$1048576,11,0)</f>
        <v>#REF!</v>
      </c>
      <c r="L15" s="26" t="e">
        <f>VLOOKUP($A15,'HALF YEARLY(Entry)'!$1:$1048576,12,0)</f>
        <v>#REF!</v>
      </c>
      <c r="M15" s="26" t="e">
        <f>VLOOKUP($A15,'HALF YEARLY(Entry)'!$1:$1048576,13,0)</f>
        <v>#REF!</v>
      </c>
      <c r="N15" s="26" t="e">
        <f>VLOOKUP($A15,'HALF YEARLY(Entry)'!$1:$1048576,14,0)</f>
        <v>#REF!</v>
      </c>
      <c r="O15" s="31" t="e">
        <f>VLOOKUP($A15,'HALF YEARLY(Entry)'!$1:$1048576,15,0)</f>
        <v>#REF!</v>
      </c>
      <c r="P15" s="26" t="e">
        <f t="shared" si="0"/>
        <v>#REF!</v>
      </c>
      <c r="Q15" s="26" t="e">
        <f t="shared" si="1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VLOOKUP($A16,'HALF YEARLY(Entry)'!$1:$1048576,3,0)</f>
        <v>#REF!</v>
      </c>
      <c r="D16" s="26" t="e">
        <f>VLOOKUP($A16,'HALF YEARLY(Entry)'!$1:$1048576,4,0)</f>
        <v>#REF!</v>
      </c>
      <c r="E16" s="26" t="e">
        <f>VLOOKUP($A16,'HALF YEARLY(Entry)'!$1:$1048576,5,0)</f>
        <v>#REF!</v>
      </c>
      <c r="F16" s="26" t="e">
        <f>VLOOKUP($A16,'HALF YEARLY(Entry)'!$1:$1048576,6,0)</f>
        <v>#REF!</v>
      </c>
      <c r="G16" s="26" t="e">
        <f>VLOOKUP($A16,'HALF YEARLY(Entry)'!$1:$1048576,7,0)</f>
        <v>#REF!</v>
      </c>
      <c r="H16" s="26" t="e">
        <f>VLOOKUP($A16,'HALF YEARLY(Entry)'!$1:$1048576,8,0)</f>
        <v>#REF!</v>
      </c>
      <c r="I16" s="26" t="e">
        <f>VLOOKUP($A16,'HALF YEARLY(Entry)'!$1:$1048576,9,0)</f>
        <v>#REF!</v>
      </c>
      <c r="J16" s="26" t="e">
        <f>VLOOKUP($A16,'HALF YEARLY(Entry)'!$1:$1048576,10,0)</f>
        <v>#REF!</v>
      </c>
      <c r="K16" s="26" t="e">
        <f>VLOOKUP($A16,'HALF YEARLY(Entry)'!$1:$1048576,11,0)</f>
        <v>#REF!</v>
      </c>
      <c r="L16" s="26" t="e">
        <f>VLOOKUP($A16,'HALF YEARLY(Entry)'!$1:$1048576,12,0)</f>
        <v>#REF!</v>
      </c>
      <c r="M16" s="26" t="e">
        <f>VLOOKUP($A16,'HALF YEARLY(Entry)'!$1:$1048576,13,0)</f>
        <v>#REF!</v>
      </c>
      <c r="N16" s="26" t="e">
        <f>VLOOKUP($A16,'HALF YEARLY(Entry)'!$1:$1048576,14,0)</f>
        <v>#REF!</v>
      </c>
      <c r="O16" s="31" t="e">
        <f>VLOOKUP($A16,'HALF YEARLY(Entry)'!$1:$1048576,15,0)</f>
        <v>#REF!</v>
      </c>
      <c r="P16" s="26" t="e">
        <f t="shared" si="0"/>
        <v>#REF!</v>
      </c>
      <c r="Q16" s="26" t="e">
        <f t="shared" si="1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VLOOKUP($A17,'HALF YEARLY(Entry)'!$1:$1048576,3,0)</f>
        <v>#REF!</v>
      </c>
      <c r="D17" s="26" t="e">
        <f>VLOOKUP($A17,'HALF YEARLY(Entry)'!$1:$1048576,4,0)</f>
        <v>#REF!</v>
      </c>
      <c r="E17" s="26" t="e">
        <f>VLOOKUP($A17,'HALF YEARLY(Entry)'!$1:$1048576,5,0)</f>
        <v>#REF!</v>
      </c>
      <c r="F17" s="26" t="e">
        <f>VLOOKUP($A17,'HALF YEARLY(Entry)'!$1:$1048576,6,0)</f>
        <v>#REF!</v>
      </c>
      <c r="G17" s="26" t="e">
        <f>VLOOKUP($A17,'HALF YEARLY(Entry)'!$1:$1048576,7,0)</f>
        <v>#REF!</v>
      </c>
      <c r="H17" s="26" t="e">
        <f>VLOOKUP($A17,'HALF YEARLY(Entry)'!$1:$1048576,8,0)</f>
        <v>#REF!</v>
      </c>
      <c r="I17" s="26" t="e">
        <f>VLOOKUP($A17,'HALF YEARLY(Entry)'!$1:$1048576,9,0)</f>
        <v>#REF!</v>
      </c>
      <c r="J17" s="26" t="e">
        <f>VLOOKUP($A17,'HALF YEARLY(Entry)'!$1:$1048576,10,0)</f>
        <v>#REF!</v>
      </c>
      <c r="K17" s="26" t="e">
        <f>VLOOKUP($A17,'HALF YEARLY(Entry)'!$1:$1048576,11,0)</f>
        <v>#REF!</v>
      </c>
      <c r="L17" s="26" t="e">
        <f>VLOOKUP($A17,'HALF YEARLY(Entry)'!$1:$1048576,12,0)</f>
        <v>#REF!</v>
      </c>
      <c r="M17" s="26" t="e">
        <f>VLOOKUP($A17,'HALF YEARLY(Entry)'!$1:$1048576,13,0)</f>
        <v>#REF!</v>
      </c>
      <c r="N17" s="26" t="e">
        <f>VLOOKUP($A17,'HALF YEARLY(Entry)'!$1:$1048576,14,0)</f>
        <v>#REF!</v>
      </c>
      <c r="O17" s="31" t="e">
        <f>VLOOKUP($A17,'HALF YEARLY(Entry)'!$1:$1048576,15,0)</f>
        <v>#REF!</v>
      </c>
      <c r="P17" s="26" t="e">
        <f t="shared" si="0"/>
        <v>#REF!</v>
      </c>
      <c r="Q17" s="26" t="e">
        <f t="shared" si="1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VLOOKUP($A18,'HALF YEARLY(Entry)'!$1:$1048576,3,0)</f>
        <v>#REF!</v>
      </c>
      <c r="D18" s="26" t="e">
        <f>VLOOKUP($A18,'HALF YEARLY(Entry)'!$1:$1048576,4,0)</f>
        <v>#REF!</v>
      </c>
      <c r="E18" s="26" t="e">
        <f>VLOOKUP($A18,'HALF YEARLY(Entry)'!$1:$1048576,5,0)</f>
        <v>#REF!</v>
      </c>
      <c r="F18" s="26" t="e">
        <f>VLOOKUP($A18,'HALF YEARLY(Entry)'!$1:$1048576,6,0)</f>
        <v>#REF!</v>
      </c>
      <c r="G18" s="26" t="e">
        <f>VLOOKUP($A18,'HALF YEARLY(Entry)'!$1:$1048576,7,0)</f>
        <v>#REF!</v>
      </c>
      <c r="H18" s="26" t="e">
        <f>VLOOKUP($A18,'HALF YEARLY(Entry)'!$1:$1048576,8,0)</f>
        <v>#REF!</v>
      </c>
      <c r="I18" s="26" t="e">
        <f>VLOOKUP($A18,'HALF YEARLY(Entry)'!$1:$1048576,9,0)</f>
        <v>#REF!</v>
      </c>
      <c r="J18" s="26" t="e">
        <f>VLOOKUP($A18,'HALF YEARLY(Entry)'!$1:$1048576,10,0)</f>
        <v>#REF!</v>
      </c>
      <c r="K18" s="26" t="e">
        <f>VLOOKUP($A18,'HALF YEARLY(Entry)'!$1:$1048576,11,0)</f>
        <v>#REF!</v>
      </c>
      <c r="L18" s="26" t="e">
        <f>VLOOKUP($A18,'HALF YEARLY(Entry)'!$1:$1048576,12,0)</f>
        <v>#REF!</v>
      </c>
      <c r="M18" s="26" t="e">
        <f>VLOOKUP($A18,'HALF YEARLY(Entry)'!$1:$1048576,13,0)</f>
        <v>#REF!</v>
      </c>
      <c r="N18" s="26" t="e">
        <f>VLOOKUP($A18,'HALF YEARLY(Entry)'!$1:$1048576,14,0)</f>
        <v>#REF!</v>
      </c>
      <c r="O18" s="31" t="e">
        <f>VLOOKUP($A18,'HALF YEARLY(Entry)'!$1:$1048576,15,0)</f>
        <v>#REF!</v>
      </c>
      <c r="P18" s="26" t="e">
        <f t="shared" si="0"/>
        <v>#REF!</v>
      </c>
      <c r="Q18" s="26" t="e">
        <f t="shared" si="1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VLOOKUP($A19,'HALF YEARLY(Entry)'!$1:$1048576,3,0)</f>
        <v>#REF!</v>
      </c>
      <c r="D19" s="26" t="e">
        <f>VLOOKUP($A19,'HALF YEARLY(Entry)'!$1:$1048576,4,0)</f>
        <v>#REF!</v>
      </c>
      <c r="E19" s="26" t="e">
        <f>VLOOKUP($A19,'HALF YEARLY(Entry)'!$1:$1048576,5,0)</f>
        <v>#REF!</v>
      </c>
      <c r="F19" s="26" t="e">
        <f>VLOOKUP($A19,'HALF YEARLY(Entry)'!$1:$1048576,6,0)</f>
        <v>#REF!</v>
      </c>
      <c r="G19" s="26" t="e">
        <f>VLOOKUP($A19,'HALF YEARLY(Entry)'!$1:$1048576,7,0)</f>
        <v>#REF!</v>
      </c>
      <c r="H19" s="26" t="e">
        <f>VLOOKUP($A19,'HALF YEARLY(Entry)'!$1:$1048576,8,0)</f>
        <v>#REF!</v>
      </c>
      <c r="I19" s="26" t="e">
        <f>VLOOKUP($A19,'HALF YEARLY(Entry)'!$1:$1048576,9,0)</f>
        <v>#REF!</v>
      </c>
      <c r="J19" s="26" t="e">
        <f>VLOOKUP($A19,'HALF YEARLY(Entry)'!$1:$1048576,10,0)</f>
        <v>#REF!</v>
      </c>
      <c r="K19" s="26" t="e">
        <f>VLOOKUP($A19,'HALF YEARLY(Entry)'!$1:$1048576,11,0)</f>
        <v>#REF!</v>
      </c>
      <c r="L19" s="26" t="e">
        <f>VLOOKUP($A19,'HALF YEARLY(Entry)'!$1:$1048576,12,0)</f>
        <v>#REF!</v>
      </c>
      <c r="M19" s="26" t="e">
        <f>VLOOKUP($A19,'HALF YEARLY(Entry)'!$1:$1048576,13,0)</f>
        <v>#REF!</v>
      </c>
      <c r="N19" s="26" t="e">
        <f>VLOOKUP($A19,'HALF YEARLY(Entry)'!$1:$1048576,14,0)</f>
        <v>#REF!</v>
      </c>
      <c r="O19" s="31" t="e">
        <f>VLOOKUP($A19,'HALF YEARLY(Entry)'!$1:$1048576,15,0)</f>
        <v>#REF!</v>
      </c>
      <c r="P19" s="26" t="e">
        <f t="shared" si="0"/>
        <v>#REF!</v>
      </c>
      <c r="Q19" s="26" t="e">
        <f t="shared" si="1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VLOOKUP($A20,'HALF YEARLY(Entry)'!$1:$1048576,3,0)</f>
        <v>#REF!</v>
      </c>
      <c r="D20" s="26" t="e">
        <f>VLOOKUP($A20,'HALF YEARLY(Entry)'!$1:$1048576,4,0)</f>
        <v>#REF!</v>
      </c>
      <c r="E20" s="26" t="e">
        <f>VLOOKUP($A20,'HALF YEARLY(Entry)'!$1:$1048576,5,0)</f>
        <v>#REF!</v>
      </c>
      <c r="F20" s="26" t="e">
        <f>VLOOKUP($A20,'HALF YEARLY(Entry)'!$1:$1048576,6,0)</f>
        <v>#REF!</v>
      </c>
      <c r="G20" s="26" t="e">
        <f>VLOOKUP($A20,'HALF YEARLY(Entry)'!$1:$1048576,7,0)</f>
        <v>#REF!</v>
      </c>
      <c r="H20" s="26" t="e">
        <f>VLOOKUP($A20,'HALF YEARLY(Entry)'!$1:$1048576,8,0)</f>
        <v>#REF!</v>
      </c>
      <c r="I20" s="26" t="e">
        <f>VLOOKUP($A20,'HALF YEARLY(Entry)'!$1:$1048576,9,0)</f>
        <v>#REF!</v>
      </c>
      <c r="J20" s="26" t="e">
        <f>VLOOKUP($A20,'HALF YEARLY(Entry)'!$1:$1048576,10,0)</f>
        <v>#REF!</v>
      </c>
      <c r="K20" s="26" t="e">
        <f>VLOOKUP($A20,'HALF YEARLY(Entry)'!$1:$1048576,11,0)</f>
        <v>#REF!</v>
      </c>
      <c r="L20" s="26" t="e">
        <f>VLOOKUP($A20,'HALF YEARLY(Entry)'!$1:$1048576,12,0)</f>
        <v>#REF!</v>
      </c>
      <c r="M20" s="26" t="e">
        <f>VLOOKUP($A20,'HALF YEARLY(Entry)'!$1:$1048576,13,0)</f>
        <v>#REF!</v>
      </c>
      <c r="N20" s="26" t="e">
        <f>VLOOKUP($A20,'HALF YEARLY(Entry)'!$1:$1048576,14,0)</f>
        <v>#REF!</v>
      </c>
      <c r="O20" s="31" t="e">
        <f>VLOOKUP($A20,'HALF YEARLY(Entry)'!$1:$1048576,15,0)</f>
        <v>#REF!</v>
      </c>
      <c r="P20" s="26" t="e">
        <f t="shared" si="0"/>
        <v>#REF!</v>
      </c>
      <c r="Q20" s="26" t="e">
        <f t="shared" si="1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VLOOKUP($A21,'HALF YEARLY(Entry)'!$1:$1048576,3,0)</f>
        <v>#REF!</v>
      </c>
      <c r="D21" s="26" t="e">
        <f>VLOOKUP($A21,'HALF YEARLY(Entry)'!$1:$1048576,4,0)</f>
        <v>#REF!</v>
      </c>
      <c r="E21" s="26" t="e">
        <f>VLOOKUP($A21,'HALF YEARLY(Entry)'!$1:$1048576,5,0)</f>
        <v>#REF!</v>
      </c>
      <c r="F21" s="26" t="e">
        <f>VLOOKUP($A21,'HALF YEARLY(Entry)'!$1:$1048576,6,0)</f>
        <v>#REF!</v>
      </c>
      <c r="G21" s="26" t="e">
        <f>VLOOKUP($A21,'HALF YEARLY(Entry)'!$1:$1048576,7,0)</f>
        <v>#REF!</v>
      </c>
      <c r="H21" s="26" t="e">
        <f>VLOOKUP($A21,'HALF YEARLY(Entry)'!$1:$1048576,8,0)</f>
        <v>#REF!</v>
      </c>
      <c r="I21" s="26" t="e">
        <f>VLOOKUP($A21,'HALF YEARLY(Entry)'!$1:$1048576,9,0)</f>
        <v>#REF!</v>
      </c>
      <c r="J21" s="26" t="e">
        <f>VLOOKUP($A21,'HALF YEARLY(Entry)'!$1:$1048576,10,0)</f>
        <v>#REF!</v>
      </c>
      <c r="K21" s="26" t="e">
        <f>VLOOKUP($A21,'HALF YEARLY(Entry)'!$1:$1048576,11,0)</f>
        <v>#REF!</v>
      </c>
      <c r="L21" s="26" t="e">
        <f>VLOOKUP($A21,'HALF YEARLY(Entry)'!$1:$1048576,12,0)</f>
        <v>#REF!</v>
      </c>
      <c r="M21" s="26" t="e">
        <f>VLOOKUP($A21,'HALF YEARLY(Entry)'!$1:$1048576,13,0)</f>
        <v>#REF!</v>
      </c>
      <c r="N21" s="26" t="e">
        <f>VLOOKUP($A21,'HALF YEARLY(Entry)'!$1:$1048576,14,0)</f>
        <v>#REF!</v>
      </c>
      <c r="O21" s="31" t="e">
        <f>VLOOKUP($A21,'HALF YEARLY(Entry)'!$1:$1048576,15,0)</f>
        <v>#REF!</v>
      </c>
      <c r="P21" s="26" t="e">
        <f t="shared" si="0"/>
        <v>#REF!</v>
      </c>
      <c r="Q21" s="26" t="e">
        <f t="shared" si="1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VLOOKUP($A22,'HALF YEARLY(Entry)'!$1:$1048576,3,0)</f>
        <v>#REF!</v>
      </c>
      <c r="D22" s="26" t="e">
        <f>VLOOKUP($A22,'HALF YEARLY(Entry)'!$1:$1048576,4,0)</f>
        <v>#REF!</v>
      </c>
      <c r="E22" s="26" t="e">
        <f>VLOOKUP($A22,'HALF YEARLY(Entry)'!$1:$1048576,5,0)</f>
        <v>#REF!</v>
      </c>
      <c r="F22" s="26" t="e">
        <f>VLOOKUP($A22,'HALF YEARLY(Entry)'!$1:$1048576,6,0)</f>
        <v>#REF!</v>
      </c>
      <c r="G22" s="26" t="e">
        <f>VLOOKUP($A22,'HALF YEARLY(Entry)'!$1:$1048576,7,0)</f>
        <v>#REF!</v>
      </c>
      <c r="H22" s="26" t="e">
        <f>VLOOKUP($A22,'HALF YEARLY(Entry)'!$1:$1048576,8,0)</f>
        <v>#REF!</v>
      </c>
      <c r="I22" s="26" t="e">
        <f>VLOOKUP($A22,'HALF YEARLY(Entry)'!$1:$1048576,9,0)</f>
        <v>#REF!</v>
      </c>
      <c r="J22" s="26" t="e">
        <f>VLOOKUP($A22,'HALF YEARLY(Entry)'!$1:$1048576,10,0)</f>
        <v>#REF!</v>
      </c>
      <c r="K22" s="26" t="e">
        <f>VLOOKUP($A22,'HALF YEARLY(Entry)'!$1:$1048576,11,0)</f>
        <v>#REF!</v>
      </c>
      <c r="L22" s="26" t="e">
        <f>VLOOKUP($A22,'HALF YEARLY(Entry)'!$1:$1048576,12,0)</f>
        <v>#REF!</v>
      </c>
      <c r="M22" s="26" t="e">
        <f>VLOOKUP($A22,'HALF YEARLY(Entry)'!$1:$1048576,13,0)</f>
        <v>#REF!</v>
      </c>
      <c r="N22" s="26" t="e">
        <f>VLOOKUP($A22,'HALF YEARLY(Entry)'!$1:$1048576,14,0)</f>
        <v>#REF!</v>
      </c>
      <c r="O22" s="31" t="e">
        <f>VLOOKUP($A22,'HALF YEARLY(Entry)'!$1:$1048576,15,0)</f>
        <v>#REF!</v>
      </c>
      <c r="P22" s="26" t="e">
        <f t="shared" si="0"/>
        <v>#REF!</v>
      </c>
      <c r="Q22" s="26" t="e">
        <f t="shared" si="1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VLOOKUP($A23,'HALF YEARLY(Entry)'!$1:$1048576,3,0)</f>
        <v>#REF!</v>
      </c>
      <c r="D23" s="26" t="e">
        <f>VLOOKUP($A23,'HALF YEARLY(Entry)'!$1:$1048576,4,0)</f>
        <v>#REF!</v>
      </c>
      <c r="E23" s="26" t="e">
        <f>VLOOKUP($A23,'HALF YEARLY(Entry)'!$1:$1048576,5,0)</f>
        <v>#REF!</v>
      </c>
      <c r="F23" s="26" t="e">
        <f>VLOOKUP($A23,'HALF YEARLY(Entry)'!$1:$1048576,6,0)</f>
        <v>#REF!</v>
      </c>
      <c r="G23" s="26" t="e">
        <f>VLOOKUP($A23,'HALF YEARLY(Entry)'!$1:$1048576,7,0)</f>
        <v>#REF!</v>
      </c>
      <c r="H23" s="26" t="e">
        <f>VLOOKUP($A23,'HALF YEARLY(Entry)'!$1:$1048576,8,0)</f>
        <v>#REF!</v>
      </c>
      <c r="I23" s="26" t="e">
        <f>VLOOKUP($A23,'HALF YEARLY(Entry)'!$1:$1048576,9,0)</f>
        <v>#REF!</v>
      </c>
      <c r="J23" s="26" t="e">
        <f>VLOOKUP($A23,'HALF YEARLY(Entry)'!$1:$1048576,10,0)</f>
        <v>#REF!</v>
      </c>
      <c r="K23" s="26" t="e">
        <f>VLOOKUP($A23,'HALF YEARLY(Entry)'!$1:$1048576,11,0)</f>
        <v>#REF!</v>
      </c>
      <c r="L23" s="26" t="e">
        <f>VLOOKUP($A23,'HALF YEARLY(Entry)'!$1:$1048576,12,0)</f>
        <v>#REF!</v>
      </c>
      <c r="M23" s="26" t="e">
        <f>VLOOKUP($A23,'HALF YEARLY(Entry)'!$1:$1048576,13,0)</f>
        <v>#REF!</v>
      </c>
      <c r="N23" s="26" t="e">
        <f>VLOOKUP($A23,'HALF YEARLY(Entry)'!$1:$1048576,14,0)</f>
        <v>#REF!</v>
      </c>
      <c r="O23" s="31" t="e">
        <f>VLOOKUP($A23,'HALF YEARLY(Entry)'!$1:$1048576,15,0)</f>
        <v>#REF!</v>
      </c>
      <c r="P23" s="26" t="e">
        <f t="shared" si="0"/>
        <v>#REF!</v>
      </c>
      <c r="Q23" s="26" t="e">
        <f t="shared" si="1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VLOOKUP($A24,'HALF YEARLY(Entry)'!$1:$1048576,3,0)</f>
        <v>#REF!</v>
      </c>
      <c r="D24" s="26" t="e">
        <f>VLOOKUP($A24,'HALF YEARLY(Entry)'!$1:$1048576,4,0)</f>
        <v>#REF!</v>
      </c>
      <c r="E24" s="26" t="e">
        <f>VLOOKUP($A24,'HALF YEARLY(Entry)'!$1:$1048576,5,0)</f>
        <v>#REF!</v>
      </c>
      <c r="F24" s="26" t="e">
        <f>VLOOKUP($A24,'HALF YEARLY(Entry)'!$1:$1048576,6,0)</f>
        <v>#REF!</v>
      </c>
      <c r="G24" s="26" t="e">
        <f>VLOOKUP($A24,'HALF YEARLY(Entry)'!$1:$1048576,7,0)</f>
        <v>#REF!</v>
      </c>
      <c r="H24" s="26" t="e">
        <f>VLOOKUP($A24,'HALF YEARLY(Entry)'!$1:$1048576,8,0)</f>
        <v>#REF!</v>
      </c>
      <c r="I24" s="26" t="e">
        <f>VLOOKUP($A24,'HALF YEARLY(Entry)'!$1:$1048576,9,0)</f>
        <v>#REF!</v>
      </c>
      <c r="J24" s="26" t="e">
        <f>VLOOKUP($A24,'HALF YEARLY(Entry)'!$1:$1048576,10,0)</f>
        <v>#REF!</v>
      </c>
      <c r="K24" s="26" t="e">
        <f>VLOOKUP($A24,'HALF YEARLY(Entry)'!$1:$1048576,11,0)</f>
        <v>#REF!</v>
      </c>
      <c r="L24" s="26" t="e">
        <f>VLOOKUP($A24,'HALF YEARLY(Entry)'!$1:$1048576,12,0)</f>
        <v>#REF!</v>
      </c>
      <c r="M24" s="26" t="e">
        <f>VLOOKUP($A24,'HALF YEARLY(Entry)'!$1:$1048576,13,0)</f>
        <v>#REF!</v>
      </c>
      <c r="N24" s="26" t="e">
        <f>VLOOKUP($A24,'HALF YEARLY(Entry)'!$1:$1048576,14,0)</f>
        <v>#REF!</v>
      </c>
      <c r="O24" s="31" t="e">
        <f>VLOOKUP($A24,'HALF YEARLY(Entry)'!$1:$1048576,15,0)</f>
        <v>#REF!</v>
      </c>
      <c r="P24" s="26" t="e">
        <f t="shared" si="0"/>
        <v>#REF!</v>
      </c>
      <c r="Q24" s="26" t="e">
        <f t="shared" si="1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VLOOKUP($A25,'HALF YEARLY(Entry)'!$1:$1048576,3,0)</f>
        <v>#REF!</v>
      </c>
      <c r="D25" s="26" t="e">
        <f>VLOOKUP($A25,'HALF YEARLY(Entry)'!$1:$1048576,4,0)</f>
        <v>#REF!</v>
      </c>
      <c r="E25" s="26" t="e">
        <f>VLOOKUP($A25,'HALF YEARLY(Entry)'!$1:$1048576,5,0)</f>
        <v>#REF!</v>
      </c>
      <c r="F25" s="26" t="e">
        <f>VLOOKUP($A25,'HALF YEARLY(Entry)'!$1:$1048576,6,0)</f>
        <v>#REF!</v>
      </c>
      <c r="G25" s="26" t="e">
        <f>VLOOKUP($A25,'HALF YEARLY(Entry)'!$1:$1048576,7,0)</f>
        <v>#REF!</v>
      </c>
      <c r="H25" s="26" t="e">
        <f>VLOOKUP($A25,'HALF YEARLY(Entry)'!$1:$1048576,8,0)</f>
        <v>#REF!</v>
      </c>
      <c r="I25" s="26" t="e">
        <f>VLOOKUP($A25,'HALF YEARLY(Entry)'!$1:$1048576,9,0)</f>
        <v>#REF!</v>
      </c>
      <c r="J25" s="26" t="e">
        <f>VLOOKUP($A25,'HALF YEARLY(Entry)'!$1:$1048576,10,0)</f>
        <v>#REF!</v>
      </c>
      <c r="K25" s="26" t="e">
        <f>VLOOKUP($A25,'HALF YEARLY(Entry)'!$1:$1048576,11,0)</f>
        <v>#REF!</v>
      </c>
      <c r="L25" s="26" t="e">
        <f>VLOOKUP($A25,'HALF YEARLY(Entry)'!$1:$1048576,12,0)</f>
        <v>#REF!</v>
      </c>
      <c r="M25" s="26" t="e">
        <f>VLOOKUP($A25,'HALF YEARLY(Entry)'!$1:$1048576,13,0)</f>
        <v>#REF!</v>
      </c>
      <c r="N25" s="26" t="e">
        <f>VLOOKUP($A25,'HALF YEARLY(Entry)'!$1:$1048576,14,0)</f>
        <v>#REF!</v>
      </c>
      <c r="O25" s="31" t="e">
        <f>VLOOKUP($A25,'HALF YEARLY(Entry)'!$1:$1048576,15,0)</f>
        <v>#REF!</v>
      </c>
      <c r="P25" s="26" t="e">
        <f t="shared" si="0"/>
        <v>#REF!</v>
      </c>
      <c r="Q25" s="26" t="e">
        <f t="shared" si="1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VLOOKUP($A26,'HALF YEARLY(Entry)'!$1:$1048576,3,0)</f>
        <v>#REF!</v>
      </c>
      <c r="D26" s="26" t="e">
        <f>VLOOKUP($A26,'HALF YEARLY(Entry)'!$1:$1048576,4,0)</f>
        <v>#REF!</v>
      </c>
      <c r="E26" s="26" t="e">
        <f>VLOOKUP($A26,'HALF YEARLY(Entry)'!$1:$1048576,5,0)</f>
        <v>#REF!</v>
      </c>
      <c r="F26" s="26" t="e">
        <f>VLOOKUP($A26,'HALF YEARLY(Entry)'!$1:$1048576,6,0)</f>
        <v>#REF!</v>
      </c>
      <c r="G26" s="26" t="e">
        <f>VLOOKUP($A26,'HALF YEARLY(Entry)'!$1:$1048576,7,0)</f>
        <v>#REF!</v>
      </c>
      <c r="H26" s="26" t="e">
        <f>VLOOKUP($A26,'HALF YEARLY(Entry)'!$1:$1048576,8,0)</f>
        <v>#REF!</v>
      </c>
      <c r="I26" s="26" t="e">
        <f>VLOOKUP($A26,'HALF YEARLY(Entry)'!$1:$1048576,9,0)</f>
        <v>#REF!</v>
      </c>
      <c r="J26" s="26" t="e">
        <f>VLOOKUP($A26,'HALF YEARLY(Entry)'!$1:$1048576,10,0)</f>
        <v>#REF!</v>
      </c>
      <c r="K26" s="26" t="e">
        <f>VLOOKUP($A26,'HALF YEARLY(Entry)'!$1:$1048576,11,0)</f>
        <v>#REF!</v>
      </c>
      <c r="L26" s="26" t="e">
        <f>VLOOKUP($A26,'HALF YEARLY(Entry)'!$1:$1048576,12,0)</f>
        <v>#REF!</v>
      </c>
      <c r="M26" s="26" t="e">
        <f>VLOOKUP($A26,'HALF YEARLY(Entry)'!$1:$1048576,13,0)</f>
        <v>#REF!</v>
      </c>
      <c r="N26" s="26" t="e">
        <f>VLOOKUP($A26,'HALF YEARLY(Entry)'!$1:$1048576,14,0)</f>
        <v>#REF!</v>
      </c>
      <c r="O26" s="31" t="e">
        <f>VLOOKUP($A26,'HALF YEARLY(Entry)'!$1:$1048576,15,0)</f>
        <v>#REF!</v>
      </c>
      <c r="P26" s="26" t="e">
        <f t="shared" si="0"/>
        <v>#REF!</v>
      </c>
      <c r="Q26" s="26" t="e">
        <f t="shared" si="1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VLOOKUP($A27,'HALF YEARLY(Entry)'!$1:$1048576,3,0)</f>
        <v>#REF!</v>
      </c>
      <c r="D27" s="26" t="e">
        <f>VLOOKUP($A27,'HALF YEARLY(Entry)'!$1:$1048576,4,0)</f>
        <v>#REF!</v>
      </c>
      <c r="E27" s="26" t="e">
        <f>VLOOKUP($A27,'HALF YEARLY(Entry)'!$1:$1048576,5,0)</f>
        <v>#REF!</v>
      </c>
      <c r="F27" s="26" t="e">
        <f>VLOOKUP($A27,'HALF YEARLY(Entry)'!$1:$1048576,6,0)</f>
        <v>#REF!</v>
      </c>
      <c r="G27" s="26" t="e">
        <f>VLOOKUP($A27,'HALF YEARLY(Entry)'!$1:$1048576,7,0)</f>
        <v>#REF!</v>
      </c>
      <c r="H27" s="26" t="e">
        <f>VLOOKUP($A27,'HALF YEARLY(Entry)'!$1:$1048576,8,0)</f>
        <v>#REF!</v>
      </c>
      <c r="I27" s="26" t="e">
        <f>VLOOKUP($A27,'HALF YEARLY(Entry)'!$1:$1048576,9,0)</f>
        <v>#REF!</v>
      </c>
      <c r="J27" s="26" t="e">
        <f>VLOOKUP($A27,'HALF YEARLY(Entry)'!$1:$1048576,10,0)</f>
        <v>#REF!</v>
      </c>
      <c r="K27" s="26" t="e">
        <f>VLOOKUP($A27,'HALF YEARLY(Entry)'!$1:$1048576,11,0)</f>
        <v>#REF!</v>
      </c>
      <c r="L27" s="26" t="e">
        <f>VLOOKUP($A27,'HALF YEARLY(Entry)'!$1:$1048576,12,0)</f>
        <v>#REF!</v>
      </c>
      <c r="M27" s="26" t="e">
        <f>VLOOKUP($A27,'HALF YEARLY(Entry)'!$1:$1048576,13,0)</f>
        <v>#REF!</v>
      </c>
      <c r="N27" s="26" t="e">
        <f>VLOOKUP($A27,'HALF YEARLY(Entry)'!$1:$1048576,14,0)</f>
        <v>#REF!</v>
      </c>
      <c r="O27" s="31" t="e">
        <f>VLOOKUP($A27,'HALF YEARLY(Entry)'!$1:$1048576,15,0)</f>
        <v>#REF!</v>
      </c>
      <c r="P27" s="26" t="e">
        <f t="shared" si="0"/>
        <v>#REF!</v>
      </c>
      <c r="Q27" s="26" t="e">
        <f t="shared" si="1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VLOOKUP($A28,'HALF YEARLY(Entry)'!$1:$1048576,3,0)</f>
        <v>#REF!</v>
      </c>
      <c r="D28" s="26" t="e">
        <f>VLOOKUP($A28,'HALF YEARLY(Entry)'!$1:$1048576,4,0)</f>
        <v>#REF!</v>
      </c>
      <c r="E28" s="26" t="e">
        <f>VLOOKUP($A28,'HALF YEARLY(Entry)'!$1:$1048576,5,0)</f>
        <v>#REF!</v>
      </c>
      <c r="F28" s="26" t="e">
        <f>VLOOKUP($A28,'HALF YEARLY(Entry)'!$1:$1048576,6,0)</f>
        <v>#REF!</v>
      </c>
      <c r="G28" s="26" t="e">
        <f>VLOOKUP($A28,'HALF YEARLY(Entry)'!$1:$1048576,7,0)</f>
        <v>#REF!</v>
      </c>
      <c r="H28" s="26" t="e">
        <f>VLOOKUP($A28,'HALF YEARLY(Entry)'!$1:$1048576,8,0)</f>
        <v>#REF!</v>
      </c>
      <c r="I28" s="26" t="e">
        <f>VLOOKUP($A28,'HALF YEARLY(Entry)'!$1:$1048576,9,0)</f>
        <v>#REF!</v>
      </c>
      <c r="J28" s="26" t="e">
        <f>VLOOKUP($A28,'HALF YEARLY(Entry)'!$1:$1048576,10,0)</f>
        <v>#REF!</v>
      </c>
      <c r="K28" s="26" t="e">
        <f>VLOOKUP($A28,'HALF YEARLY(Entry)'!$1:$1048576,11,0)</f>
        <v>#REF!</v>
      </c>
      <c r="L28" s="26" t="e">
        <f>VLOOKUP($A28,'HALF YEARLY(Entry)'!$1:$1048576,12,0)</f>
        <v>#REF!</v>
      </c>
      <c r="M28" s="26" t="e">
        <f>VLOOKUP($A28,'HALF YEARLY(Entry)'!$1:$1048576,13,0)</f>
        <v>#REF!</v>
      </c>
      <c r="N28" s="26" t="e">
        <f>VLOOKUP($A28,'HALF YEARLY(Entry)'!$1:$1048576,14,0)</f>
        <v>#REF!</v>
      </c>
      <c r="O28" s="31" t="e">
        <f>VLOOKUP($A28,'HALF YEARLY(Entry)'!$1:$1048576,15,0)</f>
        <v>#REF!</v>
      </c>
      <c r="P28" s="26" t="e">
        <f t="shared" si="0"/>
        <v>#REF!</v>
      </c>
      <c r="Q28" s="26" t="e">
        <f t="shared" si="1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VLOOKUP($A29,'HALF YEARLY(Entry)'!$1:$1048576,3,0)</f>
        <v>#REF!</v>
      </c>
      <c r="D29" s="26" t="e">
        <f>VLOOKUP($A29,'HALF YEARLY(Entry)'!$1:$1048576,4,0)</f>
        <v>#REF!</v>
      </c>
      <c r="E29" s="26" t="e">
        <f>VLOOKUP($A29,'HALF YEARLY(Entry)'!$1:$1048576,5,0)</f>
        <v>#REF!</v>
      </c>
      <c r="F29" s="26" t="e">
        <f>VLOOKUP($A29,'HALF YEARLY(Entry)'!$1:$1048576,6,0)</f>
        <v>#REF!</v>
      </c>
      <c r="G29" s="26" t="e">
        <f>VLOOKUP($A29,'HALF YEARLY(Entry)'!$1:$1048576,7,0)</f>
        <v>#REF!</v>
      </c>
      <c r="H29" s="26" t="e">
        <f>VLOOKUP($A29,'HALF YEARLY(Entry)'!$1:$1048576,8,0)</f>
        <v>#REF!</v>
      </c>
      <c r="I29" s="26" t="e">
        <f>VLOOKUP($A29,'HALF YEARLY(Entry)'!$1:$1048576,9,0)</f>
        <v>#REF!</v>
      </c>
      <c r="J29" s="26" t="e">
        <f>VLOOKUP($A29,'HALF YEARLY(Entry)'!$1:$1048576,10,0)</f>
        <v>#REF!</v>
      </c>
      <c r="K29" s="26" t="e">
        <f>VLOOKUP($A29,'HALF YEARLY(Entry)'!$1:$1048576,11,0)</f>
        <v>#REF!</v>
      </c>
      <c r="L29" s="26" t="e">
        <f>VLOOKUP($A29,'HALF YEARLY(Entry)'!$1:$1048576,12,0)</f>
        <v>#REF!</v>
      </c>
      <c r="M29" s="26" t="e">
        <f>VLOOKUP($A29,'HALF YEARLY(Entry)'!$1:$1048576,13,0)</f>
        <v>#REF!</v>
      </c>
      <c r="N29" s="26" t="e">
        <f>VLOOKUP($A29,'HALF YEARLY(Entry)'!$1:$1048576,14,0)</f>
        <v>#REF!</v>
      </c>
      <c r="O29" s="31" t="e">
        <f>VLOOKUP($A29,'HALF YEARLY(Entry)'!$1:$1048576,15,0)</f>
        <v>#REF!</v>
      </c>
      <c r="P29" s="26" t="e">
        <f t="shared" si="0"/>
        <v>#REF!</v>
      </c>
      <c r="Q29" s="26" t="e">
        <f t="shared" si="1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VLOOKUP($A30,'HALF YEARLY(Entry)'!$1:$1048576,3,0)</f>
        <v>#REF!</v>
      </c>
      <c r="D30" s="26" t="e">
        <f>VLOOKUP($A30,'HALF YEARLY(Entry)'!$1:$1048576,4,0)</f>
        <v>#REF!</v>
      </c>
      <c r="E30" s="26" t="e">
        <f>VLOOKUP($A30,'HALF YEARLY(Entry)'!$1:$1048576,5,0)</f>
        <v>#REF!</v>
      </c>
      <c r="F30" s="26" t="e">
        <f>VLOOKUP($A30,'HALF YEARLY(Entry)'!$1:$1048576,6,0)</f>
        <v>#REF!</v>
      </c>
      <c r="G30" s="26" t="e">
        <f>VLOOKUP($A30,'HALF YEARLY(Entry)'!$1:$1048576,7,0)</f>
        <v>#REF!</v>
      </c>
      <c r="H30" s="26" t="e">
        <f>VLOOKUP($A30,'HALF YEARLY(Entry)'!$1:$1048576,8,0)</f>
        <v>#REF!</v>
      </c>
      <c r="I30" s="26" t="e">
        <f>VLOOKUP($A30,'HALF YEARLY(Entry)'!$1:$1048576,9,0)</f>
        <v>#REF!</v>
      </c>
      <c r="J30" s="26" t="e">
        <f>VLOOKUP($A30,'HALF YEARLY(Entry)'!$1:$1048576,10,0)</f>
        <v>#REF!</v>
      </c>
      <c r="K30" s="26" t="e">
        <f>VLOOKUP($A30,'HALF YEARLY(Entry)'!$1:$1048576,11,0)</f>
        <v>#REF!</v>
      </c>
      <c r="L30" s="26" t="e">
        <f>VLOOKUP($A30,'HALF YEARLY(Entry)'!$1:$1048576,12,0)</f>
        <v>#REF!</v>
      </c>
      <c r="M30" s="26" t="e">
        <f>VLOOKUP($A30,'HALF YEARLY(Entry)'!$1:$1048576,13,0)</f>
        <v>#REF!</v>
      </c>
      <c r="N30" s="26" t="e">
        <f>VLOOKUP($A30,'HALF YEARLY(Entry)'!$1:$1048576,14,0)</f>
        <v>#REF!</v>
      </c>
      <c r="O30" s="31" t="e">
        <f>VLOOKUP($A30,'HALF YEARLY(Entry)'!$1:$1048576,15,0)</f>
        <v>#REF!</v>
      </c>
      <c r="P30" s="26" t="e">
        <f t="shared" si="0"/>
        <v>#REF!</v>
      </c>
      <c r="Q30" s="26" t="e">
        <f t="shared" si="1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22</v>
      </c>
    </row>
    <row r="3" spans="1:2" x14ac:dyDescent="0.3">
      <c r="A3">
        <v>49</v>
      </c>
      <c r="B3" t="s">
        <v>22</v>
      </c>
    </row>
    <row r="4" spans="1:2" x14ac:dyDescent="0.3">
      <c r="A4">
        <v>48</v>
      </c>
      <c r="B4" t="s">
        <v>22</v>
      </c>
    </row>
    <row r="5" spans="1:2" x14ac:dyDescent="0.3">
      <c r="A5">
        <v>47</v>
      </c>
      <c r="B5" t="s">
        <v>22</v>
      </c>
    </row>
    <row r="6" spans="1:2" x14ac:dyDescent="0.3">
      <c r="A6">
        <v>46</v>
      </c>
      <c r="B6" t="s">
        <v>22</v>
      </c>
    </row>
    <row r="7" spans="1:2" x14ac:dyDescent="0.3">
      <c r="A7">
        <v>45</v>
      </c>
      <c r="B7" t="s">
        <v>22</v>
      </c>
    </row>
    <row r="8" spans="1:2" x14ac:dyDescent="0.3">
      <c r="A8">
        <v>44</v>
      </c>
      <c r="B8" t="s">
        <v>22</v>
      </c>
    </row>
    <row r="9" spans="1:2" x14ac:dyDescent="0.3">
      <c r="A9">
        <v>43</v>
      </c>
      <c r="B9" t="s">
        <v>22</v>
      </c>
    </row>
    <row r="10" spans="1:2" x14ac:dyDescent="0.3">
      <c r="A10">
        <v>42</v>
      </c>
      <c r="B10" t="s">
        <v>22</v>
      </c>
    </row>
    <row r="11" spans="1:2" x14ac:dyDescent="0.3">
      <c r="A11">
        <v>41</v>
      </c>
      <c r="B11" t="s">
        <v>22</v>
      </c>
    </row>
    <row r="12" spans="1:2" x14ac:dyDescent="0.3">
      <c r="A12">
        <v>40</v>
      </c>
      <c r="B12" t="s">
        <v>23</v>
      </c>
    </row>
    <row r="13" spans="1:2" x14ac:dyDescent="0.3">
      <c r="A13">
        <v>39</v>
      </c>
      <c r="B13" t="s">
        <v>23</v>
      </c>
    </row>
    <row r="14" spans="1:2" x14ac:dyDescent="0.3">
      <c r="A14">
        <v>38</v>
      </c>
      <c r="B14" t="s">
        <v>23</v>
      </c>
    </row>
    <row r="15" spans="1:2" x14ac:dyDescent="0.3">
      <c r="A15">
        <v>37</v>
      </c>
      <c r="B15" t="s">
        <v>23</v>
      </c>
    </row>
    <row r="16" spans="1:2" x14ac:dyDescent="0.3">
      <c r="A16">
        <v>36</v>
      </c>
      <c r="B16" t="s">
        <v>23</v>
      </c>
    </row>
    <row r="17" spans="1:2" x14ac:dyDescent="0.3">
      <c r="A17">
        <v>35</v>
      </c>
      <c r="B17" t="s">
        <v>23</v>
      </c>
    </row>
    <row r="18" spans="1:2" x14ac:dyDescent="0.3">
      <c r="A18">
        <v>34</v>
      </c>
      <c r="B18" t="s">
        <v>23</v>
      </c>
    </row>
    <row r="19" spans="1:2" x14ac:dyDescent="0.3">
      <c r="A19">
        <v>33</v>
      </c>
      <c r="B19" t="s">
        <v>23</v>
      </c>
    </row>
    <row r="20" spans="1:2" x14ac:dyDescent="0.3">
      <c r="A20">
        <v>32</v>
      </c>
      <c r="B20" t="s">
        <v>23</v>
      </c>
    </row>
    <row r="21" spans="1:2" x14ac:dyDescent="0.3">
      <c r="A21">
        <v>31</v>
      </c>
      <c r="B21" t="s">
        <v>23</v>
      </c>
    </row>
    <row r="22" spans="1:2" x14ac:dyDescent="0.3">
      <c r="A22">
        <v>30</v>
      </c>
      <c r="B22" t="s">
        <v>24</v>
      </c>
    </row>
    <row r="23" spans="1:2" x14ac:dyDescent="0.3">
      <c r="A23">
        <v>29</v>
      </c>
      <c r="B23" t="s">
        <v>24</v>
      </c>
    </row>
    <row r="24" spans="1:2" x14ac:dyDescent="0.3">
      <c r="A24">
        <v>28</v>
      </c>
      <c r="B24" t="s">
        <v>24</v>
      </c>
    </row>
    <row r="25" spans="1:2" x14ac:dyDescent="0.3">
      <c r="A25">
        <v>27</v>
      </c>
      <c r="B25" t="s">
        <v>24</v>
      </c>
    </row>
    <row r="26" spans="1:2" x14ac:dyDescent="0.3">
      <c r="A26">
        <v>26</v>
      </c>
      <c r="B26" t="s">
        <v>24</v>
      </c>
    </row>
    <row r="27" spans="1:2" x14ac:dyDescent="0.3">
      <c r="A27">
        <v>25</v>
      </c>
      <c r="B27" t="s">
        <v>24</v>
      </c>
    </row>
    <row r="28" spans="1:2" x14ac:dyDescent="0.3">
      <c r="A28">
        <v>24</v>
      </c>
      <c r="B28" t="s">
        <v>24</v>
      </c>
    </row>
    <row r="29" spans="1:2" x14ac:dyDescent="0.3">
      <c r="A29">
        <v>23</v>
      </c>
      <c r="B29" t="s">
        <v>24</v>
      </c>
    </row>
    <row r="30" spans="1:2" x14ac:dyDescent="0.3">
      <c r="A30">
        <v>22</v>
      </c>
      <c r="B30" t="s">
        <v>24</v>
      </c>
    </row>
    <row r="31" spans="1:2" x14ac:dyDescent="0.3">
      <c r="A31">
        <v>21</v>
      </c>
      <c r="B31" t="s">
        <v>24</v>
      </c>
    </row>
    <row r="32" spans="1:2" x14ac:dyDescent="0.3">
      <c r="A32">
        <v>20</v>
      </c>
      <c r="B32" t="s">
        <v>25</v>
      </c>
    </row>
    <row r="33" spans="1:2" x14ac:dyDescent="0.3">
      <c r="A33">
        <v>19</v>
      </c>
      <c r="B33" t="s">
        <v>25</v>
      </c>
    </row>
    <row r="34" spans="1:2" x14ac:dyDescent="0.3">
      <c r="A34">
        <v>18</v>
      </c>
      <c r="B34" t="s">
        <v>25</v>
      </c>
    </row>
    <row r="35" spans="1:2" x14ac:dyDescent="0.3">
      <c r="A35">
        <v>17</v>
      </c>
      <c r="B35" t="s">
        <v>25</v>
      </c>
    </row>
    <row r="36" spans="1:2" x14ac:dyDescent="0.3">
      <c r="A36">
        <v>16</v>
      </c>
      <c r="B36" t="s">
        <v>26</v>
      </c>
    </row>
    <row r="37" spans="1:2" x14ac:dyDescent="0.3">
      <c r="A37">
        <v>15</v>
      </c>
      <c r="B37" t="s">
        <v>26</v>
      </c>
    </row>
    <row r="38" spans="1:2" x14ac:dyDescent="0.3">
      <c r="A38">
        <v>14</v>
      </c>
      <c r="B38" t="s">
        <v>26</v>
      </c>
    </row>
    <row r="39" spans="1:2" x14ac:dyDescent="0.3">
      <c r="A39">
        <v>13</v>
      </c>
      <c r="B39" t="s">
        <v>26</v>
      </c>
    </row>
    <row r="40" spans="1:2" x14ac:dyDescent="0.3">
      <c r="A40">
        <v>12</v>
      </c>
      <c r="B40" t="s">
        <v>26</v>
      </c>
    </row>
    <row r="41" spans="1:2" x14ac:dyDescent="0.3">
      <c r="A41">
        <v>11</v>
      </c>
      <c r="B41" t="s">
        <v>26</v>
      </c>
    </row>
    <row r="42" spans="1:2" x14ac:dyDescent="0.3">
      <c r="A42">
        <v>10</v>
      </c>
      <c r="B42" t="s">
        <v>26</v>
      </c>
    </row>
    <row r="43" spans="1:2" x14ac:dyDescent="0.3">
      <c r="A43">
        <v>9</v>
      </c>
      <c r="B43" t="s">
        <v>26</v>
      </c>
    </row>
    <row r="44" spans="1:2" x14ac:dyDescent="0.3">
      <c r="A44">
        <v>8</v>
      </c>
      <c r="B44" t="s">
        <v>26</v>
      </c>
    </row>
    <row r="45" spans="1:2" x14ac:dyDescent="0.3">
      <c r="A45">
        <v>7</v>
      </c>
      <c r="B45" t="s">
        <v>26</v>
      </c>
    </row>
    <row r="46" spans="1:2" x14ac:dyDescent="0.3">
      <c r="A46">
        <v>6</v>
      </c>
      <c r="B46" t="s">
        <v>26</v>
      </c>
    </row>
    <row r="47" spans="1:2" x14ac:dyDescent="0.3">
      <c r="A47">
        <v>5</v>
      </c>
      <c r="B47" t="s">
        <v>26</v>
      </c>
    </row>
    <row r="48" spans="1:2" x14ac:dyDescent="0.3">
      <c r="A48">
        <v>4</v>
      </c>
      <c r="B48" t="s">
        <v>26</v>
      </c>
    </row>
    <row r="49" spans="1:2" x14ac:dyDescent="0.3">
      <c r="A49">
        <v>3</v>
      </c>
      <c r="B49" t="s">
        <v>26</v>
      </c>
    </row>
    <row r="50" spans="1:2" x14ac:dyDescent="0.3">
      <c r="A50">
        <v>2</v>
      </c>
      <c r="B50" t="s">
        <v>26</v>
      </c>
    </row>
    <row r="51" spans="1:2" x14ac:dyDescent="0.3">
      <c r="A51">
        <v>1</v>
      </c>
      <c r="B51" t="s">
        <v>26</v>
      </c>
    </row>
    <row r="52" spans="1:2" x14ac:dyDescent="0.3">
      <c r="A52">
        <v>0</v>
      </c>
      <c r="B52" t="s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A2" sqref="A2:A3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33203125" bestFit="1" customWidth="1"/>
    <col min="6" max="6" width="4.5546875" bestFit="1" customWidth="1"/>
    <col min="7" max="7" width="3.33203125" bestFit="1" customWidth="1"/>
    <col min="8" max="8" width="5.33203125" bestFit="1" customWidth="1"/>
    <col min="9" max="9" width="4.5546875" bestFit="1" customWidth="1"/>
    <col min="10" max="10" width="3.33203125" bestFit="1" customWidth="1"/>
    <col min="11" max="11" width="6" customWidth="1"/>
    <col min="12" max="12" width="4.5546875" bestFit="1" customWidth="1"/>
    <col min="13" max="13" width="4.6640625" customWidth="1"/>
    <col min="14" max="14" width="7.88671875" customWidth="1"/>
    <col min="15" max="17" width="5.33203125" customWidth="1"/>
    <col min="18" max="18" width="4.5546875" bestFit="1" customWidth="1"/>
    <col min="19" max="19" width="3.33203125" bestFit="1" customWidth="1"/>
    <col min="20" max="20" width="5.332031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8" t="s">
        <v>106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</row>
    <row r="2" spans="1:28" ht="24.75" customHeight="1" x14ac:dyDescent="0.3">
      <c r="A2" s="51" t="s">
        <v>70</v>
      </c>
      <c r="B2" s="51" t="s">
        <v>5</v>
      </c>
      <c r="C2" s="51" t="s">
        <v>9</v>
      </c>
      <c r="D2" s="51"/>
      <c r="E2" s="51"/>
      <c r="F2" s="51" t="s">
        <v>93</v>
      </c>
      <c r="G2" s="51"/>
      <c r="H2" s="51"/>
      <c r="I2" s="51" t="s">
        <v>99</v>
      </c>
      <c r="J2" s="51"/>
      <c r="K2" s="51"/>
      <c r="L2" s="51" t="s">
        <v>101</v>
      </c>
      <c r="M2" s="51"/>
      <c r="N2" s="51"/>
      <c r="O2" s="59" t="s">
        <v>100</v>
      </c>
      <c r="P2" s="60"/>
      <c r="Q2" s="61"/>
      <c r="R2" s="56" t="s">
        <v>94</v>
      </c>
      <c r="S2" s="56"/>
      <c r="T2" s="56"/>
      <c r="U2" s="56" t="s">
        <v>42</v>
      </c>
      <c r="V2" s="56" t="s">
        <v>43</v>
      </c>
      <c r="W2" s="49" t="s">
        <v>44</v>
      </c>
      <c r="X2" s="49" t="s">
        <v>45</v>
      </c>
      <c r="Y2" s="49" t="s">
        <v>46</v>
      </c>
      <c r="Z2" s="49" t="s">
        <v>47</v>
      </c>
      <c r="AA2" s="56" t="s">
        <v>48</v>
      </c>
      <c r="AB2" s="62"/>
    </row>
    <row r="3" spans="1:28" ht="20.25" customHeight="1" x14ac:dyDescent="0.3">
      <c r="A3" s="51"/>
      <c r="B3" s="51"/>
      <c r="C3" s="25" t="s">
        <v>49</v>
      </c>
      <c r="D3" s="25" t="s">
        <v>51</v>
      </c>
      <c r="E3" s="25" t="s">
        <v>69</v>
      </c>
      <c r="F3" s="25" t="s">
        <v>49</v>
      </c>
      <c r="G3" s="25" t="s">
        <v>51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49</v>
      </c>
      <c r="M3" s="25" t="s">
        <v>51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49</v>
      </c>
      <c r="S3" s="25" t="s">
        <v>51</v>
      </c>
      <c r="T3" s="25" t="s">
        <v>69</v>
      </c>
      <c r="U3" s="56"/>
      <c r="V3" s="56"/>
      <c r="W3" s="50"/>
      <c r="X3" s="50"/>
      <c r="Y3" s="50"/>
      <c r="Z3" s="50"/>
      <c r="AA3" s="56"/>
      <c r="AB3" s="62"/>
    </row>
    <row r="4" spans="1:28" x14ac:dyDescent="0.3">
      <c r="A4" s="3">
        <f>DETAILS!A3</f>
        <v>688</v>
      </c>
      <c r="B4" s="3" t="str">
        <f>DETAILS!B3</f>
        <v>AMINUDDIN</v>
      </c>
      <c r="C4" s="26" t="str">
        <f>VLOOKUP($A4,'UT-I '!$1:$1048576,3,0)</f>
        <v>AB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 t="str">
        <f>VLOOKUP($A4,'UT-I '!$1:$1048576,4,0)</f>
        <v>AB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 t="str">
        <f>VLOOKUP($A4,'UT-I '!$1:$1048576,5,0)</f>
        <v>AB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 t="str">
        <f>VLOOKUP($A4,'UT-I '!$1:$1048576,6,0)</f>
        <v>AB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 t="str">
        <f>VLOOKUP($A4,'UT-I '!$1:$1048576,7,0)</f>
        <v>AB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 t="str">
        <f>VLOOKUP($A4,'UT-I '!$1:$1048576,8,0)</f>
        <v>AB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1011</v>
      </c>
      <c r="B5" s="3" t="str">
        <f>DETAILS!B4</f>
        <v>ARPIT VERMA</v>
      </c>
      <c r="C5" s="26">
        <f>VLOOKUP($A5,'UT-I '!$1:$1048576,3,0)</f>
        <v>6</v>
      </c>
      <c r="D5" s="26">
        <f>IFERROR(ROUND(VLOOKUP($A5,'HALF YEARLY'!$1:$1048576,3,0)*0.8,0),VLOOKUP($A5,'HALF YEARLY'!$1:$1048576,3,0))</f>
        <v>0</v>
      </c>
      <c r="E5" s="32">
        <f t="shared" si="0"/>
        <v>6</v>
      </c>
      <c r="F5" s="26">
        <f>VLOOKUP($A5,'UT-I '!$1:$1048576,4,0)</f>
        <v>5</v>
      </c>
      <c r="G5" s="26">
        <f>IFERROR(ROUND(VLOOKUP($A5,'HALF YEARLY'!$1:$1048576,4,0)*0.8,0),VLOOKUP($A5,'HALF YEARLY'!$1:$1048576,4,0))</f>
        <v>0</v>
      </c>
      <c r="H5" s="32">
        <f t="shared" si="1"/>
        <v>5</v>
      </c>
      <c r="I5" s="26">
        <f>VLOOKUP($A5,'UT-I '!$1:$1048576,5,0)</f>
        <v>7</v>
      </c>
      <c r="J5" s="26">
        <f>IFERROR(ROUND(VLOOKUP($A5,'HALF YEARLY'!$1:$1048576,5,0)*0.8,0),VLOOKUP($A5,'HALF YEARLY'!$1:$1048576,5,0))</f>
        <v>0</v>
      </c>
      <c r="K5" s="32">
        <f t="shared" si="2"/>
        <v>7</v>
      </c>
      <c r="L5" s="26">
        <f>VLOOKUP($A5,'UT-I '!$1:$1048576,6,0)</f>
        <v>5</v>
      </c>
      <c r="M5" s="26">
        <f>IFERROR(ROUND(VLOOKUP($A5,'HALF YEARLY'!$1:$1048576,6,0)*0.8,0),VLOOKUP($A5,'HALF YEARLY'!$1:$1048576,6,0))</f>
        <v>0</v>
      </c>
      <c r="N5" s="32">
        <f t="shared" si="3"/>
        <v>5</v>
      </c>
      <c r="O5" s="26">
        <f>VLOOKUP($A5,'UT-I '!$1:$1048576,7,0)</f>
        <v>1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1</v>
      </c>
      <c r="R5" s="26">
        <f>VLOOKUP($A5,'UT-I '!$1:$1048576,8,0)</f>
        <v>6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6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692</v>
      </c>
      <c r="B6" s="3" t="str">
        <f>DETAILS!B5</f>
        <v>ATUL VERMA</v>
      </c>
      <c r="C6" s="26">
        <f>VLOOKUP($A6,'UT-I '!$1:$1048576,3,0)</f>
        <v>13</v>
      </c>
      <c r="D6" s="26">
        <f>IFERROR(ROUND(VLOOKUP($A6,'HALF YEARLY'!$1:$1048576,3,0)*0.8,0),VLOOKUP($A6,'HALF YEARLY'!$1:$1048576,3,0))</f>
        <v>0</v>
      </c>
      <c r="E6" s="32">
        <f t="shared" si="0"/>
        <v>13</v>
      </c>
      <c r="F6" s="26">
        <f>VLOOKUP($A6,'UT-I '!$1:$1048576,4,0)</f>
        <v>14</v>
      </c>
      <c r="G6" s="26">
        <f>IFERROR(ROUND(VLOOKUP($A6,'HALF YEARLY'!$1:$1048576,4,0)*0.8,0),VLOOKUP($A6,'HALF YEARLY'!$1:$1048576,4,0))</f>
        <v>0</v>
      </c>
      <c r="H6" s="32">
        <f t="shared" si="1"/>
        <v>14</v>
      </c>
      <c r="I6" s="26">
        <f>VLOOKUP($A6,'UT-I '!$1:$1048576,5,0)</f>
        <v>17</v>
      </c>
      <c r="J6" s="26">
        <f>IFERROR(ROUND(VLOOKUP($A6,'HALF YEARLY'!$1:$1048576,5,0)*0.8,0),VLOOKUP($A6,'HALF YEARLY'!$1:$1048576,5,0))</f>
        <v>0</v>
      </c>
      <c r="K6" s="32">
        <f t="shared" si="2"/>
        <v>17</v>
      </c>
      <c r="L6" s="26">
        <f>VLOOKUP($A6,'UT-I '!$1:$1048576,6,0)</f>
        <v>19</v>
      </c>
      <c r="M6" s="26">
        <f>IFERROR(ROUND(VLOOKUP($A6,'HALF YEARLY'!$1:$1048576,6,0)*0.8,0),VLOOKUP($A6,'HALF YEARLY'!$1:$1048576,6,0))</f>
        <v>0</v>
      </c>
      <c r="N6" s="32">
        <f t="shared" si="3"/>
        <v>19</v>
      </c>
      <c r="O6" s="26">
        <f>VLOOKUP($A6,'UT-I '!$1:$1048576,7,0)</f>
        <v>12</v>
      </c>
      <c r="P6" s="26">
        <f>IFERROR(ROUND(VLOOKUP($A6,'HALF YEARLY'!$1:$1048576,7,0)*0.8,0),VLOOKUP($A6,'HALF YEARLY'!$1:$1048576,7,0))</f>
        <v>0</v>
      </c>
      <c r="Q6" s="32">
        <f t="shared" si="4"/>
        <v>12</v>
      </c>
      <c r="R6" s="26">
        <f>VLOOKUP($A6,'UT-I '!$1:$1048576,8,0)</f>
        <v>19</v>
      </c>
      <c r="S6" s="26">
        <f>IFERROR(ROUND(VLOOKUP($A6,'HALF YEARLY'!$1:$1048576,8,0)*0.8,0),VLOOKUP($A6,'HALF YEARLY'!$1:$1048576,8,0))</f>
        <v>0</v>
      </c>
      <c r="T6" s="32">
        <f t="shared" si="5"/>
        <v>19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1931</v>
      </c>
      <c r="B7" s="3" t="str">
        <f>DETAILS!B6</f>
        <v>GAURAV GAUTAM</v>
      </c>
      <c r="C7" s="26">
        <f>VLOOKUP($A7,'UT-I '!$1:$1048576,3,0)</f>
        <v>15</v>
      </c>
      <c r="D7" s="26">
        <f>IFERROR(ROUND(VLOOKUP($A7,'HALF YEARLY'!$1:$1048576,3,0)*0.8,0),VLOOKUP($A7,'HALF YEARLY'!$1:$1048576,3,0))</f>
        <v>0</v>
      </c>
      <c r="E7" s="32">
        <f t="shared" si="0"/>
        <v>15</v>
      </c>
      <c r="F7" s="26">
        <f>VLOOKUP($A7,'UT-I '!$1:$1048576,4,0)</f>
        <v>20</v>
      </c>
      <c r="G7" s="26">
        <f>IFERROR(ROUND(VLOOKUP($A7,'HALF YEARLY'!$1:$1048576,4,0)*0.8,0),VLOOKUP($A7,'HALF YEARLY'!$1:$1048576,4,0))</f>
        <v>0</v>
      </c>
      <c r="H7" s="32">
        <f t="shared" si="1"/>
        <v>20</v>
      </c>
      <c r="I7" s="26">
        <f>VLOOKUP($A7,'UT-I '!$1:$1048576,5,0)</f>
        <v>17</v>
      </c>
      <c r="J7" s="26">
        <f>IFERROR(ROUND(VLOOKUP($A7,'HALF YEARLY'!$1:$1048576,5,0)*0.8,0),VLOOKUP($A7,'HALF YEARLY'!$1:$1048576,5,0))</f>
        <v>0</v>
      </c>
      <c r="K7" s="32">
        <f t="shared" si="2"/>
        <v>17</v>
      </c>
      <c r="L7" s="26">
        <f>VLOOKUP($A7,'UT-I '!$1:$1048576,6,0)</f>
        <v>20</v>
      </c>
      <c r="M7" s="26">
        <f>IFERROR(ROUND(VLOOKUP($A7,'HALF YEARLY'!$1:$1048576,6,0)*0.8,0),VLOOKUP($A7,'HALF YEARLY'!$1:$1048576,6,0))</f>
        <v>0</v>
      </c>
      <c r="N7" s="32">
        <f t="shared" si="3"/>
        <v>20</v>
      </c>
      <c r="O7" s="26">
        <f>VLOOKUP($A7,'UT-I '!$1:$1048576,7,0)</f>
        <v>13</v>
      </c>
      <c r="P7" s="26">
        <f>IFERROR(ROUND(VLOOKUP($A7,'HALF YEARLY'!$1:$1048576,7,0)*0.8,0),VLOOKUP($A7,'HALF YEARLY'!$1:$1048576,7,0))</f>
        <v>0</v>
      </c>
      <c r="Q7" s="32">
        <f t="shared" si="4"/>
        <v>13</v>
      </c>
      <c r="R7" s="26">
        <f>VLOOKUP($A7,'UT-I '!$1:$1048576,8,0)</f>
        <v>17</v>
      </c>
      <c r="S7" s="26">
        <f>IFERROR(ROUND(VLOOKUP($A7,'HALF YEARLY'!$1:$1048576,8,0)*0.8,0),VLOOKUP($A7,'HALF YEARLY'!$1:$1048576,8,0))</f>
        <v>0</v>
      </c>
      <c r="T7" s="32">
        <f t="shared" si="5"/>
        <v>17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1509</v>
      </c>
      <c r="B8" s="3" t="str">
        <f>DETAILS!B7</f>
        <v>HIMANSHU</v>
      </c>
      <c r="C8" s="26">
        <f>VLOOKUP($A8,'UT-I '!$1:$1048576,3,0)</f>
        <v>13</v>
      </c>
      <c r="D8" s="26">
        <f>IFERROR(ROUND(VLOOKUP($A8,'HALF YEARLY'!$1:$1048576,3,0)*0.8,0),VLOOKUP($A8,'HALF YEARLY'!$1:$1048576,3,0))</f>
        <v>0</v>
      </c>
      <c r="E8" s="32">
        <f t="shared" si="0"/>
        <v>13</v>
      </c>
      <c r="F8" s="26">
        <f>VLOOKUP($A8,'UT-I '!$1:$1048576,4,0)</f>
        <v>10</v>
      </c>
      <c r="G8" s="26">
        <f>IFERROR(ROUND(VLOOKUP($A8,'HALF YEARLY'!$1:$1048576,4,0)*0.8,0),VLOOKUP($A8,'HALF YEARLY'!$1:$1048576,4,0))</f>
        <v>0</v>
      </c>
      <c r="H8" s="32">
        <f t="shared" si="1"/>
        <v>10</v>
      </c>
      <c r="I8" s="26">
        <f>VLOOKUP($A8,'UT-I '!$1:$1048576,5,0)</f>
        <v>13</v>
      </c>
      <c r="J8" s="26">
        <f>IFERROR(ROUND(VLOOKUP($A8,'HALF YEARLY'!$1:$1048576,5,0)*0.8,0),VLOOKUP($A8,'HALF YEARLY'!$1:$1048576,5,0))</f>
        <v>0</v>
      </c>
      <c r="K8" s="32">
        <f t="shared" si="2"/>
        <v>13</v>
      </c>
      <c r="L8" s="26">
        <f>VLOOKUP($A8,'UT-I '!$1:$1048576,6,0)</f>
        <v>16</v>
      </c>
      <c r="M8" s="26">
        <f>IFERROR(ROUND(VLOOKUP($A8,'HALF YEARLY'!$1:$1048576,6,0)*0.8,0),VLOOKUP($A8,'HALF YEARLY'!$1:$1048576,6,0))</f>
        <v>0</v>
      </c>
      <c r="N8" s="32">
        <f t="shared" si="3"/>
        <v>16</v>
      </c>
      <c r="O8" s="26">
        <f>VLOOKUP($A8,'UT-I '!$1:$1048576,7,0)</f>
        <v>8</v>
      </c>
      <c r="P8" s="26">
        <f>IFERROR(ROUND(VLOOKUP($A8,'HALF YEARLY'!$1:$1048576,7,0)*0.8,0),VLOOKUP($A8,'HALF YEARLY'!$1:$1048576,7,0))</f>
        <v>0</v>
      </c>
      <c r="Q8" s="32">
        <f t="shared" si="4"/>
        <v>8</v>
      </c>
      <c r="R8" s="26">
        <f>VLOOKUP($A8,'UT-I '!$1:$1048576,8,0)</f>
        <v>13</v>
      </c>
      <c r="S8" s="26">
        <f>IFERROR(ROUND(VLOOKUP($A8,'HALF YEARLY'!$1:$1048576,8,0)*0.8,0),VLOOKUP($A8,'HALF YEARLY'!$1:$1048576,8,0))</f>
        <v>0</v>
      </c>
      <c r="T8" s="32">
        <f t="shared" si="5"/>
        <v>13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694</v>
      </c>
      <c r="B9" s="3" t="str">
        <f>DETAILS!B8</f>
        <v>JYOTIRADITYA DAS</v>
      </c>
      <c r="C9" s="26">
        <f>VLOOKUP($A9,'UT-I '!$1:$1048576,3,0)</f>
        <v>9</v>
      </c>
      <c r="D9" s="26">
        <f>IFERROR(ROUND(VLOOKUP($A9,'HALF YEARLY'!$1:$1048576,3,0)*0.8,0),VLOOKUP($A9,'HALF YEARLY'!$1:$1048576,3,0))</f>
        <v>0</v>
      </c>
      <c r="E9" s="32">
        <f t="shared" si="0"/>
        <v>9</v>
      </c>
      <c r="F9" s="26">
        <f>VLOOKUP($A9,'UT-I '!$1:$1048576,4,0)</f>
        <v>7</v>
      </c>
      <c r="G9" s="26">
        <f>IFERROR(ROUND(VLOOKUP($A9,'HALF YEARLY'!$1:$1048576,4,0)*0.8,0),VLOOKUP($A9,'HALF YEARLY'!$1:$1048576,4,0))</f>
        <v>0</v>
      </c>
      <c r="H9" s="32">
        <f t="shared" si="1"/>
        <v>7</v>
      </c>
      <c r="I9" s="26">
        <f>VLOOKUP($A9,'UT-I '!$1:$1048576,5,0)</f>
        <v>13</v>
      </c>
      <c r="J9" s="26">
        <f>IFERROR(ROUND(VLOOKUP($A9,'HALF YEARLY'!$1:$1048576,5,0)*0.8,0),VLOOKUP($A9,'HALF YEARLY'!$1:$1048576,5,0))</f>
        <v>0</v>
      </c>
      <c r="K9" s="32">
        <f t="shared" si="2"/>
        <v>13</v>
      </c>
      <c r="L9" s="26">
        <f>VLOOKUP($A9,'UT-I '!$1:$1048576,6,0)</f>
        <v>13</v>
      </c>
      <c r="M9" s="26">
        <f>IFERROR(ROUND(VLOOKUP($A9,'HALF YEARLY'!$1:$1048576,6,0)*0.8,0),VLOOKUP($A9,'HALF YEARLY'!$1:$1048576,6,0))</f>
        <v>0</v>
      </c>
      <c r="N9" s="32">
        <f t="shared" si="3"/>
        <v>13</v>
      </c>
      <c r="O9" s="26">
        <f>VLOOKUP($A9,'UT-I '!$1:$1048576,7,0)</f>
        <v>5</v>
      </c>
      <c r="P9" s="26">
        <f>IFERROR(ROUND(VLOOKUP($A9,'HALF YEARLY'!$1:$1048576,7,0)*0.8,0),VLOOKUP($A9,'HALF YEARLY'!$1:$1048576,7,0))</f>
        <v>0</v>
      </c>
      <c r="Q9" s="32">
        <f t="shared" si="4"/>
        <v>5</v>
      </c>
      <c r="R9" s="26">
        <f>VLOOKUP($A9,'UT-I '!$1:$1048576,8,0)</f>
        <v>11</v>
      </c>
      <c r="S9" s="26">
        <f>IFERROR(ROUND(VLOOKUP($A9,'HALF YEARLY'!$1:$1048576,8,0)*0.8,0),VLOOKUP($A9,'HALF YEARLY'!$1:$1048576,8,0))</f>
        <v>0</v>
      </c>
      <c r="T9" s="32">
        <f t="shared" si="5"/>
        <v>11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1873</v>
      </c>
      <c r="B10" s="3" t="str">
        <f>DETAILS!B9</f>
        <v>MASIRA AKHTAR</v>
      </c>
      <c r="C10" s="26">
        <f>VLOOKUP($A10,'UT-I '!$1:$1048576,3,0)</f>
        <v>13</v>
      </c>
      <c r="D10" s="26">
        <f>IFERROR(ROUND(VLOOKUP($A10,'HALF YEARLY'!$1:$1048576,3,0)*0.8,0),VLOOKUP($A10,'HALF YEARLY'!$1:$1048576,3,0))</f>
        <v>0</v>
      </c>
      <c r="E10" s="32">
        <f t="shared" si="0"/>
        <v>13</v>
      </c>
      <c r="F10" s="26">
        <f>VLOOKUP($A10,'UT-I '!$1:$1048576,4,0)</f>
        <v>13</v>
      </c>
      <c r="G10" s="26">
        <f>IFERROR(ROUND(VLOOKUP($A10,'HALF YEARLY'!$1:$1048576,4,0)*0.8,0),VLOOKUP($A10,'HALF YEARLY'!$1:$1048576,4,0))</f>
        <v>0</v>
      </c>
      <c r="H10" s="32">
        <f t="shared" si="1"/>
        <v>13</v>
      </c>
      <c r="I10" s="26">
        <f>VLOOKUP($A10,'UT-I '!$1:$1048576,5,0)</f>
        <v>16</v>
      </c>
      <c r="J10" s="26">
        <f>IFERROR(ROUND(VLOOKUP($A10,'HALF YEARLY'!$1:$1048576,5,0)*0.8,0),VLOOKUP($A10,'HALF YEARLY'!$1:$1048576,5,0))</f>
        <v>0</v>
      </c>
      <c r="K10" s="32">
        <f t="shared" si="2"/>
        <v>16</v>
      </c>
      <c r="L10" s="26">
        <f>VLOOKUP($A10,'UT-I '!$1:$1048576,6,0)</f>
        <v>17</v>
      </c>
      <c r="M10" s="26">
        <f>IFERROR(ROUND(VLOOKUP($A10,'HALF YEARLY'!$1:$1048576,6,0)*0.8,0),VLOOKUP($A10,'HALF YEARLY'!$1:$1048576,6,0))</f>
        <v>0</v>
      </c>
      <c r="N10" s="32">
        <f t="shared" si="3"/>
        <v>17</v>
      </c>
      <c r="O10" s="26">
        <f>VLOOKUP($A10,'UT-I '!$1:$1048576,7,0)</f>
        <v>14</v>
      </c>
      <c r="P10" s="26">
        <f>IFERROR(ROUND(VLOOKUP($A10,'HALF YEARLY'!$1:$1048576,7,0)*0.8,0),VLOOKUP($A10,'HALF YEARLY'!$1:$1048576,7,0))</f>
        <v>0</v>
      </c>
      <c r="Q10" s="32">
        <f t="shared" si="4"/>
        <v>14</v>
      </c>
      <c r="R10" s="26">
        <f>VLOOKUP($A10,'UT-I '!$1:$1048576,8,0)</f>
        <v>17</v>
      </c>
      <c r="S10" s="26">
        <f>IFERROR(ROUND(VLOOKUP($A10,'HALF YEARLY'!$1:$1048576,8,0)*0.8,0),VLOOKUP($A10,'HALF YEARLY'!$1:$1048576,8,0))</f>
        <v>0</v>
      </c>
      <c r="T10" s="32">
        <f t="shared" si="5"/>
        <v>17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1491</v>
      </c>
      <c r="B11" s="3" t="str">
        <f>DETAILS!B10</f>
        <v>SIDDHARTH</v>
      </c>
      <c r="C11" s="26">
        <f>VLOOKUP($A11,'UT-I '!$1:$1048576,3,0)</f>
        <v>11</v>
      </c>
      <c r="D11" s="26">
        <f>IFERROR(ROUND(VLOOKUP($A11,'HALF YEARLY'!$1:$1048576,3,0)*0.8,0),VLOOKUP($A11,'HALF YEARLY'!$1:$1048576,3,0))</f>
        <v>0</v>
      </c>
      <c r="E11" s="32">
        <f t="shared" si="0"/>
        <v>11</v>
      </c>
      <c r="F11" s="26">
        <f>VLOOKUP($A11,'UT-I '!$1:$1048576,4,0)</f>
        <v>7</v>
      </c>
      <c r="G11" s="26">
        <f>IFERROR(ROUND(VLOOKUP($A11,'HALF YEARLY'!$1:$1048576,4,0)*0.8,0),VLOOKUP($A11,'HALF YEARLY'!$1:$1048576,4,0))</f>
        <v>0</v>
      </c>
      <c r="H11" s="32">
        <f t="shared" si="1"/>
        <v>7</v>
      </c>
      <c r="I11" s="26">
        <f>VLOOKUP($A11,'UT-I '!$1:$1048576,5,0)</f>
        <v>11</v>
      </c>
      <c r="J11" s="26">
        <f>IFERROR(ROUND(VLOOKUP($A11,'HALF YEARLY'!$1:$1048576,5,0)*0.8,0),VLOOKUP($A11,'HALF YEARLY'!$1:$1048576,5,0))</f>
        <v>0</v>
      </c>
      <c r="K11" s="32">
        <f t="shared" si="2"/>
        <v>11</v>
      </c>
      <c r="L11" s="26">
        <f>VLOOKUP($A11,'UT-I '!$1:$1048576,6,0)</f>
        <v>16</v>
      </c>
      <c r="M11" s="26">
        <f>IFERROR(ROUND(VLOOKUP($A11,'HALF YEARLY'!$1:$1048576,6,0)*0.8,0),VLOOKUP($A11,'HALF YEARLY'!$1:$1048576,6,0))</f>
        <v>0</v>
      </c>
      <c r="N11" s="32">
        <f t="shared" si="3"/>
        <v>16</v>
      </c>
      <c r="O11" s="26">
        <f>VLOOKUP($A11,'UT-I '!$1:$1048576,7,0)</f>
        <v>8</v>
      </c>
      <c r="P11" s="26">
        <f>IFERROR(ROUND(VLOOKUP($A11,'HALF YEARLY'!$1:$1048576,7,0)*0.8,0),VLOOKUP($A11,'HALF YEARLY'!$1:$1048576,7,0))</f>
        <v>0</v>
      </c>
      <c r="Q11" s="32">
        <f t="shared" si="4"/>
        <v>8</v>
      </c>
      <c r="R11" s="26">
        <f>VLOOKUP($A11,'UT-I '!$1:$1048576,8,0)</f>
        <v>15</v>
      </c>
      <c r="S11" s="26">
        <f>IFERROR(ROUND(VLOOKUP($A11,'HALF YEARLY'!$1:$1048576,8,0)*0.8,0),VLOOKUP($A11,'HALF YEARLY'!$1:$1048576,8,0))</f>
        <v>0</v>
      </c>
      <c r="T11" s="32">
        <f t="shared" si="5"/>
        <v>15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701</v>
      </c>
      <c r="B12" s="3" t="str">
        <f>DETAILS!B11</f>
        <v>YASH SONI</v>
      </c>
      <c r="C12" s="26" t="str">
        <f>VLOOKUP($A12,'UT-I '!$1:$1048576,3,0)</f>
        <v>AB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 t="str">
        <f>VLOOKUP($A12,'UT-I '!$1:$1048576,4,0)</f>
        <v>AB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 t="str">
        <f>VLOOKUP($A12,'UT-I '!$1:$1048576,5,0)</f>
        <v>AB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 t="str">
        <f>VLOOKUP($A12,'UT-I '!$1:$1048576,6,0)</f>
        <v>AB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 t="str">
        <f>VLOOKUP($A12,'UT-I '!$1:$1048576,7,0)</f>
        <v>AB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 t="str">
        <f>VLOOKUP($A12,'UT-I '!$1:$1048576,8,0)</f>
        <v>AB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 t="e">
        <f>DETAILS!#REF!</f>
        <v>#REF!</v>
      </c>
      <c r="B13" s="3" t="e">
        <f>DETAILS!#REF!</f>
        <v>#REF!</v>
      </c>
      <c r="C13" s="26" t="e">
        <f>VLOOKUP($A13,'UT-I '!$1:$1048576,3,0)</f>
        <v>#REF!</v>
      </c>
      <c r="D13" s="26" t="e">
        <f>IFERROR(ROUND(VLOOKUP($A13,'HALF YEARLY'!$1:$1048576,3,0)*0.8,0),VLOOKUP($A13,'HALF YEARLY'!$1:$1048576,3,0))</f>
        <v>#REF!</v>
      </c>
      <c r="E13" s="32" t="e">
        <f t="shared" si="0"/>
        <v>#REF!</v>
      </c>
      <c r="F13" s="26" t="e">
        <f>VLOOKUP($A13,'UT-I '!$1:$1048576,4,0)</f>
        <v>#REF!</v>
      </c>
      <c r="G13" s="26" t="e">
        <f>IFERROR(ROUND(VLOOKUP($A13,'HALF YEARLY'!$1:$1048576,4,0)*0.8,0),VLOOKUP($A13,'HALF YEARLY'!$1:$1048576,4,0))</f>
        <v>#REF!</v>
      </c>
      <c r="H13" s="32" t="e">
        <f t="shared" si="1"/>
        <v>#REF!</v>
      </c>
      <c r="I13" s="26" t="e">
        <f>VLOOKUP($A13,'UT-I '!$1:$1048576,5,0)</f>
        <v>#REF!</v>
      </c>
      <c r="J13" s="26" t="e">
        <f>IFERROR(ROUND(VLOOKUP($A13,'HALF YEARLY'!$1:$1048576,5,0)*0.8,0),VLOOKUP($A13,'HALF YEARLY'!$1:$1048576,5,0))</f>
        <v>#REF!</v>
      </c>
      <c r="K13" s="32" t="e">
        <f t="shared" si="2"/>
        <v>#REF!</v>
      </c>
      <c r="L13" s="26" t="e">
        <f>VLOOKUP($A13,'UT-I '!$1:$1048576,6,0)</f>
        <v>#REF!</v>
      </c>
      <c r="M13" s="26" t="e">
        <f>IFERROR(ROUND(VLOOKUP($A13,'HALF YEARLY'!$1:$1048576,6,0)*0.8,0),VLOOKUP($A13,'HALF YEARLY'!$1:$1048576,6,0))</f>
        <v>#REF!</v>
      </c>
      <c r="N13" s="32" t="e">
        <f t="shared" si="3"/>
        <v>#REF!</v>
      </c>
      <c r="O13" s="26" t="e">
        <f>VLOOKUP($A13,'UT-I '!$1:$1048576,7,0)</f>
        <v>#REF!</v>
      </c>
      <c r="P13" s="26" t="e">
        <f>IFERROR(ROUND(VLOOKUP($A13,'HALF YEARLY'!$1:$1048576,7,0)*0.8,0),VLOOKUP($A13,'HALF YEARLY'!$1:$1048576,7,0))</f>
        <v>#REF!</v>
      </c>
      <c r="Q13" s="32" t="e">
        <f t="shared" si="4"/>
        <v>#REF!</v>
      </c>
      <c r="R13" s="26" t="e">
        <f>VLOOKUP($A13,'UT-I '!$1:$1048576,8,0)</f>
        <v>#REF!</v>
      </c>
      <c r="S13" s="26" t="e">
        <f>IFERROR(ROUND(VLOOKUP($A13,'HALF YEARLY'!$1:$1048576,8,0)*0.8,0),VLOOKUP($A13,'HALF YEARLY'!$1:$1048576,8,0))</f>
        <v>#REF!</v>
      </c>
      <c r="T13" s="32" t="e">
        <f t="shared" si="5"/>
        <v>#REF!</v>
      </c>
      <c r="U13" s="26" t="e">
        <f>VLOOKUP($A13,'HALF YEARLY'!$1:$1048576,9,0)</f>
        <v>#REF!</v>
      </c>
      <c r="V13" s="26" t="e">
        <f>VLOOKUP($A13,'HALF YEARLY'!$1:$1048576,10,0)</f>
        <v>#REF!</v>
      </c>
      <c r="W13" s="26" t="e">
        <f>VLOOKUP($A13,'HALF YEARLY'!$1:$1048576,11,0)</f>
        <v>#REF!</v>
      </c>
      <c r="X13" s="26" t="e">
        <f>VLOOKUP($A13,'HALF YEARLY'!$1:$1048576,12,0)</f>
        <v>#REF!</v>
      </c>
      <c r="Y13" s="26" t="e">
        <f>VLOOKUP($A13,'HALF YEARLY'!$1:$1048576,13,0)</f>
        <v>#REF!</v>
      </c>
      <c r="Z13" s="26" t="e">
        <f>VLOOKUP($A13,'HALF YEARLY'!$1:$1048576,14,0)</f>
        <v>#REF!</v>
      </c>
      <c r="AA13" s="31" t="e">
        <f>VLOOKUP($A13,'HALF YEARLY'!$1:$1048576,15,0)</f>
        <v>#REF!</v>
      </c>
    </row>
    <row r="14" spans="1:28" x14ac:dyDescent="0.3">
      <c r="A14" s="3" t="e">
        <f>DETAILS!#REF!</f>
        <v>#REF!</v>
      </c>
      <c r="B14" s="3" t="e">
        <f>DETAILS!#REF!</f>
        <v>#REF!</v>
      </c>
      <c r="C14" s="26" t="e">
        <f>VLOOKUP($A14,'UT-I '!$1:$1048576,3,0)</f>
        <v>#REF!</v>
      </c>
      <c r="D14" s="26" t="e">
        <f>IFERROR(ROUND(VLOOKUP($A14,'HALF YEARLY'!$1:$1048576,3,0)*0.8,0),VLOOKUP($A14,'HALF YEARLY'!$1:$1048576,3,0))</f>
        <v>#REF!</v>
      </c>
      <c r="E14" s="32" t="e">
        <f t="shared" si="0"/>
        <v>#REF!</v>
      </c>
      <c r="F14" s="26" t="e">
        <f>VLOOKUP($A14,'UT-I '!$1:$1048576,4,0)</f>
        <v>#REF!</v>
      </c>
      <c r="G14" s="26" t="e">
        <f>IFERROR(ROUND(VLOOKUP($A14,'HALF YEARLY'!$1:$1048576,4,0)*0.8,0),VLOOKUP($A14,'HALF YEARLY'!$1:$1048576,4,0))</f>
        <v>#REF!</v>
      </c>
      <c r="H14" s="32" t="e">
        <f t="shared" si="1"/>
        <v>#REF!</v>
      </c>
      <c r="I14" s="26" t="e">
        <f>VLOOKUP($A14,'UT-I '!$1:$1048576,5,0)</f>
        <v>#REF!</v>
      </c>
      <c r="J14" s="26" t="e">
        <f>IFERROR(ROUND(VLOOKUP($A14,'HALF YEARLY'!$1:$1048576,5,0)*0.8,0),VLOOKUP($A14,'HALF YEARLY'!$1:$1048576,5,0))</f>
        <v>#REF!</v>
      </c>
      <c r="K14" s="32" t="e">
        <f t="shared" si="2"/>
        <v>#REF!</v>
      </c>
      <c r="L14" s="26" t="e">
        <f>VLOOKUP($A14,'UT-I '!$1:$1048576,6,0)</f>
        <v>#REF!</v>
      </c>
      <c r="M14" s="26" t="e">
        <f>IFERROR(ROUND(VLOOKUP($A14,'HALF YEARLY'!$1:$1048576,6,0)*0.8,0),VLOOKUP($A14,'HALF YEARLY'!$1:$1048576,6,0))</f>
        <v>#REF!</v>
      </c>
      <c r="N14" s="32" t="e">
        <f t="shared" si="3"/>
        <v>#REF!</v>
      </c>
      <c r="O14" s="26" t="e">
        <f>VLOOKUP($A14,'UT-I '!$1:$1048576,7,0)</f>
        <v>#REF!</v>
      </c>
      <c r="P14" s="26" t="e">
        <f>IFERROR(ROUND(VLOOKUP($A14,'HALF YEARLY'!$1:$1048576,7,0)*0.8,0),VLOOKUP($A14,'HALF YEARLY'!$1:$1048576,7,0))</f>
        <v>#REF!</v>
      </c>
      <c r="Q14" s="32" t="e">
        <f t="shared" si="4"/>
        <v>#REF!</v>
      </c>
      <c r="R14" s="26" t="e">
        <f>VLOOKUP($A14,'UT-I '!$1:$1048576,8,0)</f>
        <v>#REF!</v>
      </c>
      <c r="S14" s="26" t="e">
        <f>IFERROR(ROUND(VLOOKUP($A14,'HALF YEARLY'!$1:$1048576,8,0)*0.8,0),VLOOKUP($A14,'HALF YEARLY'!$1:$1048576,8,0))</f>
        <v>#REF!</v>
      </c>
      <c r="T14" s="32" t="e">
        <f t="shared" si="5"/>
        <v>#REF!</v>
      </c>
      <c r="U14" s="26" t="e">
        <f>VLOOKUP($A14,'HALF YEARLY'!$1:$1048576,9,0)</f>
        <v>#REF!</v>
      </c>
      <c r="V14" s="26" t="e">
        <f>VLOOKUP($A14,'HALF YEARLY'!$1:$1048576,10,0)</f>
        <v>#REF!</v>
      </c>
      <c r="W14" s="26" t="e">
        <f>VLOOKUP($A14,'HALF YEARLY'!$1:$1048576,11,0)</f>
        <v>#REF!</v>
      </c>
      <c r="X14" s="26" t="e">
        <f>VLOOKUP($A14,'HALF YEARLY'!$1:$1048576,12,0)</f>
        <v>#REF!</v>
      </c>
      <c r="Y14" s="26" t="e">
        <f>VLOOKUP($A14,'HALF YEARLY'!$1:$1048576,13,0)</f>
        <v>#REF!</v>
      </c>
      <c r="Z14" s="26" t="e">
        <f>VLOOKUP($A14,'HALF YEARLY'!$1:$1048576,14,0)</f>
        <v>#REF!</v>
      </c>
      <c r="AA14" s="31" t="e">
        <f>VLOOKUP($A14,'HALF YEARLY'!$1:$1048576,15,0)</f>
        <v>#REF!</v>
      </c>
    </row>
    <row r="15" spans="1:28" x14ac:dyDescent="0.3">
      <c r="A15" s="3" t="e">
        <f>DETAILS!#REF!</f>
        <v>#REF!</v>
      </c>
      <c r="B15" s="3" t="e">
        <f>DETAILS!#REF!</f>
        <v>#REF!</v>
      </c>
      <c r="C15" s="26" t="e">
        <f>VLOOKUP($A15,'UT-I '!$1:$1048576,3,0)</f>
        <v>#REF!</v>
      </c>
      <c r="D15" s="26" t="e">
        <f>IFERROR(ROUND(VLOOKUP($A15,'HALF YEARLY'!$1:$1048576,3,0)*0.8,0),VLOOKUP($A15,'HALF YEARLY'!$1:$1048576,3,0))</f>
        <v>#REF!</v>
      </c>
      <c r="E15" s="32" t="e">
        <f t="shared" si="0"/>
        <v>#REF!</v>
      </c>
      <c r="F15" s="26" t="e">
        <f>VLOOKUP($A15,'UT-I '!$1:$1048576,4,0)</f>
        <v>#REF!</v>
      </c>
      <c r="G15" s="26" t="e">
        <f>IFERROR(ROUND(VLOOKUP($A15,'HALF YEARLY'!$1:$1048576,4,0)*0.8,0),VLOOKUP($A15,'HALF YEARLY'!$1:$1048576,4,0))</f>
        <v>#REF!</v>
      </c>
      <c r="H15" s="32" t="e">
        <f t="shared" si="1"/>
        <v>#REF!</v>
      </c>
      <c r="I15" s="26" t="e">
        <f>VLOOKUP($A15,'UT-I '!$1:$1048576,5,0)</f>
        <v>#REF!</v>
      </c>
      <c r="J15" s="26" t="e">
        <f>IFERROR(ROUND(VLOOKUP($A15,'HALF YEARLY'!$1:$1048576,5,0)*0.8,0),VLOOKUP($A15,'HALF YEARLY'!$1:$1048576,5,0))</f>
        <v>#REF!</v>
      </c>
      <c r="K15" s="32" t="e">
        <f t="shared" si="2"/>
        <v>#REF!</v>
      </c>
      <c r="L15" s="26" t="e">
        <f>VLOOKUP($A15,'UT-I '!$1:$1048576,6,0)</f>
        <v>#REF!</v>
      </c>
      <c r="M15" s="26" t="e">
        <f>IFERROR(ROUND(VLOOKUP($A15,'HALF YEARLY'!$1:$1048576,6,0)*0.8,0),VLOOKUP($A15,'HALF YEARLY'!$1:$1048576,6,0))</f>
        <v>#REF!</v>
      </c>
      <c r="N15" s="32" t="e">
        <f t="shared" si="3"/>
        <v>#REF!</v>
      </c>
      <c r="O15" s="26" t="e">
        <f>VLOOKUP($A15,'UT-I '!$1:$1048576,7,0)</f>
        <v>#REF!</v>
      </c>
      <c r="P15" s="26" t="e">
        <f>IFERROR(ROUND(VLOOKUP($A15,'HALF YEARLY'!$1:$1048576,7,0)*0.8,0),VLOOKUP($A15,'HALF YEARLY'!$1:$1048576,7,0))</f>
        <v>#REF!</v>
      </c>
      <c r="Q15" s="32" t="e">
        <f t="shared" si="4"/>
        <v>#REF!</v>
      </c>
      <c r="R15" s="26" t="e">
        <f>VLOOKUP($A15,'UT-I '!$1:$1048576,8,0)</f>
        <v>#REF!</v>
      </c>
      <c r="S15" s="26" t="e">
        <f>IFERROR(ROUND(VLOOKUP($A15,'HALF YEARLY'!$1:$1048576,8,0)*0.8,0),VLOOKUP($A15,'HALF YEARLY'!$1:$1048576,8,0))</f>
        <v>#REF!</v>
      </c>
      <c r="T15" s="32" t="e">
        <f t="shared" si="5"/>
        <v>#REF!</v>
      </c>
      <c r="U15" s="26" t="e">
        <f>VLOOKUP($A15,'HALF YEARLY'!$1:$1048576,9,0)</f>
        <v>#REF!</v>
      </c>
      <c r="V15" s="26" t="e">
        <f>VLOOKUP($A15,'HALF YEARLY'!$1:$1048576,10,0)</f>
        <v>#REF!</v>
      </c>
      <c r="W15" s="26" t="e">
        <f>VLOOKUP($A15,'HALF YEARLY'!$1:$1048576,11,0)</f>
        <v>#REF!</v>
      </c>
      <c r="X15" s="26" t="e">
        <f>VLOOKUP($A15,'HALF YEARLY'!$1:$1048576,12,0)</f>
        <v>#REF!</v>
      </c>
      <c r="Y15" s="26" t="e">
        <f>VLOOKUP($A15,'HALF YEARLY'!$1:$1048576,13,0)</f>
        <v>#REF!</v>
      </c>
      <c r="Z15" s="26" t="e">
        <f>VLOOKUP($A15,'HALF YEARLY'!$1:$1048576,14,0)</f>
        <v>#REF!</v>
      </c>
      <c r="AA15" s="31" t="e">
        <f>VLOOKUP($A15,'HALF YEARLY'!$1:$1048576,15,0)</f>
        <v>#REF!</v>
      </c>
    </row>
    <row r="16" spans="1:28" x14ac:dyDescent="0.3">
      <c r="A16" s="3" t="e">
        <f>DETAILS!#REF!</f>
        <v>#REF!</v>
      </c>
      <c r="B16" s="3" t="e">
        <f>DETAILS!#REF!</f>
        <v>#REF!</v>
      </c>
      <c r="C16" s="26" t="e">
        <f>VLOOKUP($A16,'UT-I '!$1:$1048576,3,0)</f>
        <v>#REF!</v>
      </c>
      <c r="D16" s="26" t="e">
        <f>IFERROR(ROUND(VLOOKUP($A16,'HALF YEARLY'!$1:$1048576,3,0)*0.8,0),VLOOKUP($A16,'HALF YEARLY'!$1:$1048576,3,0))</f>
        <v>#REF!</v>
      </c>
      <c r="E16" s="32" t="e">
        <f t="shared" si="0"/>
        <v>#REF!</v>
      </c>
      <c r="F16" s="26" t="e">
        <f>VLOOKUP($A16,'UT-I '!$1:$1048576,4,0)</f>
        <v>#REF!</v>
      </c>
      <c r="G16" s="26" t="e">
        <f>IFERROR(ROUND(VLOOKUP($A16,'HALF YEARLY'!$1:$1048576,4,0)*0.8,0),VLOOKUP($A16,'HALF YEARLY'!$1:$1048576,4,0))</f>
        <v>#REF!</v>
      </c>
      <c r="H16" s="32" t="e">
        <f t="shared" si="1"/>
        <v>#REF!</v>
      </c>
      <c r="I16" s="26" t="e">
        <f>VLOOKUP($A16,'UT-I '!$1:$1048576,5,0)</f>
        <v>#REF!</v>
      </c>
      <c r="J16" s="26" t="e">
        <f>IFERROR(ROUND(VLOOKUP($A16,'HALF YEARLY'!$1:$1048576,5,0)*0.8,0),VLOOKUP($A16,'HALF YEARLY'!$1:$1048576,5,0))</f>
        <v>#REF!</v>
      </c>
      <c r="K16" s="32" t="e">
        <f t="shared" si="2"/>
        <v>#REF!</v>
      </c>
      <c r="L16" s="26" t="e">
        <f>VLOOKUP($A16,'UT-I '!$1:$1048576,6,0)</f>
        <v>#REF!</v>
      </c>
      <c r="M16" s="26" t="e">
        <f>IFERROR(ROUND(VLOOKUP($A16,'HALF YEARLY'!$1:$1048576,6,0)*0.8,0),VLOOKUP($A16,'HALF YEARLY'!$1:$1048576,6,0))</f>
        <v>#REF!</v>
      </c>
      <c r="N16" s="32" t="e">
        <f t="shared" si="3"/>
        <v>#REF!</v>
      </c>
      <c r="O16" s="26" t="e">
        <f>VLOOKUP($A16,'UT-I '!$1:$1048576,7,0)</f>
        <v>#REF!</v>
      </c>
      <c r="P16" s="26" t="e">
        <f>IFERROR(ROUND(VLOOKUP($A16,'HALF YEARLY'!$1:$1048576,7,0)*0.8,0),VLOOKUP($A16,'HALF YEARLY'!$1:$1048576,7,0))</f>
        <v>#REF!</v>
      </c>
      <c r="Q16" s="32" t="e">
        <f t="shared" si="4"/>
        <v>#REF!</v>
      </c>
      <c r="R16" s="26" t="e">
        <f>VLOOKUP($A16,'UT-I '!$1:$1048576,8,0)</f>
        <v>#REF!</v>
      </c>
      <c r="S16" s="26" t="e">
        <f>IFERROR(ROUND(VLOOKUP($A16,'HALF YEARLY'!$1:$1048576,8,0)*0.8,0),VLOOKUP($A16,'HALF YEARLY'!$1:$1048576,8,0))</f>
        <v>#REF!</v>
      </c>
      <c r="T16" s="32" t="e">
        <f t="shared" si="5"/>
        <v>#REF!</v>
      </c>
      <c r="U16" s="26" t="e">
        <f>VLOOKUP($A16,'HALF YEARLY'!$1:$1048576,9,0)</f>
        <v>#REF!</v>
      </c>
      <c r="V16" s="26" t="e">
        <f>VLOOKUP($A16,'HALF YEARLY'!$1:$1048576,10,0)</f>
        <v>#REF!</v>
      </c>
      <c r="W16" s="26" t="e">
        <f>VLOOKUP($A16,'HALF YEARLY'!$1:$1048576,11,0)</f>
        <v>#REF!</v>
      </c>
      <c r="X16" s="26" t="e">
        <f>VLOOKUP($A16,'HALF YEARLY'!$1:$1048576,12,0)</f>
        <v>#REF!</v>
      </c>
      <c r="Y16" s="26" t="e">
        <f>VLOOKUP($A16,'HALF YEARLY'!$1:$1048576,13,0)</f>
        <v>#REF!</v>
      </c>
      <c r="Z16" s="26" t="e">
        <f>VLOOKUP($A16,'HALF YEARLY'!$1:$1048576,14,0)</f>
        <v>#REF!</v>
      </c>
      <c r="AA16" s="31" t="e">
        <f>VLOOKUP($A16,'HALF YEARLY'!$1:$1048576,15,0)</f>
        <v>#REF!</v>
      </c>
    </row>
    <row r="17" spans="1:27" x14ac:dyDescent="0.3">
      <c r="A17" s="3" t="e">
        <f>DETAILS!#REF!</f>
        <v>#REF!</v>
      </c>
      <c r="B17" s="3" t="e">
        <f>DETAILS!#REF!</f>
        <v>#REF!</v>
      </c>
      <c r="C17" s="26" t="e">
        <f>VLOOKUP($A17,'UT-I '!$1:$1048576,3,0)</f>
        <v>#REF!</v>
      </c>
      <c r="D17" s="26" t="e">
        <f>IFERROR(ROUND(VLOOKUP($A17,'HALF YEARLY'!$1:$1048576,3,0)*0.8,0),VLOOKUP($A17,'HALF YEARLY'!$1:$1048576,3,0))</f>
        <v>#REF!</v>
      </c>
      <c r="E17" s="32" t="e">
        <f t="shared" si="0"/>
        <v>#REF!</v>
      </c>
      <c r="F17" s="26" t="e">
        <f>VLOOKUP($A17,'UT-I '!$1:$1048576,4,0)</f>
        <v>#REF!</v>
      </c>
      <c r="G17" s="26" t="e">
        <f>IFERROR(ROUND(VLOOKUP($A17,'HALF YEARLY'!$1:$1048576,4,0)*0.8,0),VLOOKUP($A17,'HALF YEARLY'!$1:$1048576,4,0))</f>
        <v>#REF!</v>
      </c>
      <c r="H17" s="32" t="e">
        <f t="shared" si="1"/>
        <v>#REF!</v>
      </c>
      <c r="I17" s="26" t="e">
        <f>VLOOKUP($A17,'UT-I '!$1:$1048576,5,0)</f>
        <v>#REF!</v>
      </c>
      <c r="J17" s="26" t="e">
        <f>IFERROR(ROUND(VLOOKUP($A17,'HALF YEARLY'!$1:$1048576,5,0)*0.8,0),VLOOKUP($A17,'HALF YEARLY'!$1:$1048576,5,0))</f>
        <v>#REF!</v>
      </c>
      <c r="K17" s="32" t="e">
        <f t="shared" si="2"/>
        <v>#REF!</v>
      </c>
      <c r="L17" s="26" t="e">
        <f>VLOOKUP($A17,'UT-I '!$1:$1048576,6,0)</f>
        <v>#REF!</v>
      </c>
      <c r="M17" s="26" t="e">
        <f>IFERROR(ROUND(VLOOKUP($A17,'HALF YEARLY'!$1:$1048576,6,0)*0.8,0),VLOOKUP($A17,'HALF YEARLY'!$1:$1048576,6,0))</f>
        <v>#REF!</v>
      </c>
      <c r="N17" s="32" t="e">
        <f t="shared" si="3"/>
        <v>#REF!</v>
      </c>
      <c r="O17" s="26" t="e">
        <f>VLOOKUP($A17,'UT-I '!$1:$1048576,7,0)</f>
        <v>#REF!</v>
      </c>
      <c r="P17" s="26" t="e">
        <f>IFERROR(ROUND(VLOOKUP($A17,'HALF YEARLY'!$1:$1048576,7,0)*0.8,0),VLOOKUP($A17,'HALF YEARLY'!$1:$1048576,7,0))</f>
        <v>#REF!</v>
      </c>
      <c r="Q17" s="32" t="e">
        <f t="shared" si="4"/>
        <v>#REF!</v>
      </c>
      <c r="R17" s="26" t="e">
        <f>VLOOKUP($A17,'UT-I '!$1:$1048576,8,0)</f>
        <v>#REF!</v>
      </c>
      <c r="S17" s="26" t="e">
        <f>IFERROR(ROUND(VLOOKUP($A17,'HALF YEARLY'!$1:$1048576,8,0)*0.8,0),VLOOKUP($A17,'HALF YEARLY'!$1:$1048576,8,0))</f>
        <v>#REF!</v>
      </c>
      <c r="T17" s="32" t="e">
        <f t="shared" si="5"/>
        <v>#REF!</v>
      </c>
      <c r="U17" s="26" t="e">
        <f>VLOOKUP($A17,'HALF YEARLY'!$1:$1048576,9,0)</f>
        <v>#REF!</v>
      </c>
      <c r="V17" s="26" t="e">
        <f>VLOOKUP($A17,'HALF YEARLY'!$1:$1048576,10,0)</f>
        <v>#REF!</v>
      </c>
      <c r="W17" s="26" t="e">
        <f>VLOOKUP($A17,'HALF YEARLY'!$1:$1048576,11,0)</f>
        <v>#REF!</v>
      </c>
      <c r="X17" s="26" t="e">
        <f>VLOOKUP($A17,'HALF YEARLY'!$1:$1048576,12,0)</f>
        <v>#REF!</v>
      </c>
      <c r="Y17" s="26" t="e">
        <f>VLOOKUP($A17,'HALF YEARLY'!$1:$1048576,13,0)</f>
        <v>#REF!</v>
      </c>
      <c r="Z17" s="26" t="e">
        <f>VLOOKUP($A17,'HALF YEARLY'!$1:$1048576,14,0)</f>
        <v>#REF!</v>
      </c>
      <c r="AA17" s="31" t="e">
        <f>VLOOKUP($A17,'HALF YEARLY'!$1:$1048576,15,0)</f>
        <v>#REF!</v>
      </c>
    </row>
    <row r="18" spans="1:27" x14ac:dyDescent="0.3">
      <c r="A18" s="3" t="e">
        <f>DETAILS!#REF!</f>
        <v>#REF!</v>
      </c>
      <c r="B18" s="3" t="e">
        <f>DETAILS!#REF!</f>
        <v>#REF!</v>
      </c>
      <c r="C18" s="26" t="e">
        <f>VLOOKUP($A18,'UT-I '!$1:$1048576,3,0)</f>
        <v>#REF!</v>
      </c>
      <c r="D18" s="26" t="e">
        <f>IFERROR(ROUND(VLOOKUP($A18,'HALF YEARLY'!$1:$1048576,3,0)*0.8,0),VLOOKUP($A18,'HALF YEARLY'!$1:$1048576,3,0))</f>
        <v>#REF!</v>
      </c>
      <c r="E18" s="32" t="e">
        <f t="shared" si="0"/>
        <v>#REF!</v>
      </c>
      <c r="F18" s="26" t="e">
        <f>VLOOKUP($A18,'UT-I '!$1:$1048576,4,0)</f>
        <v>#REF!</v>
      </c>
      <c r="G18" s="26" t="e">
        <f>IFERROR(ROUND(VLOOKUP($A18,'HALF YEARLY'!$1:$1048576,4,0)*0.8,0),VLOOKUP($A18,'HALF YEARLY'!$1:$1048576,4,0))</f>
        <v>#REF!</v>
      </c>
      <c r="H18" s="32" t="e">
        <f t="shared" si="1"/>
        <v>#REF!</v>
      </c>
      <c r="I18" s="26" t="e">
        <f>VLOOKUP($A18,'UT-I '!$1:$1048576,5,0)</f>
        <v>#REF!</v>
      </c>
      <c r="J18" s="26" t="e">
        <f>IFERROR(ROUND(VLOOKUP($A18,'HALF YEARLY'!$1:$1048576,5,0)*0.8,0),VLOOKUP($A18,'HALF YEARLY'!$1:$1048576,5,0))</f>
        <v>#REF!</v>
      </c>
      <c r="K18" s="32" t="e">
        <f t="shared" si="2"/>
        <v>#REF!</v>
      </c>
      <c r="L18" s="26" t="e">
        <f>VLOOKUP($A18,'UT-I '!$1:$1048576,6,0)</f>
        <v>#REF!</v>
      </c>
      <c r="M18" s="26" t="e">
        <f>IFERROR(ROUND(VLOOKUP($A18,'HALF YEARLY'!$1:$1048576,6,0)*0.8,0),VLOOKUP($A18,'HALF YEARLY'!$1:$1048576,6,0))</f>
        <v>#REF!</v>
      </c>
      <c r="N18" s="32" t="e">
        <f t="shared" si="3"/>
        <v>#REF!</v>
      </c>
      <c r="O18" s="26" t="e">
        <f>VLOOKUP($A18,'UT-I '!$1:$1048576,7,0)</f>
        <v>#REF!</v>
      </c>
      <c r="P18" s="26" t="e">
        <f>IFERROR(ROUND(VLOOKUP($A18,'HALF YEARLY'!$1:$1048576,7,0)*0.8,0),VLOOKUP($A18,'HALF YEARLY'!$1:$1048576,7,0))</f>
        <v>#REF!</v>
      </c>
      <c r="Q18" s="32" t="e">
        <f t="shared" si="4"/>
        <v>#REF!</v>
      </c>
      <c r="R18" s="26" t="e">
        <f>VLOOKUP($A18,'UT-I '!$1:$1048576,8,0)</f>
        <v>#REF!</v>
      </c>
      <c r="S18" s="26" t="e">
        <f>IFERROR(ROUND(VLOOKUP($A18,'HALF YEARLY'!$1:$1048576,8,0)*0.8,0),VLOOKUP($A18,'HALF YEARLY'!$1:$1048576,8,0))</f>
        <v>#REF!</v>
      </c>
      <c r="T18" s="32" t="e">
        <f t="shared" si="5"/>
        <v>#REF!</v>
      </c>
      <c r="U18" s="26" t="e">
        <f>VLOOKUP($A18,'HALF YEARLY'!$1:$1048576,9,0)</f>
        <v>#REF!</v>
      </c>
      <c r="V18" s="26" t="e">
        <f>VLOOKUP($A18,'HALF YEARLY'!$1:$1048576,10,0)</f>
        <v>#REF!</v>
      </c>
      <c r="W18" s="26" t="e">
        <f>VLOOKUP($A18,'HALF YEARLY'!$1:$1048576,11,0)</f>
        <v>#REF!</v>
      </c>
      <c r="X18" s="26" t="e">
        <f>VLOOKUP($A18,'HALF YEARLY'!$1:$1048576,12,0)</f>
        <v>#REF!</v>
      </c>
      <c r="Y18" s="26" t="e">
        <f>VLOOKUP($A18,'HALF YEARLY'!$1:$1048576,13,0)</f>
        <v>#REF!</v>
      </c>
      <c r="Z18" s="26" t="e">
        <f>VLOOKUP($A18,'HALF YEARLY'!$1:$1048576,14,0)</f>
        <v>#REF!</v>
      </c>
      <c r="AA18" s="31" t="e">
        <f>VLOOKUP($A18,'HALF YEARLY'!$1:$1048576,15,0)</f>
        <v>#REF!</v>
      </c>
    </row>
    <row r="19" spans="1:27" x14ac:dyDescent="0.3">
      <c r="A19" s="3" t="e">
        <f>DETAILS!#REF!</f>
        <v>#REF!</v>
      </c>
      <c r="B19" s="3" t="e">
        <f>DETAILS!#REF!</f>
        <v>#REF!</v>
      </c>
      <c r="C19" s="26" t="e">
        <f>VLOOKUP($A19,'UT-I '!$1:$1048576,3,0)</f>
        <v>#REF!</v>
      </c>
      <c r="D19" s="26" t="e">
        <f>IFERROR(ROUND(VLOOKUP($A19,'HALF YEARLY'!$1:$1048576,3,0)*0.8,0),VLOOKUP($A19,'HALF YEARLY'!$1:$1048576,3,0))</f>
        <v>#REF!</v>
      </c>
      <c r="E19" s="32" t="e">
        <f t="shared" si="0"/>
        <v>#REF!</v>
      </c>
      <c r="F19" s="26" t="e">
        <f>VLOOKUP($A19,'UT-I '!$1:$1048576,4,0)</f>
        <v>#REF!</v>
      </c>
      <c r="G19" s="26" t="e">
        <f>IFERROR(ROUND(VLOOKUP($A19,'HALF YEARLY'!$1:$1048576,4,0)*0.8,0),VLOOKUP($A19,'HALF YEARLY'!$1:$1048576,4,0))</f>
        <v>#REF!</v>
      </c>
      <c r="H19" s="32" t="e">
        <f t="shared" si="1"/>
        <v>#REF!</v>
      </c>
      <c r="I19" s="26" t="e">
        <f>VLOOKUP($A19,'UT-I '!$1:$1048576,5,0)</f>
        <v>#REF!</v>
      </c>
      <c r="J19" s="26" t="e">
        <f>IFERROR(ROUND(VLOOKUP($A19,'HALF YEARLY'!$1:$1048576,5,0)*0.8,0),VLOOKUP($A19,'HALF YEARLY'!$1:$1048576,5,0))</f>
        <v>#REF!</v>
      </c>
      <c r="K19" s="32" t="e">
        <f t="shared" si="2"/>
        <v>#REF!</v>
      </c>
      <c r="L19" s="26" t="e">
        <f>VLOOKUP($A19,'UT-I '!$1:$1048576,6,0)</f>
        <v>#REF!</v>
      </c>
      <c r="M19" s="26" t="e">
        <f>IFERROR(ROUND(VLOOKUP($A19,'HALF YEARLY'!$1:$1048576,6,0)*0.8,0),VLOOKUP($A19,'HALF YEARLY'!$1:$1048576,6,0))</f>
        <v>#REF!</v>
      </c>
      <c r="N19" s="32" t="e">
        <f t="shared" si="3"/>
        <v>#REF!</v>
      </c>
      <c r="O19" s="26" t="e">
        <f>VLOOKUP($A19,'UT-I '!$1:$1048576,7,0)</f>
        <v>#REF!</v>
      </c>
      <c r="P19" s="26" t="e">
        <f>IFERROR(ROUND(VLOOKUP($A19,'HALF YEARLY'!$1:$1048576,7,0)*0.8,0),VLOOKUP($A19,'HALF YEARLY'!$1:$1048576,7,0))</f>
        <v>#REF!</v>
      </c>
      <c r="Q19" s="32" t="e">
        <f t="shared" si="4"/>
        <v>#REF!</v>
      </c>
      <c r="R19" s="26" t="e">
        <f>VLOOKUP($A19,'UT-I '!$1:$1048576,8,0)</f>
        <v>#REF!</v>
      </c>
      <c r="S19" s="26" t="e">
        <f>IFERROR(ROUND(VLOOKUP($A19,'HALF YEARLY'!$1:$1048576,8,0)*0.8,0),VLOOKUP($A19,'HALF YEARLY'!$1:$1048576,8,0))</f>
        <v>#REF!</v>
      </c>
      <c r="T19" s="32" t="e">
        <f t="shared" si="5"/>
        <v>#REF!</v>
      </c>
      <c r="U19" s="26" t="e">
        <f>VLOOKUP($A19,'HALF YEARLY'!$1:$1048576,9,0)</f>
        <v>#REF!</v>
      </c>
      <c r="V19" s="26" t="e">
        <f>VLOOKUP($A19,'HALF YEARLY'!$1:$1048576,10,0)</f>
        <v>#REF!</v>
      </c>
      <c r="W19" s="26" t="e">
        <f>VLOOKUP($A19,'HALF YEARLY'!$1:$1048576,11,0)</f>
        <v>#REF!</v>
      </c>
      <c r="X19" s="26" t="e">
        <f>VLOOKUP($A19,'HALF YEARLY'!$1:$1048576,12,0)</f>
        <v>#REF!</v>
      </c>
      <c r="Y19" s="26" t="e">
        <f>VLOOKUP($A19,'HALF YEARLY'!$1:$1048576,13,0)</f>
        <v>#REF!</v>
      </c>
      <c r="Z19" s="26" t="e">
        <f>VLOOKUP($A19,'HALF YEARLY'!$1:$1048576,14,0)</f>
        <v>#REF!</v>
      </c>
      <c r="AA19" s="31" t="e">
        <f>VLOOKUP($A19,'HALF YEARLY'!$1:$1048576,15,0)</f>
        <v>#REF!</v>
      </c>
    </row>
    <row r="20" spans="1:27" x14ac:dyDescent="0.3">
      <c r="A20" s="3" t="e">
        <f>DETAILS!#REF!</f>
        <v>#REF!</v>
      </c>
      <c r="B20" s="3" t="e">
        <f>DETAILS!#REF!</f>
        <v>#REF!</v>
      </c>
      <c r="C20" s="26" t="e">
        <f>VLOOKUP($A20,'UT-I '!$1:$1048576,3,0)</f>
        <v>#REF!</v>
      </c>
      <c r="D20" s="26" t="e">
        <f>IFERROR(ROUND(VLOOKUP($A20,'HALF YEARLY'!$1:$1048576,3,0)*0.8,0),VLOOKUP($A20,'HALF YEARLY'!$1:$1048576,3,0))</f>
        <v>#REF!</v>
      </c>
      <c r="E20" s="32" t="e">
        <f t="shared" si="0"/>
        <v>#REF!</v>
      </c>
      <c r="F20" s="26" t="e">
        <f>VLOOKUP($A20,'UT-I '!$1:$1048576,4,0)</f>
        <v>#REF!</v>
      </c>
      <c r="G20" s="26" t="e">
        <f>IFERROR(ROUND(VLOOKUP($A20,'HALF YEARLY'!$1:$1048576,4,0)*0.8,0),VLOOKUP($A20,'HALF YEARLY'!$1:$1048576,4,0))</f>
        <v>#REF!</v>
      </c>
      <c r="H20" s="32" t="e">
        <f t="shared" si="1"/>
        <v>#REF!</v>
      </c>
      <c r="I20" s="26" t="e">
        <f>VLOOKUP($A20,'UT-I '!$1:$1048576,5,0)</f>
        <v>#REF!</v>
      </c>
      <c r="J20" s="26" t="e">
        <f>IFERROR(ROUND(VLOOKUP($A20,'HALF YEARLY'!$1:$1048576,5,0)*0.8,0),VLOOKUP($A20,'HALF YEARLY'!$1:$1048576,5,0))</f>
        <v>#REF!</v>
      </c>
      <c r="K20" s="32" t="e">
        <f t="shared" si="2"/>
        <v>#REF!</v>
      </c>
      <c r="L20" s="26" t="e">
        <f>VLOOKUP($A20,'UT-I '!$1:$1048576,6,0)</f>
        <v>#REF!</v>
      </c>
      <c r="M20" s="26" t="e">
        <f>IFERROR(ROUND(VLOOKUP($A20,'HALF YEARLY'!$1:$1048576,6,0)*0.8,0),VLOOKUP($A20,'HALF YEARLY'!$1:$1048576,6,0))</f>
        <v>#REF!</v>
      </c>
      <c r="N20" s="32" t="e">
        <f t="shared" si="3"/>
        <v>#REF!</v>
      </c>
      <c r="O20" s="26" t="e">
        <f>VLOOKUP($A20,'UT-I '!$1:$1048576,7,0)</f>
        <v>#REF!</v>
      </c>
      <c r="P20" s="26" t="e">
        <f>IFERROR(ROUND(VLOOKUP($A20,'HALF YEARLY'!$1:$1048576,7,0)*0.8,0),VLOOKUP($A20,'HALF YEARLY'!$1:$1048576,7,0))</f>
        <v>#REF!</v>
      </c>
      <c r="Q20" s="32" t="e">
        <f t="shared" si="4"/>
        <v>#REF!</v>
      </c>
      <c r="R20" s="26" t="e">
        <f>VLOOKUP($A20,'UT-I '!$1:$1048576,8,0)</f>
        <v>#REF!</v>
      </c>
      <c r="S20" s="26" t="e">
        <f>IFERROR(ROUND(VLOOKUP($A20,'HALF YEARLY'!$1:$1048576,8,0)*0.8,0),VLOOKUP($A20,'HALF YEARLY'!$1:$1048576,8,0))</f>
        <v>#REF!</v>
      </c>
      <c r="T20" s="32" t="e">
        <f t="shared" si="5"/>
        <v>#REF!</v>
      </c>
      <c r="U20" s="26" t="e">
        <f>VLOOKUP($A20,'HALF YEARLY'!$1:$1048576,9,0)</f>
        <v>#REF!</v>
      </c>
      <c r="V20" s="26" t="e">
        <f>VLOOKUP($A20,'HALF YEARLY'!$1:$1048576,10,0)</f>
        <v>#REF!</v>
      </c>
      <c r="W20" s="26" t="e">
        <f>VLOOKUP($A20,'HALF YEARLY'!$1:$1048576,11,0)</f>
        <v>#REF!</v>
      </c>
      <c r="X20" s="26" t="e">
        <f>VLOOKUP($A20,'HALF YEARLY'!$1:$1048576,12,0)</f>
        <v>#REF!</v>
      </c>
      <c r="Y20" s="26" t="e">
        <f>VLOOKUP($A20,'HALF YEARLY'!$1:$1048576,13,0)</f>
        <v>#REF!</v>
      </c>
      <c r="Z20" s="26" t="e">
        <f>VLOOKUP($A20,'HALF YEARLY'!$1:$1048576,14,0)</f>
        <v>#REF!</v>
      </c>
      <c r="AA20" s="31" t="e">
        <f>VLOOKUP($A20,'HALF YEARLY'!$1:$1048576,15,0)</f>
        <v>#REF!</v>
      </c>
    </row>
    <row r="21" spans="1:27" x14ac:dyDescent="0.3">
      <c r="A21" s="3" t="e">
        <f>DETAILS!#REF!</f>
        <v>#REF!</v>
      </c>
      <c r="B21" s="3" t="e">
        <f>DETAILS!#REF!</f>
        <v>#REF!</v>
      </c>
      <c r="C21" s="26" t="e">
        <f>VLOOKUP($A21,'UT-I '!$1:$1048576,3,0)</f>
        <v>#REF!</v>
      </c>
      <c r="D21" s="26" t="e">
        <f>IFERROR(ROUND(VLOOKUP($A21,'HALF YEARLY'!$1:$1048576,3,0)*0.8,0),VLOOKUP($A21,'HALF YEARLY'!$1:$1048576,3,0))</f>
        <v>#REF!</v>
      </c>
      <c r="E21" s="32" t="e">
        <f t="shared" si="0"/>
        <v>#REF!</v>
      </c>
      <c r="F21" s="26" t="e">
        <f>VLOOKUP($A21,'UT-I '!$1:$1048576,4,0)</f>
        <v>#REF!</v>
      </c>
      <c r="G21" s="26" t="e">
        <f>IFERROR(ROUND(VLOOKUP($A21,'HALF YEARLY'!$1:$1048576,4,0)*0.8,0),VLOOKUP($A21,'HALF YEARLY'!$1:$1048576,4,0))</f>
        <v>#REF!</v>
      </c>
      <c r="H21" s="32" t="e">
        <f t="shared" si="1"/>
        <v>#REF!</v>
      </c>
      <c r="I21" s="26" t="e">
        <f>VLOOKUP($A21,'UT-I '!$1:$1048576,5,0)</f>
        <v>#REF!</v>
      </c>
      <c r="J21" s="26" t="e">
        <f>IFERROR(ROUND(VLOOKUP($A21,'HALF YEARLY'!$1:$1048576,5,0)*0.8,0),VLOOKUP($A21,'HALF YEARLY'!$1:$1048576,5,0))</f>
        <v>#REF!</v>
      </c>
      <c r="K21" s="32" t="e">
        <f t="shared" si="2"/>
        <v>#REF!</v>
      </c>
      <c r="L21" s="26" t="e">
        <f>VLOOKUP($A21,'UT-I '!$1:$1048576,6,0)</f>
        <v>#REF!</v>
      </c>
      <c r="M21" s="26" t="e">
        <f>IFERROR(ROUND(VLOOKUP($A21,'HALF YEARLY'!$1:$1048576,6,0)*0.8,0),VLOOKUP($A21,'HALF YEARLY'!$1:$1048576,6,0))</f>
        <v>#REF!</v>
      </c>
      <c r="N21" s="32" t="e">
        <f t="shared" si="3"/>
        <v>#REF!</v>
      </c>
      <c r="O21" s="26" t="e">
        <f>VLOOKUP($A21,'UT-I '!$1:$1048576,7,0)</f>
        <v>#REF!</v>
      </c>
      <c r="P21" s="26" t="e">
        <f>IFERROR(ROUND(VLOOKUP($A21,'HALF YEARLY'!$1:$1048576,7,0)*0.8,0),VLOOKUP($A21,'HALF YEARLY'!$1:$1048576,7,0))</f>
        <v>#REF!</v>
      </c>
      <c r="Q21" s="32" t="e">
        <f t="shared" si="4"/>
        <v>#REF!</v>
      </c>
      <c r="R21" s="26" t="e">
        <f>VLOOKUP($A21,'UT-I '!$1:$1048576,8,0)</f>
        <v>#REF!</v>
      </c>
      <c r="S21" s="26" t="e">
        <f>IFERROR(ROUND(VLOOKUP($A21,'HALF YEARLY'!$1:$1048576,8,0)*0.8,0),VLOOKUP($A21,'HALF YEARLY'!$1:$1048576,8,0))</f>
        <v>#REF!</v>
      </c>
      <c r="T21" s="32" t="e">
        <f t="shared" si="5"/>
        <v>#REF!</v>
      </c>
      <c r="U21" s="26" t="e">
        <f>VLOOKUP($A21,'HALF YEARLY'!$1:$1048576,9,0)</f>
        <v>#REF!</v>
      </c>
      <c r="V21" s="26" t="e">
        <f>VLOOKUP($A21,'HALF YEARLY'!$1:$1048576,10,0)</f>
        <v>#REF!</v>
      </c>
      <c r="W21" s="26" t="e">
        <f>VLOOKUP($A21,'HALF YEARLY'!$1:$1048576,11,0)</f>
        <v>#REF!</v>
      </c>
      <c r="X21" s="26" t="e">
        <f>VLOOKUP($A21,'HALF YEARLY'!$1:$1048576,12,0)</f>
        <v>#REF!</v>
      </c>
      <c r="Y21" s="26" t="e">
        <f>VLOOKUP($A21,'HALF YEARLY'!$1:$1048576,13,0)</f>
        <v>#REF!</v>
      </c>
      <c r="Z21" s="26" t="e">
        <f>VLOOKUP($A21,'HALF YEARLY'!$1:$1048576,14,0)</f>
        <v>#REF!</v>
      </c>
      <c r="AA21" s="31" t="e">
        <f>VLOOKUP($A21,'HALF YEARLY'!$1:$1048576,15,0)</f>
        <v>#REF!</v>
      </c>
    </row>
    <row r="22" spans="1:27" x14ac:dyDescent="0.3">
      <c r="A22" s="3" t="e">
        <f>DETAILS!#REF!</f>
        <v>#REF!</v>
      </c>
      <c r="B22" s="3" t="e">
        <f>DETAILS!#REF!</f>
        <v>#REF!</v>
      </c>
      <c r="C22" s="26" t="e">
        <f>VLOOKUP($A22,'UT-I '!$1:$1048576,3,0)</f>
        <v>#REF!</v>
      </c>
      <c r="D22" s="26" t="e">
        <f>IFERROR(ROUND(VLOOKUP($A22,'HALF YEARLY'!$1:$1048576,3,0)*0.8,0),VLOOKUP($A22,'HALF YEARLY'!$1:$1048576,3,0))</f>
        <v>#REF!</v>
      </c>
      <c r="E22" s="32" t="e">
        <f t="shared" si="0"/>
        <v>#REF!</v>
      </c>
      <c r="F22" s="26" t="e">
        <f>VLOOKUP($A22,'UT-I '!$1:$1048576,4,0)</f>
        <v>#REF!</v>
      </c>
      <c r="G22" s="26" t="e">
        <f>IFERROR(ROUND(VLOOKUP($A22,'HALF YEARLY'!$1:$1048576,4,0)*0.8,0),VLOOKUP($A22,'HALF YEARLY'!$1:$1048576,4,0))</f>
        <v>#REF!</v>
      </c>
      <c r="H22" s="32" t="e">
        <f t="shared" si="1"/>
        <v>#REF!</v>
      </c>
      <c r="I22" s="26" t="e">
        <f>VLOOKUP($A22,'UT-I '!$1:$1048576,5,0)</f>
        <v>#REF!</v>
      </c>
      <c r="J22" s="26" t="e">
        <f>IFERROR(ROUND(VLOOKUP($A22,'HALF YEARLY'!$1:$1048576,5,0)*0.8,0),VLOOKUP($A22,'HALF YEARLY'!$1:$1048576,5,0))</f>
        <v>#REF!</v>
      </c>
      <c r="K22" s="32" t="e">
        <f t="shared" si="2"/>
        <v>#REF!</v>
      </c>
      <c r="L22" s="26" t="e">
        <f>VLOOKUP($A22,'UT-I '!$1:$1048576,6,0)</f>
        <v>#REF!</v>
      </c>
      <c r="M22" s="26" t="e">
        <f>IFERROR(ROUND(VLOOKUP($A22,'HALF YEARLY'!$1:$1048576,6,0)*0.8,0),VLOOKUP($A22,'HALF YEARLY'!$1:$1048576,6,0))</f>
        <v>#REF!</v>
      </c>
      <c r="N22" s="32" t="e">
        <f t="shared" si="3"/>
        <v>#REF!</v>
      </c>
      <c r="O22" s="26" t="e">
        <f>VLOOKUP($A22,'UT-I '!$1:$1048576,7,0)</f>
        <v>#REF!</v>
      </c>
      <c r="P22" s="26" t="e">
        <f>IFERROR(ROUND(VLOOKUP($A22,'HALF YEARLY'!$1:$1048576,7,0)*0.8,0),VLOOKUP($A22,'HALF YEARLY'!$1:$1048576,7,0))</f>
        <v>#REF!</v>
      </c>
      <c r="Q22" s="32" t="e">
        <f t="shared" si="4"/>
        <v>#REF!</v>
      </c>
      <c r="R22" s="26" t="e">
        <f>VLOOKUP($A22,'UT-I '!$1:$1048576,8,0)</f>
        <v>#REF!</v>
      </c>
      <c r="S22" s="26" t="e">
        <f>IFERROR(ROUND(VLOOKUP($A22,'HALF YEARLY'!$1:$1048576,8,0)*0.8,0),VLOOKUP($A22,'HALF YEARLY'!$1:$1048576,8,0))</f>
        <v>#REF!</v>
      </c>
      <c r="T22" s="32" t="e">
        <f t="shared" si="5"/>
        <v>#REF!</v>
      </c>
      <c r="U22" s="26" t="e">
        <f>VLOOKUP($A22,'HALF YEARLY'!$1:$1048576,9,0)</f>
        <v>#REF!</v>
      </c>
      <c r="V22" s="26" t="e">
        <f>VLOOKUP($A22,'HALF YEARLY'!$1:$1048576,10,0)</f>
        <v>#REF!</v>
      </c>
      <c r="W22" s="26" t="e">
        <f>VLOOKUP($A22,'HALF YEARLY'!$1:$1048576,11,0)</f>
        <v>#REF!</v>
      </c>
      <c r="X22" s="26" t="e">
        <f>VLOOKUP($A22,'HALF YEARLY'!$1:$1048576,12,0)</f>
        <v>#REF!</v>
      </c>
      <c r="Y22" s="26" t="e">
        <f>VLOOKUP($A22,'HALF YEARLY'!$1:$1048576,13,0)</f>
        <v>#REF!</v>
      </c>
      <c r="Z22" s="26" t="e">
        <f>VLOOKUP($A22,'HALF YEARLY'!$1:$1048576,14,0)</f>
        <v>#REF!</v>
      </c>
      <c r="AA22" s="31" t="e">
        <f>VLOOKUP($A22,'HALF YEARLY'!$1:$1048576,15,0)</f>
        <v>#REF!</v>
      </c>
    </row>
    <row r="23" spans="1:27" x14ac:dyDescent="0.3">
      <c r="A23" s="3" t="e">
        <f>DETAILS!#REF!</f>
        <v>#REF!</v>
      </c>
      <c r="B23" s="3" t="e">
        <f>DETAILS!#REF!</f>
        <v>#REF!</v>
      </c>
      <c r="C23" s="26" t="e">
        <f>VLOOKUP($A23,'UT-I '!$1:$1048576,3,0)</f>
        <v>#REF!</v>
      </c>
      <c r="D23" s="26" t="e">
        <f>IFERROR(ROUND(VLOOKUP($A23,'HALF YEARLY'!$1:$1048576,3,0)*0.8,0),VLOOKUP($A23,'HALF YEARLY'!$1:$1048576,3,0))</f>
        <v>#REF!</v>
      </c>
      <c r="E23" s="32" t="e">
        <f t="shared" si="0"/>
        <v>#REF!</v>
      </c>
      <c r="F23" s="26" t="e">
        <f>VLOOKUP($A23,'UT-I '!$1:$1048576,4,0)</f>
        <v>#REF!</v>
      </c>
      <c r="G23" s="26" t="e">
        <f>IFERROR(ROUND(VLOOKUP($A23,'HALF YEARLY'!$1:$1048576,4,0)*0.8,0),VLOOKUP($A23,'HALF YEARLY'!$1:$1048576,4,0))</f>
        <v>#REF!</v>
      </c>
      <c r="H23" s="32" t="e">
        <f t="shared" si="1"/>
        <v>#REF!</v>
      </c>
      <c r="I23" s="26" t="e">
        <f>VLOOKUP($A23,'UT-I '!$1:$1048576,5,0)</f>
        <v>#REF!</v>
      </c>
      <c r="J23" s="26" t="e">
        <f>IFERROR(ROUND(VLOOKUP($A23,'HALF YEARLY'!$1:$1048576,5,0)*0.8,0),VLOOKUP($A23,'HALF YEARLY'!$1:$1048576,5,0))</f>
        <v>#REF!</v>
      </c>
      <c r="K23" s="32" t="e">
        <f t="shared" si="2"/>
        <v>#REF!</v>
      </c>
      <c r="L23" s="26" t="e">
        <f>VLOOKUP($A23,'UT-I '!$1:$1048576,6,0)</f>
        <v>#REF!</v>
      </c>
      <c r="M23" s="26" t="e">
        <f>IFERROR(ROUND(VLOOKUP($A23,'HALF YEARLY'!$1:$1048576,6,0)*0.8,0),VLOOKUP($A23,'HALF YEARLY'!$1:$1048576,6,0))</f>
        <v>#REF!</v>
      </c>
      <c r="N23" s="32" t="e">
        <f t="shared" si="3"/>
        <v>#REF!</v>
      </c>
      <c r="O23" s="26" t="e">
        <f>VLOOKUP($A23,'UT-I '!$1:$1048576,7,0)</f>
        <v>#REF!</v>
      </c>
      <c r="P23" s="26" t="e">
        <f>IFERROR(ROUND(VLOOKUP($A23,'HALF YEARLY'!$1:$1048576,7,0)*0.8,0),VLOOKUP($A23,'HALF YEARLY'!$1:$1048576,7,0))</f>
        <v>#REF!</v>
      </c>
      <c r="Q23" s="32" t="e">
        <f t="shared" si="4"/>
        <v>#REF!</v>
      </c>
      <c r="R23" s="26" t="e">
        <f>VLOOKUP($A23,'UT-I '!$1:$1048576,8,0)</f>
        <v>#REF!</v>
      </c>
      <c r="S23" s="26" t="e">
        <f>IFERROR(ROUND(VLOOKUP($A23,'HALF YEARLY'!$1:$1048576,8,0)*0.8,0),VLOOKUP($A23,'HALF YEARLY'!$1:$1048576,8,0))</f>
        <v>#REF!</v>
      </c>
      <c r="T23" s="32" t="e">
        <f t="shared" si="5"/>
        <v>#REF!</v>
      </c>
      <c r="U23" s="26" t="e">
        <f>VLOOKUP($A23,'HALF YEARLY'!$1:$1048576,9,0)</f>
        <v>#REF!</v>
      </c>
      <c r="V23" s="26" t="e">
        <f>VLOOKUP($A23,'HALF YEARLY'!$1:$1048576,10,0)</f>
        <v>#REF!</v>
      </c>
      <c r="W23" s="26" t="e">
        <f>VLOOKUP($A23,'HALF YEARLY'!$1:$1048576,11,0)</f>
        <v>#REF!</v>
      </c>
      <c r="X23" s="26" t="e">
        <f>VLOOKUP($A23,'HALF YEARLY'!$1:$1048576,12,0)</f>
        <v>#REF!</v>
      </c>
      <c r="Y23" s="26" t="e">
        <f>VLOOKUP($A23,'HALF YEARLY'!$1:$1048576,13,0)</f>
        <v>#REF!</v>
      </c>
      <c r="Z23" s="26" t="e">
        <f>VLOOKUP($A23,'HALF YEARLY'!$1:$1048576,14,0)</f>
        <v>#REF!</v>
      </c>
      <c r="AA23" s="31" t="e">
        <f>VLOOKUP($A23,'HALF YEARLY'!$1:$1048576,15,0)</f>
        <v>#REF!</v>
      </c>
    </row>
    <row r="24" spans="1:27" x14ac:dyDescent="0.3">
      <c r="A24" s="3" t="e">
        <f>DETAILS!#REF!</f>
        <v>#REF!</v>
      </c>
      <c r="B24" s="3" t="e">
        <f>DETAILS!#REF!</f>
        <v>#REF!</v>
      </c>
      <c r="C24" s="26" t="e">
        <f>VLOOKUP($A24,'UT-I '!$1:$1048576,3,0)</f>
        <v>#REF!</v>
      </c>
      <c r="D24" s="26" t="e">
        <f>IFERROR(ROUND(VLOOKUP($A24,'HALF YEARLY'!$1:$1048576,3,0)*0.8,0),VLOOKUP($A24,'HALF YEARLY'!$1:$1048576,3,0))</f>
        <v>#REF!</v>
      </c>
      <c r="E24" s="32" t="e">
        <f t="shared" si="0"/>
        <v>#REF!</v>
      </c>
      <c r="F24" s="26" t="e">
        <f>VLOOKUP($A24,'UT-I '!$1:$1048576,4,0)</f>
        <v>#REF!</v>
      </c>
      <c r="G24" s="26" t="e">
        <f>IFERROR(ROUND(VLOOKUP($A24,'HALF YEARLY'!$1:$1048576,4,0)*0.8,0),VLOOKUP($A24,'HALF YEARLY'!$1:$1048576,4,0))</f>
        <v>#REF!</v>
      </c>
      <c r="H24" s="32" t="e">
        <f t="shared" si="1"/>
        <v>#REF!</v>
      </c>
      <c r="I24" s="26" t="e">
        <f>VLOOKUP($A24,'UT-I '!$1:$1048576,5,0)</f>
        <v>#REF!</v>
      </c>
      <c r="J24" s="26" t="e">
        <f>IFERROR(ROUND(VLOOKUP($A24,'HALF YEARLY'!$1:$1048576,5,0)*0.8,0),VLOOKUP($A24,'HALF YEARLY'!$1:$1048576,5,0))</f>
        <v>#REF!</v>
      </c>
      <c r="K24" s="32" t="e">
        <f t="shared" si="2"/>
        <v>#REF!</v>
      </c>
      <c r="L24" s="26" t="e">
        <f>VLOOKUP($A24,'UT-I '!$1:$1048576,6,0)</f>
        <v>#REF!</v>
      </c>
      <c r="M24" s="26" t="e">
        <f>IFERROR(ROUND(VLOOKUP($A24,'HALF YEARLY'!$1:$1048576,6,0)*0.8,0),VLOOKUP($A24,'HALF YEARLY'!$1:$1048576,6,0))</f>
        <v>#REF!</v>
      </c>
      <c r="N24" s="32" t="e">
        <f t="shared" si="3"/>
        <v>#REF!</v>
      </c>
      <c r="O24" s="26" t="e">
        <f>VLOOKUP($A24,'UT-I '!$1:$1048576,7,0)</f>
        <v>#REF!</v>
      </c>
      <c r="P24" s="26" t="e">
        <f>IFERROR(ROUND(VLOOKUP($A24,'HALF YEARLY'!$1:$1048576,7,0)*0.8,0),VLOOKUP($A24,'HALF YEARLY'!$1:$1048576,7,0))</f>
        <v>#REF!</v>
      </c>
      <c r="Q24" s="32" t="e">
        <f t="shared" si="4"/>
        <v>#REF!</v>
      </c>
      <c r="R24" s="26" t="e">
        <f>VLOOKUP($A24,'UT-I '!$1:$1048576,8,0)</f>
        <v>#REF!</v>
      </c>
      <c r="S24" s="26" t="e">
        <f>IFERROR(ROUND(VLOOKUP($A24,'HALF YEARLY'!$1:$1048576,8,0)*0.8,0),VLOOKUP($A24,'HALF YEARLY'!$1:$1048576,8,0))</f>
        <v>#REF!</v>
      </c>
      <c r="T24" s="32" t="e">
        <f t="shared" si="5"/>
        <v>#REF!</v>
      </c>
      <c r="U24" s="26" t="e">
        <f>VLOOKUP($A24,'HALF YEARLY'!$1:$1048576,9,0)</f>
        <v>#REF!</v>
      </c>
      <c r="V24" s="26" t="e">
        <f>VLOOKUP($A24,'HALF YEARLY'!$1:$1048576,10,0)</f>
        <v>#REF!</v>
      </c>
      <c r="W24" s="26" t="e">
        <f>VLOOKUP($A24,'HALF YEARLY'!$1:$1048576,11,0)</f>
        <v>#REF!</v>
      </c>
      <c r="X24" s="26" t="e">
        <f>VLOOKUP($A24,'HALF YEARLY'!$1:$1048576,12,0)</f>
        <v>#REF!</v>
      </c>
      <c r="Y24" s="26" t="e">
        <f>VLOOKUP($A24,'HALF YEARLY'!$1:$1048576,13,0)</f>
        <v>#REF!</v>
      </c>
      <c r="Z24" s="26" t="e">
        <f>VLOOKUP($A24,'HALF YEARLY'!$1:$1048576,14,0)</f>
        <v>#REF!</v>
      </c>
      <c r="AA24" s="31" t="e">
        <f>VLOOKUP($A24,'HALF YEARLY'!$1:$1048576,15,0)</f>
        <v>#REF!</v>
      </c>
    </row>
    <row r="25" spans="1:27" x14ac:dyDescent="0.3">
      <c r="A25" s="3" t="e">
        <f>DETAILS!#REF!</f>
        <v>#REF!</v>
      </c>
      <c r="B25" s="3" t="e">
        <f>DETAILS!#REF!</f>
        <v>#REF!</v>
      </c>
      <c r="C25" s="26" t="e">
        <f>VLOOKUP($A25,'UT-I '!$1:$1048576,3,0)</f>
        <v>#REF!</v>
      </c>
      <c r="D25" s="26" t="e">
        <f>IFERROR(ROUND(VLOOKUP($A25,'HALF YEARLY'!$1:$1048576,3,0)*0.8,0),VLOOKUP($A25,'HALF YEARLY'!$1:$1048576,3,0))</f>
        <v>#REF!</v>
      </c>
      <c r="E25" s="32" t="e">
        <f t="shared" si="0"/>
        <v>#REF!</v>
      </c>
      <c r="F25" s="26" t="e">
        <f>VLOOKUP($A25,'UT-I '!$1:$1048576,4,0)</f>
        <v>#REF!</v>
      </c>
      <c r="G25" s="26" t="e">
        <f>IFERROR(ROUND(VLOOKUP($A25,'HALF YEARLY'!$1:$1048576,4,0)*0.8,0),VLOOKUP($A25,'HALF YEARLY'!$1:$1048576,4,0))</f>
        <v>#REF!</v>
      </c>
      <c r="H25" s="32" t="e">
        <f t="shared" si="1"/>
        <v>#REF!</v>
      </c>
      <c r="I25" s="26" t="e">
        <f>VLOOKUP($A25,'UT-I '!$1:$1048576,5,0)</f>
        <v>#REF!</v>
      </c>
      <c r="J25" s="26" t="e">
        <f>IFERROR(ROUND(VLOOKUP($A25,'HALF YEARLY'!$1:$1048576,5,0)*0.8,0),VLOOKUP($A25,'HALF YEARLY'!$1:$1048576,5,0))</f>
        <v>#REF!</v>
      </c>
      <c r="K25" s="32" t="e">
        <f t="shared" si="2"/>
        <v>#REF!</v>
      </c>
      <c r="L25" s="26" t="e">
        <f>VLOOKUP($A25,'UT-I '!$1:$1048576,6,0)</f>
        <v>#REF!</v>
      </c>
      <c r="M25" s="26" t="e">
        <f>IFERROR(ROUND(VLOOKUP($A25,'HALF YEARLY'!$1:$1048576,6,0)*0.8,0),VLOOKUP($A25,'HALF YEARLY'!$1:$1048576,6,0))</f>
        <v>#REF!</v>
      </c>
      <c r="N25" s="32" t="e">
        <f t="shared" si="3"/>
        <v>#REF!</v>
      </c>
      <c r="O25" s="26" t="e">
        <f>VLOOKUP($A25,'UT-I '!$1:$1048576,7,0)</f>
        <v>#REF!</v>
      </c>
      <c r="P25" s="26" t="e">
        <f>IFERROR(ROUND(VLOOKUP($A25,'HALF YEARLY'!$1:$1048576,7,0)*0.8,0),VLOOKUP($A25,'HALF YEARLY'!$1:$1048576,7,0))</f>
        <v>#REF!</v>
      </c>
      <c r="Q25" s="32" t="e">
        <f t="shared" si="4"/>
        <v>#REF!</v>
      </c>
      <c r="R25" s="26" t="e">
        <f>VLOOKUP($A25,'UT-I '!$1:$1048576,8,0)</f>
        <v>#REF!</v>
      </c>
      <c r="S25" s="26" t="e">
        <f>IFERROR(ROUND(VLOOKUP($A25,'HALF YEARLY'!$1:$1048576,8,0)*0.8,0),VLOOKUP($A25,'HALF YEARLY'!$1:$1048576,8,0))</f>
        <v>#REF!</v>
      </c>
      <c r="T25" s="32" t="e">
        <f t="shared" si="5"/>
        <v>#REF!</v>
      </c>
      <c r="U25" s="26" t="e">
        <f>VLOOKUP($A25,'HALF YEARLY'!$1:$1048576,9,0)</f>
        <v>#REF!</v>
      </c>
      <c r="V25" s="26" t="e">
        <f>VLOOKUP($A25,'HALF YEARLY'!$1:$1048576,10,0)</f>
        <v>#REF!</v>
      </c>
      <c r="W25" s="26" t="e">
        <f>VLOOKUP($A25,'HALF YEARLY'!$1:$1048576,11,0)</f>
        <v>#REF!</v>
      </c>
      <c r="X25" s="26" t="e">
        <f>VLOOKUP($A25,'HALF YEARLY'!$1:$1048576,12,0)</f>
        <v>#REF!</v>
      </c>
      <c r="Y25" s="26" t="e">
        <f>VLOOKUP($A25,'HALF YEARLY'!$1:$1048576,13,0)</f>
        <v>#REF!</v>
      </c>
      <c r="Z25" s="26" t="e">
        <f>VLOOKUP($A25,'HALF YEARLY'!$1:$1048576,14,0)</f>
        <v>#REF!</v>
      </c>
      <c r="AA25" s="31" t="e">
        <f>VLOOKUP($A25,'HALF YEARLY'!$1:$1048576,15,0)</f>
        <v>#REF!</v>
      </c>
    </row>
    <row r="26" spans="1:27" x14ac:dyDescent="0.3">
      <c r="A26" s="3" t="e">
        <f>DETAILS!#REF!</f>
        <v>#REF!</v>
      </c>
      <c r="B26" s="3" t="e">
        <f>DETAILS!#REF!</f>
        <v>#REF!</v>
      </c>
      <c r="C26" s="26" t="e">
        <f>VLOOKUP($A26,'UT-I '!$1:$1048576,3,0)</f>
        <v>#REF!</v>
      </c>
      <c r="D26" s="26" t="e">
        <f>IFERROR(ROUND(VLOOKUP($A26,'HALF YEARLY'!$1:$1048576,3,0)*0.8,0),VLOOKUP($A26,'HALF YEARLY'!$1:$1048576,3,0))</f>
        <v>#REF!</v>
      </c>
      <c r="E26" s="32" t="e">
        <f t="shared" si="0"/>
        <v>#REF!</v>
      </c>
      <c r="F26" s="26" t="e">
        <f>VLOOKUP($A26,'UT-I '!$1:$1048576,4,0)</f>
        <v>#REF!</v>
      </c>
      <c r="G26" s="26" t="e">
        <f>IFERROR(ROUND(VLOOKUP($A26,'HALF YEARLY'!$1:$1048576,4,0)*0.8,0),VLOOKUP($A26,'HALF YEARLY'!$1:$1048576,4,0))</f>
        <v>#REF!</v>
      </c>
      <c r="H26" s="32" t="e">
        <f t="shared" si="1"/>
        <v>#REF!</v>
      </c>
      <c r="I26" s="26" t="e">
        <f>VLOOKUP($A26,'UT-I '!$1:$1048576,5,0)</f>
        <v>#REF!</v>
      </c>
      <c r="J26" s="26" t="e">
        <f>IFERROR(ROUND(VLOOKUP($A26,'HALF YEARLY'!$1:$1048576,5,0)*0.8,0),VLOOKUP($A26,'HALF YEARLY'!$1:$1048576,5,0))</f>
        <v>#REF!</v>
      </c>
      <c r="K26" s="32" t="e">
        <f t="shared" si="2"/>
        <v>#REF!</v>
      </c>
      <c r="L26" s="26" t="e">
        <f>VLOOKUP($A26,'UT-I '!$1:$1048576,6,0)</f>
        <v>#REF!</v>
      </c>
      <c r="M26" s="26" t="e">
        <f>IFERROR(ROUND(VLOOKUP($A26,'HALF YEARLY'!$1:$1048576,6,0)*0.8,0),VLOOKUP($A26,'HALF YEARLY'!$1:$1048576,6,0))</f>
        <v>#REF!</v>
      </c>
      <c r="N26" s="32" t="e">
        <f t="shared" si="3"/>
        <v>#REF!</v>
      </c>
      <c r="O26" s="26" t="e">
        <f>VLOOKUP($A26,'UT-I '!$1:$1048576,7,0)</f>
        <v>#REF!</v>
      </c>
      <c r="P26" s="26" t="e">
        <f>IFERROR(ROUND(VLOOKUP($A26,'HALF YEARLY'!$1:$1048576,7,0)*0.8,0),VLOOKUP($A26,'HALF YEARLY'!$1:$1048576,7,0))</f>
        <v>#REF!</v>
      </c>
      <c r="Q26" s="32" t="e">
        <f t="shared" si="4"/>
        <v>#REF!</v>
      </c>
      <c r="R26" s="26" t="e">
        <f>VLOOKUP($A26,'UT-I '!$1:$1048576,8,0)</f>
        <v>#REF!</v>
      </c>
      <c r="S26" s="26" t="e">
        <f>IFERROR(ROUND(VLOOKUP($A26,'HALF YEARLY'!$1:$1048576,8,0)*0.8,0),VLOOKUP($A26,'HALF YEARLY'!$1:$1048576,8,0))</f>
        <v>#REF!</v>
      </c>
      <c r="T26" s="32" t="e">
        <f t="shared" si="5"/>
        <v>#REF!</v>
      </c>
      <c r="U26" s="26" t="e">
        <f>VLOOKUP($A26,'HALF YEARLY'!$1:$1048576,9,0)</f>
        <v>#REF!</v>
      </c>
      <c r="V26" s="26" t="e">
        <f>VLOOKUP($A26,'HALF YEARLY'!$1:$1048576,10,0)</f>
        <v>#REF!</v>
      </c>
      <c r="W26" s="26" t="e">
        <f>VLOOKUP($A26,'HALF YEARLY'!$1:$1048576,11,0)</f>
        <v>#REF!</v>
      </c>
      <c r="X26" s="26" t="e">
        <f>VLOOKUP($A26,'HALF YEARLY'!$1:$1048576,12,0)</f>
        <v>#REF!</v>
      </c>
      <c r="Y26" s="26" t="e">
        <f>VLOOKUP($A26,'HALF YEARLY'!$1:$1048576,13,0)</f>
        <v>#REF!</v>
      </c>
      <c r="Z26" s="26" t="e">
        <f>VLOOKUP($A26,'HALF YEARLY'!$1:$1048576,14,0)</f>
        <v>#REF!</v>
      </c>
      <c r="AA26" s="31" t="e">
        <f>VLOOKUP($A26,'HALF YEARLY'!$1:$1048576,15,0)</f>
        <v>#REF!</v>
      </c>
    </row>
    <row r="27" spans="1:27" x14ac:dyDescent="0.3">
      <c r="A27" s="3" t="e">
        <f>DETAILS!#REF!</f>
        <v>#REF!</v>
      </c>
      <c r="B27" s="3" t="e">
        <f>DETAILS!#REF!</f>
        <v>#REF!</v>
      </c>
      <c r="C27" s="26" t="e">
        <f>VLOOKUP($A27,'UT-I '!$1:$1048576,3,0)</f>
        <v>#REF!</v>
      </c>
      <c r="D27" s="26" t="e">
        <f>IFERROR(ROUND(VLOOKUP($A27,'HALF YEARLY'!$1:$1048576,3,0)*0.8,0),VLOOKUP($A27,'HALF YEARLY'!$1:$1048576,3,0))</f>
        <v>#REF!</v>
      </c>
      <c r="E27" s="32" t="e">
        <f t="shared" si="0"/>
        <v>#REF!</v>
      </c>
      <c r="F27" s="26" t="e">
        <f>VLOOKUP($A27,'UT-I '!$1:$1048576,4,0)</f>
        <v>#REF!</v>
      </c>
      <c r="G27" s="26" t="e">
        <f>IFERROR(ROUND(VLOOKUP($A27,'HALF YEARLY'!$1:$1048576,4,0)*0.8,0),VLOOKUP($A27,'HALF YEARLY'!$1:$1048576,4,0))</f>
        <v>#REF!</v>
      </c>
      <c r="H27" s="32" t="e">
        <f t="shared" si="1"/>
        <v>#REF!</v>
      </c>
      <c r="I27" s="26" t="e">
        <f>VLOOKUP($A27,'UT-I '!$1:$1048576,5,0)</f>
        <v>#REF!</v>
      </c>
      <c r="J27" s="26" t="e">
        <f>IFERROR(ROUND(VLOOKUP($A27,'HALF YEARLY'!$1:$1048576,5,0)*0.8,0),VLOOKUP($A27,'HALF YEARLY'!$1:$1048576,5,0))</f>
        <v>#REF!</v>
      </c>
      <c r="K27" s="32" t="e">
        <f t="shared" si="2"/>
        <v>#REF!</v>
      </c>
      <c r="L27" s="26" t="e">
        <f>VLOOKUP($A27,'UT-I '!$1:$1048576,6,0)</f>
        <v>#REF!</v>
      </c>
      <c r="M27" s="26" t="e">
        <f>IFERROR(ROUND(VLOOKUP($A27,'HALF YEARLY'!$1:$1048576,6,0)*0.8,0),VLOOKUP($A27,'HALF YEARLY'!$1:$1048576,6,0))</f>
        <v>#REF!</v>
      </c>
      <c r="N27" s="32" t="e">
        <f t="shared" si="3"/>
        <v>#REF!</v>
      </c>
      <c r="O27" s="26" t="e">
        <f>VLOOKUP($A27,'UT-I '!$1:$1048576,7,0)</f>
        <v>#REF!</v>
      </c>
      <c r="P27" s="26" t="e">
        <f>IFERROR(ROUND(VLOOKUP($A27,'HALF YEARLY'!$1:$1048576,7,0)*0.8,0),VLOOKUP($A27,'HALF YEARLY'!$1:$1048576,7,0))</f>
        <v>#REF!</v>
      </c>
      <c r="Q27" s="32" t="e">
        <f t="shared" si="4"/>
        <v>#REF!</v>
      </c>
      <c r="R27" s="26" t="e">
        <f>VLOOKUP($A27,'UT-I '!$1:$1048576,8,0)</f>
        <v>#REF!</v>
      </c>
      <c r="S27" s="26" t="e">
        <f>IFERROR(ROUND(VLOOKUP($A27,'HALF YEARLY'!$1:$1048576,8,0)*0.8,0),VLOOKUP($A27,'HALF YEARLY'!$1:$1048576,8,0))</f>
        <v>#REF!</v>
      </c>
      <c r="T27" s="32" t="e">
        <f t="shared" si="5"/>
        <v>#REF!</v>
      </c>
      <c r="U27" s="26" t="e">
        <f>VLOOKUP($A27,'HALF YEARLY'!$1:$1048576,9,0)</f>
        <v>#REF!</v>
      </c>
      <c r="V27" s="26" t="e">
        <f>VLOOKUP($A27,'HALF YEARLY'!$1:$1048576,10,0)</f>
        <v>#REF!</v>
      </c>
      <c r="W27" s="26" t="e">
        <f>VLOOKUP($A27,'HALF YEARLY'!$1:$1048576,11,0)</f>
        <v>#REF!</v>
      </c>
      <c r="X27" s="26" t="e">
        <f>VLOOKUP($A27,'HALF YEARLY'!$1:$1048576,12,0)</f>
        <v>#REF!</v>
      </c>
      <c r="Y27" s="26" t="e">
        <f>VLOOKUP($A27,'HALF YEARLY'!$1:$1048576,13,0)</f>
        <v>#REF!</v>
      </c>
      <c r="Z27" s="26" t="e">
        <f>VLOOKUP($A27,'HALF YEARLY'!$1:$1048576,14,0)</f>
        <v>#REF!</v>
      </c>
      <c r="AA27" s="31" t="e">
        <f>VLOOKUP($A27,'HALF YEARLY'!$1:$1048576,15,0)</f>
        <v>#REF!</v>
      </c>
    </row>
    <row r="28" spans="1:27" x14ac:dyDescent="0.3">
      <c r="A28" s="3" t="e">
        <f>DETAILS!#REF!</f>
        <v>#REF!</v>
      </c>
      <c r="B28" s="3" t="e">
        <f>DETAILS!#REF!</f>
        <v>#REF!</v>
      </c>
      <c r="C28" s="26" t="e">
        <f>VLOOKUP($A28,'UT-I '!$1:$1048576,3,0)</f>
        <v>#REF!</v>
      </c>
      <c r="D28" s="26" t="e">
        <f>IFERROR(ROUND(VLOOKUP($A28,'HALF YEARLY'!$1:$1048576,3,0)*0.8,0),VLOOKUP($A28,'HALF YEARLY'!$1:$1048576,3,0))</f>
        <v>#REF!</v>
      </c>
      <c r="E28" s="32" t="e">
        <f t="shared" si="0"/>
        <v>#REF!</v>
      </c>
      <c r="F28" s="26" t="e">
        <f>VLOOKUP($A28,'UT-I '!$1:$1048576,4,0)</f>
        <v>#REF!</v>
      </c>
      <c r="G28" s="26" t="e">
        <f>IFERROR(ROUND(VLOOKUP($A28,'HALF YEARLY'!$1:$1048576,4,0)*0.8,0),VLOOKUP($A28,'HALF YEARLY'!$1:$1048576,4,0))</f>
        <v>#REF!</v>
      </c>
      <c r="H28" s="32" t="e">
        <f t="shared" si="1"/>
        <v>#REF!</v>
      </c>
      <c r="I28" s="26" t="e">
        <f>VLOOKUP($A28,'UT-I '!$1:$1048576,5,0)</f>
        <v>#REF!</v>
      </c>
      <c r="J28" s="26" t="e">
        <f>IFERROR(ROUND(VLOOKUP($A28,'HALF YEARLY'!$1:$1048576,5,0)*0.8,0),VLOOKUP($A28,'HALF YEARLY'!$1:$1048576,5,0))</f>
        <v>#REF!</v>
      </c>
      <c r="K28" s="32" t="e">
        <f t="shared" si="2"/>
        <v>#REF!</v>
      </c>
      <c r="L28" s="26" t="e">
        <f>VLOOKUP($A28,'UT-I '!$1:$1048576,6,0)</f>
        <v>#REF!</v>
      </c>
      <c r="M28" s="26" t="e">
        <f>IFERROR(ROUND(VLOOKUP($A28,'HALF YEARLY'!$1:$1048576,6,0)*0.8,0),VLOOKUP($A28,'HALF YEARLY'!$1:$1048576,6,0))</f>
        <v>#REF!</v>
      </c>
      <c r="N28" s="32" t="e">
        <f t="shared" si="3"/>
        <v>#REF!</v>
      </c>
      <c r="O28" s="26" t="e">
        <f>VLOOKUP($A28,'UT-I '!$1:$1048576,7,0)</f>
        <v>#REF!</v>
      </c>
      <c r="P28" s="26" t="e">
        <f>IFERROR(ROUND(VLOOKUP($A28,'HALF YEARLY'!$1:$1048576,7,0)*0.8,0),VLOOKUP($A28,'HALF YEARLY'!$1:$1048576,7,0))</f>
        <v>#REF!</v>
      </c>
      <c r="Q28" s="32" t="e">
        <f t="shared" si="4"/>
        <v>#REF!</v>
      </c>
      <c r="R28" s="26" t="e">
        <f>VLOOKUP($A28,'UT-I '!$1:$1048576,8,0)</f>
        <v>#REF!</v>
      </c>
      <c r="S28" s="26" t="e">
        <f>IFERROR(ROUND(VLOOKUP($A28,'HALF YEARLY'!$1:$1048576,8,0)*0.8,0),VLOOKUP($A28,'HALF YEARLY'!$1:$1048576,8,0))</f>
        <v>#REF!</v>
      </c>
      <c r="T28" s="32" t="e">
        <f t="shared" si="5"/>
        <v>#REF!</v>
      </c>
      <c r="U28" s="26" t="e">
        <f>VLOOKUP($A28,'HALF YEARLY'!$1:$1048576,9,0)</f>
        <v>#REF!</v>
      </c>
      <c r="V28" s="26" t="e">
        <f>VLOOKUP($A28,'HALF YEARLY'!$1:$1048576,10,0)</f>
        <v>#REF!</v>
      </c>
      <c r="W28" s="26" t="e">
        <f>VLOOKUP($A28,'HALF YEARLY'!$1:$1048576,11,0)</f>
        <v>#REF!</v>
      </c>
      <c r="X28" s="26" t="e">
        <f>VLOOKUP($A28,'HALF YEARLY'!$1:$1048576,12,0)</f>
        <v>#REF!</v>
      </c>
      <c r="Y28" s="26" t="e">
        <f>VLOOKUP($A28,'HALF YEARLY'!$1:$1048576,13,0)</f>
        <v>#REF!</v>
      </c>
      <c r="Z28" s="26" t="e">
        <f>VLOOKUP($A28,'HALF YEARLY'!$1:$1048576,14,0)</f>
        <v>#REF!</v>
      </c>
      <c r="AA28" s="31" t="e">
        <f>VLOOKUP($A28,'HALF YEARLY'!$1:$1048576,15,0)</f>
        <v>#REF!</v>
      </c>
    </row>
    <row r="29" spans="1:27" x14ac:dyDescent="0.3">
      <c r="A29" s="3" t="e">
        <f>DETAILS!#REF!</f>
        <v>#REF!</v>
      </c>
      <c r="B29" s="3" t="e">
        <f>DETAILS!#REF!</f>
        <v>#REF!</v>
      </c>
      <c r="C29" s="26" t="e">
        <f>VLOOKUP($A29,'UT-I '!$1:$1048576,3,0)</f>
        <v>#REF!</v>
      </c>
      <c r="D29" s="26" t="e">
        <f>IFERROR(ROUND(VLOOKUP($A29,'HALF YEARLY'!$1:$1048576,3,0)*0.8,0),VLOOKUP($A29,'HALF YEARLY'!$1:$1048576,3,0))</f>
        <v>#REF!</v>
      </c>
      <c r="E29" s="32" t="e">
        <f t="shared" si="0"/>
        <v>#REF!</v>
      </c>
      <c r="F29" s="26" t="e">
        <f>VLOOKUP($A29,'UT-I '!$1:$1048576,4,0)</f>
        <v>#REF!</v>
      </c>
      <c r="G29" s="26" t="e">
        <f>IFERROR(ROUND(VLOOKUP($A29,'HALF YEARLY'!$1:$1048576,4,0)*0.8,0),VLOOKUP($A29,'HALF YEARLY'!$1:$1048576,4,0))</f>
        <v>#REF!</v>
      </c>
      <c r="H29" s="32" t="e">
        <f t="shared" si="1"/>
        <v>#REF!</v>
      </c>
      <c r="I29" s="26" t="e">
        <f>VLOOKUP($A29,'UT-I '!$1:$1048576,5,0)</f>
        <v>#REF!</v>
      </c>
      <c r="J29" s="26" t="e">
        <f>IFERROR(ROUND(VLOOKUP($A29,'HALF YEARLY'!$1:$1048576,5,0)*0.8,0),VLOOKUP($A29,'HALF YEARLY'!$1:$1048576,5,0))</f>
        <v>#REF!</v>
      </c>
      <c r="K29" s="32" t="e">
        <f t="shared" si="2"/>
        <v>#REF!</v>
      </c>
      <c r="L29" s="26" t="e">
        <f>VLOOKUP($A29,'UT-I '!$1:$1048576,6,0)</f>
        <v>#REF!</v>
      </c>
      <c r="M29" s="26" t="e">
        <f>IFERROR(ROUND(VLOOKUP($A29,'HALF YEARLY'!$1:$1048576,6,0)*0.8,0),VLOOKUP($A29,'HALF YEARLY'!$1:$1048576,6,0))</f>
        <v>#REF!</v>
      </c>
      <c r="N29" s="32" t="e">
        <f t="shared" si="3"/>
        <v>#REF!</v>
      </c>
      <c r="O29" s="26" t="e">
        <f>VLOOKUP($A29,'UT-I '!$1:$1048576,7,0)</f>
        <v>#REF!</v>
      </c>
      <c r="P29" s="26" t="e">
        <f>IFERROR(ROUND(VLOOKUP($A29,'HALF YEARLY'!$1:$1048576,7,0)*0.8,0),VLOOKUP($A29,'HALF YEARLY'!$1:$1048576,7,0))</f>
        <v>#REF!</v>
      </c>
      <c r="Q29" s="32" t="e">
        <f t="shared" si="4"/>
        <v>#REF!</v>
      </c>
      <c r="R29" s="26" t="e">
        <f>VLOOKUP($A29,'UT-I '!$1:$1048576,8,0)</f>
        <v>#REF!</v>
      </c>
      <c r="S29" s="26" t="e">
        <f>IFERROR(ROUND(VLOOKUP($A29,'HALF YEARLY'!$1:$1048576,8,0)*0.8,0),VLOOKUP($A29,'HALF YEARLY'!$1:$1048576,8,0))</f>
        <v>#REF!</v>
      </c>
      <c r="T29" s="32" t="e">
        <f t="shared" si="5"/>
        <v>#REF!</v>
      </c>
      <c r="U29" s="26" t="e">
        <f>VLOOKUP($A29,'HALF YEARLY'!$1:$1048576,9,0)</f>
        <v>#REF!</v>
      </c>
      <c r="V29" s="26" t="e">
        <f>VLOOKUP($A29,'HALF YEARLY'!$1:$1048576,10,0)</f>
        <v>#REF!</v>
      </c>
      <c r="W29" s="26" t="e">
        <f>VLOOKUP($A29,'HALF YEARLY'!$1:$1048576,11,0)</f>
        <v>#REF!</v>
      </c>
      <c r="X29" s="26" t="e">
        <f>VLOOKUP($A29,'HALF YEARLY'!$1:$1048576,12,0)</f>
        <v>#REF!</v>
      </c>
      <c r="Y29" s="26" t="e">
        <f>VLOOKUP($A29,'HALF YEARLY'!$1:$1048576,13,0)</f>
        <v>#REF!</v>
      </c>
      <c r="Z29" s="26" t="e">
        <f>VLOOKUP($A29,'HALF YEARLY'!$1:$1048576,14,0)</f>
        <v>#REF!</v>
      </c>
      <c r="AA29" s="31" t="e">
        <f>VLOOKUP($A29,'HALF YEARLY'!$1:$1048576,15,0)</f>
        <v>#REF!</v>
      </c>
    </row>
    <row r="30" spans="1:27" x14ac:dyDescent="0.3">
      <c r="A30" s="3" t="e">
        <f>DETAILS!#REF!</f>
        <v>#REF!</v>
      </c>
      <c r="B30" s="3" t="e">
        <f>DETAILS!#REF!</f>
        <v>#REF!</v>
      </c>
      <c r="C30" s="26" t="e">
        <f>VLOOKUP($A30,'UT-I '!$1:$1048576,3,0)</f>
        <v>#REF!</v>
      </c>
      <c r="D30" s="26" t="e">
        <f>IFERROR(ROUND(VLOOKUP($A30,'HALF YEARLY'!$1:$1048576,3,0)*0.8,0),VLOOKUP($A30,'HALF YEARLY'!$1:$1048576,3,0))</f>
        <v>#REF!</v>
      </c>
      <c r="E30" s="32" t="e">
        <f t="shared" si="0"/>
        <v>#REF!</v>
      </c>
      <c r="F30" s="26" t="e">
        <f>VLOOKUP($A30,'UT-I '!$1:$1048576,4,0)</f>
        <v>#REF!</v>
      </c>
      <c r="G30" s="26" t="e">
        <f>IFERROR(ROUND(VLOOKUP($A30,'HALF YEARLY'!$1:$1048576,4,0)*0.8,0),VLOOKUP($A30,'HALF YEARLY'!$1:$1048576,4,0))</f>
        <v>#REF!</v>
      </c>
      <c r="H30" s="32" t="e">
        <f t="shared" si="1"/>
        <v>#REF!</v>
      </c>
      <c r="I30" s="26" t="e">
        <f>VLOOKUP($A30,'UT-I '!$1:$1048576,5,0)</f>
        <v>#REF!</v>
      </c>
      <c r="J30" s="26" t="e">
        <f>IFERROR(ROUND(VLOOKUP($A30,'HALF YEARLY'!$1:$1048576,5,0)*0.8,0),VLOOKUP($A30,'HALF YEARLY'!$1:$1048576,5,0))</f>
        <v>#REF!</v>
      </c>
      <c r="K30" s="32" t="e">
        <f t="shared" si="2"/>
        <v>#REF!</v>
      </c>
      <c r="L30" s="26" t="e">
        <f>VLOOKUP($A30,'UT-I '!$1:$1048576,6,0)</f>
        <v>#REF!</v>
      </c>
      <c r="M30" s="26" t="e">
        <f>IFERROR(ROUND(VLOOKUP($A30,'HALF YEARLY'!$1:$1048576,6,0)*0.8,0),VLOOKUP($A30,'HALF YEARLY'!$1:$1048576,6,0))</f>
        <v>#REF!</v>
      </c>
      <c r="N30" s="32" t="e">
        <f t="shared" si="3"/>
        <v>#REF!</v>
      </c>
      <c r="O30" s="26" t="e">
        <f>VLOOKUP($A30,'UT-I '!$1:$1048576,7,0)</f>
        <v>#REF!</v>
      </c>
      <c r="P30" s="26" t="e">
        <f>IFERROR(ROUND(VLOOKUP($A30,'HALF YEARLY'!$1:$1048576,7,0)*0.8,0),VLOOKUP($A30,'HALF YEARLY'!$1:$1048576,7,0))</f>
        <v>#REF!</v>
      </c>
      <c r="Q30" s="32" t="e">
        <f t="shared" si="4"/>
        <v>#REF!</v>
      </c>
      <c r="R30" s="26" t="e">
        <f>VLOOKUP($A30,'UT-I '!$1:$1048576,8,0)</f>
        <v>#REF!</v>
      </c>
      <c r="S30" s="26" t="e">
        <f>IFERROR(ROUND(VLOOKUP($A30,'HALF YEARLY'!$1:$1048576,8,0)*0.8,0),VLOOKUP($A30,'HALF YEARLY'!$1:$1048576,8,0))</f>
        <v>#REF!</v>
      </c>
      <c r="T30" s="32" t="e">
        <f t="shared" si="5"/>
        <v>#REF!</v>
      </c>
      <c r="U30" s="26" t="e">
        <f>VLOOKUP($A30,'HALF YEARLY'!$1:$1048576,9,0)</f>
        <v>#REF!</v>
      </c>
      <c r="V30" s="26" t="e">
        <f>VLOOKUP($A30,'HALF YEARLY'!$1:$1048576,10,0)</f>
        <v>#REF!</v>
      </c>
      <c r="W30" s="26" t="e">
        <f>VLOOKUP($A30,'HALF YEARLY'!$1:$1048576,11,0)</f>
        <v>#REF!</v>
      </c>
      <c r="X30" s="26" t="e">
        <f>VLOOKUP($A30,'HALF YEARLY'!$1:$1048576,12,0)</f>
        <v>#REF!</v>
      </c>
      <c r="Y30" s="26" t="e">
        <f>VLOOKUP($A30,'HALF YEARLY'!$1:$1048576,13,0)</f>
        <v>#REF!</v>
      </c>
      <c r="Z30" s="26" t="e">
        <f>VLOOKUP($A30,'HALF YEARLY'!$1:$1048576,14,0)</f>
        <v>#REF!</v>
      </c>
      <c r="AA30" s="31" t="e">
        <f>VLOOKUP($A30,'HALF YEARLY'!$1:$1048576,15,0)</f>
        <v>#REF!</v>
      </c>
    </row>
    <row r="31" spans="1:27" x14ac:dyDescent="0.3">
      <c r="A31" s="3" t="e">
        <f>DETAILS!#REF!</f>
        <v>#REF!</v>
      </c>
      <c r="B31" s="3" t="e">
        <f>DETAILS!#REF!</f>
        <v>#REF!</v>
      </c>
      <c r="C31" s="26" t="e">
        <f>VLOOKUP($A31,'UT-I '!$1:$1048576,3,0)</f>
        <v>#REF!</v>
      </c>
      <c r="D31" s="26" t="e">
        <f>IFERROR(ROUND(VLOOKUP($A31,'HALF YEARLY'!$1:$1048576,3,0)*0.8,0),VLOOKUP($A31,'HALF YEARLY'!$1:$1048576,3,0))</f>
        <v>#REF!</v>
      </c>
      <c r="E31" s="32" t="e">
        <f t="shared" si="0"/>
        <v>#REF!</v>
      </c>
      <c r="F31" s="26" t="e">
        <f>VLOOKUP($A31,'UT-I '!$1:$1048576,4,0)</f>
        <v>#REF!</v>
      </c>
      <c r="G31" s="26" t="e">
        <f>IFERROR(ROUND(VLOOKUP($A31,'HALF YEARLY'!$1:$1048576,4,0)*0.8,0),VLOOKUP($A31,'HALF YEARLY'!$1:$1048576,4,0))</f>
        <v>#REF!</v>
      </c>
      <c r="H31" s="32" t="e">
        <f t="shared" si="1"/>
        <v>#REF!</v>
      </c>
      <c r="I31" s="26" t="e">
        <f>VLOOKUP($A31,'UT-I '!$1:$1048576,5,0)</f>
        <v>#REF!</v>
      </c>
      <c r="J31" s="26" t="e">
        <f>IFERROR(ROUND(VLOOKUP($A31,'HALF YEARLY'!$1:$1048576,5,0)*0.8,0),VLOOKUP($A31,'HALF YEARLY'!$1:$1048576,5,0))</f>
        <v>#REF!</v>
      </c>
      <c r="K31" s="32" t="e">
        <f t="shared" si="2"/>
        <v>#REF!</v>
      </c>
      <c r="L31" s="26" t="e">
        <f>VLOOKUP($A31,'UT-I '!$1:$1048576,6,0)</f>
        <v>#REF!</v>
      </c>
      <c r="M31" s="26" t="e">
        <f>IFERROR(ROUND(VLOOKUP($A31,'HALF YEARLY'!$1:$1048576,6,0)*0.8,0),VLOOKUP($A31,'HALF YEARLY'!$1:$1048576,6,0))</f>
        <v>#REF!</v>
      </c>
      <c r="N31" s="32" t="e">
        <f t="shared" si="3"/>
        <v>#REF!</v>
      </c>
      <c r="O31" s="26" t="e">
        <f>VLOOKUP($A31,'UT-I '!$1:$1048576,7,0)</f>
        <v>#REF!</v>
      </c>
      <c r="P31" s="26" t="e">
        <f>IFERROR(ROUND(VLOOKUP($A31,'HALF YEARLY'!$1:$1048576,7,0)*0.8,0),VLOOKUP($A31,'HALF YEARLY'!$1:$1048576,7,0))</f>
        <v>#REF!</v>
      </c>
      <c r="Q31" s="32" t="e">
        <f t="shared" si="4"/>
        <v>#REF!</v>
      </c>
      <c r="R31" s="26" t="e">
        <f>VLOOKUP($A31,'UT-I '!$1:$1048576,8,0)</f>
        <v>#REF!</v>
      </c>
      <c r="S31" s="26" t="e">
        <f>IFERROR(ROUND(VLOOKUP($A31,'HALF YEARLY'!$1:$1048576,8,0)*0.8,0),VLOOKUP($A31,'HALF YEARLY'!$1:$1048576,8,0))</f>
        <v>#REF!</v>
      </c>
      <c r="T31" s="32" t="e">
        <f t="shared" si="5"/>
        <v>#REF!</v>
      </c>
      <c r="U31" s="26" t="e">
        <f>VLOOKUP($A31,'HALF YEARLY'!$1:$1048576,9,0)</f>
        <v>#REF!</v>
      </c>
      <c r="V31" s="26" t="e">
        <f>VLOOKUP($A31,'HALF YEARLY'!$1:$1048576,10,0)</f>
        <v>#REF!</v>
      </c>
      <c r="W31" s="26" t="e">
        <f>VLOOKUP($A31,'HALF YEARLY'!$1:$1048576,11,0)</f>
        <v>#REF!</v>
      </c>
      <c r="X31" s="26" t="e">
        <f>VLOOKUP($A31,'HALF YEARLY'!$1:$1048576,12,0)</f>
        <v>#REF!</v>
      </c>
      <c r="Y31" s="26" t="e">
        <f>VLOOKUP($A31,'HALF YEARLY'!$1:$1048576,13,0)</f>
        <v>#REF!</v>
      </c>
      <c r="Z31" s="26" t="e">
        <f>VLOOKUP($A31,'HALF YEARLY'!$1:$1048576,14,0)</f>
        <v>#REF!</v>
      </c>
      <c r="AA31" s="31" t="e">
        <f>VLOOKUP($A31,'HALF YEARLY'!$1:$1048576,15,0)</f>
        <v>#REF!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AB2:AB3"/>
    <mergeCell ref="U2:U3"/>
    <mergeCell ref="V2:V3"/>
    <mergeCell ref="W2:W3"/>
    <mergeCell ref="X2:X3"/>
    <mergeCell ref="Y2:Y3"/>
    <mergeCell ref="Z2:Z3"/>
    <mergeCell ref="AA2:AA3"/>
    <mergeCell ref="L2:N2"/>
    <mergeCell ref="R2:T2"/>
    <mergeCell ref="A1:AA1"/>
    <mergeCell ref="A2:A3"/>
    <mergeCell ref="B2:B3"/>
    <mergeCell ref="C2:E2"/>
    <mergeCell ref="F2:H2"/>
    <mergeCell ref="I2:K2"/>
    <mergeCell ref="O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topLeftCell="A4" zoomScaleNormal="100" workbookViewId="0">
      <selection activeCell="Q19" sqref="Q19"/>
    </sheetView>
  </sheetViews>
  <sheetFormatPr defaultRowHeight="14.4" x14ac:dyDescent="0.3"/>
  <cols>
    <col min="1" max="1" width="1.6640625" customWidth="1"/>
    <col min="2" max="2" width="14.88671875" customWidth="1"/>
    <col min="3" max="12" width="7.2187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68"/>
      <c r="C1" s="68"/>
      <c r="D1" s="68"/>
      <c r="E1" s="68"/>
      <c r="F1" s="68"/>
      <c r="G1" s="68"/>
      <c r="H1" s="68"/>
      <c r="I1" s="68"/>
      <c r="J1" s="68"/>
      <c r="K1" s="68"/>
      <c r="L1" s="7"/>
      <c r="M1" s="7"/>
      <c r="N1" s="8"/>
    </row>
    <row r="2" spans="1:14" ht="32.4" x14ac:dyDescent="0.3">
      <c r="A2" s="9"/>
      <c r="B2" s="69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10"/>
    </row>
    <row r="3" spans="1:14" ht="18" customHeight="1" x14ac:dyDescent="0.3">
      <c r="A3" s="9"/>
      <c r="B3" s="70" t="s">
        <v>1</v>
      </c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10"/>
    </row>
    <row r="4" spans="1:14" ht="16.2" customHeight="1" x14ac:dyDescent="0.3">
      <c r="A4" s="9"/>
      <c r="B4" s="71" t="s">
        <v>58</v>
      </c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10"/>
    </row>
    <row r="5" spans="1:14" ht="16.2" customHeight="1" x14ac:dyDescent="0.3">
      <c r="A5" s="9"/>
      <c r="B5" s="71" t="s">
        <v>2</v>
      </c>
      <c r="C5" s="71"/>
      <c r="D5" s="71"/>
      <c r="E5" s="71"/>
      <c r="F5" s="71"/>
      <c r="G5" s="71"/>
      <c r="H5" s="71"/>
      <c r="I5" s="71"/>
      <c r="J5" s="71"/>
      <c r="K5" s="71"/>
      <c r="L5" s="71"/>
      <c r="M5" s="71"/>
      <c r="N5" s="10"/>
    </row>
    <row r="6" spans="1:14" ht="18" customHeight="1" x14ac:dyDescent="0.3">
      <c r="A6" s="9"/>
      <c r="B6" s="63" t="s">
        <v>68</v>
      </c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10"/>
    </row>
    <row r="7" spans="1:14" ht="20.25" customHeight="1" x14ac:dyDescent="0.3">
      <c r="A7" s="9"/>
      <c r="B7" s="64" t="s">
        <v>73</v>
      </c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10"/>
    </row>
    <row r="8" spans="1:14" ht="18" customHeight="1" x14ac:dyDescent="0.3">
      <c r="A8" s="9"/>
      <c r="B8" s="65" t="s">
        <v>4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10"/>
    </row>
    <row r="9" spans="1:14" x14ac:dyDescent="0.3">
      <c r="A9" s="9"/>
      <c r="B9" s="4" t="s">
        <v>5</v>
      </c>
      <c r="C9" s="66" t="e">
        <f>":      "&amp;VLOOKUP($K$9,DETAILS!$1:$1048576,2,0)</f>
        <v>#N/A</v>
      </c>
      <c r="D9" s="66"/>
      <c r="E9" s="66"/>
      <c r="F9" s="66"/>
      <c r="G9" s="66"/>
      <c r="I9" s="66" t="s">
        <v>53</v>
      </c>
      <c r="J9" s="66"/>
      <c r="K9" s="66">
        <v>1</v>
      </c>
      <c r="L9" s="66"/>
      <c r="M9" s="67"/>
      <c r="N9" s="10"/>
    </row>
    <row r="10" spans="1:14" x14ac:dyDescent="0.3">
      <c r="A10" s="9"/>
      <c r="B10" s="4" t="s">
        <v>6</v>
      </c>
      <c r="C10" s="74" t="e">
        <f>":      "&amp;VLOOKUP($K$9,DETAILS!$1:$1048576,3,0)</f>
        <v>#N/A</v>
      </c>
      <c r="D10" s="74"/>
      <c r="E10" s="74"/>
      <c r="F10" s="74"/>
      <c r="G10" s="74"/>
      <c r="I10" s="74" t="s">
        <v>54</v>
      </c>
      <c r="J10" s="74"/>
      <c r="K10" s="74" t="e">
        <f>VLOOKUP($K$9,DETAILS!$1:$1048576,6,0)</f>
        <v>#N/A</v>
      </c>
      <c r="L10" s="74"/>
      <c r="M10" s="75"/>
      <c r="N10" s="10"/>
    </row>
    <row r="11" spans="1:14" x14ac:dyDescent="0.3">
      <c r="A11" s="9"/>
      <c r="B11" s="5" t="s">
        <v>7</v>
      </c>
      <c r="C11" s="72" t="e">
        <f>":      "&amp;VLOOKUP($K$9,DETAILS!$1:$1048576,4,0)</f>
        <v>#N/A</v>
      </c>
      <c r="D11" s="72"/>
      <c r="E11" s="72"/>
      <c r="F11" s="72"/>
      <c r="G11" s="72"/>
      <c r="H11" s="2"/>
      <c r="I11" s="72" t="s">
        <v>55</v>
      </c>
      <c r="J11" s="72"/>
      <c r="K11" s="72" t="e">
        <f>VLOOKUP($K$9,DETAILS!$1:$1048576,5,0)</f>
        <v>#N/A</v>
      </c>
      <c r="L11" s="72"/>
      <c r="M11" s="73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5" t="s">
        <v>56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10"/>
    </row>
    <row r="14" spans="1:14" ht="61.5" customHeight="1" x14ac:dyDescent="0.3">
      <c r="A14" s="9"/>
      <c r="B14" s="89" t="s">
        <v>31</v>
      </c>
      <c r="C14" s="89"/>
      <c r="D14" s="88" t="s">
        <v>75</v>
      </c>
      <c r="E14" s="88"/>
      <c r="F14" s="88"/>
      <c r="G14" s="88" t="s">
        <v>67</v>
      </c>
      <c r="H14" s="88"/>
      <c r="I14" s="88"/>
      <c r="J14" s="88"/>
      <c r="K14" s="88" t="s">
        <v>76</v>
      </c>
      <c r="L14" s="88"/>
      <c r="M14" s="88"/>
      <c r="N14" s="10"/>
    </row>
    <row r="15" spans="1:14" x14ac:dyDescent="0.3">
      <c r="A15" s="9"/>
      <c r="B15" s="87" t="s">
        <v>97</v>
      </c>
      <c r="C15" s="87"/>
      <c r="D15" s="81" t="e">
        <f>VLOOKUP($K$9,'HY Compile'!$1:$1048576,3,0)</f>
        <v>#N/A</v>
      </c>
      <c r="E15" s="81"/>
      <c r="F15" s="81"/>
      <c r="G15" s="81" t="e">
        <f>VLOOKUP($K$9,'HY Compile'!$1:$1048576,4,0)</f>
        <v>#N/A</v>
      </c>
      <c r="H15" s="81"/>
      <c r="I15" s="81"/>
      <c r="J15" s="81"/>
      <c r="K15" s="81" t="e">
        <f t="shared" ref="K15:K20" si="0">SUM(D15:J15)</f>
        <v>#N/A</v>
      </c>
      <c r="L15" s="81"/>
      <c r="M15" s="81"/>
      <c r="N15" s="10"/>
    </row>
    <row r="16" spans="1:14" x14ac:dyDescent="0.3">
      <c r="A16" s="9"/>
      <c r="B16" s="87" t="e">
        <f>VLOOKUP($K$9,DETAILS!$1:$1048576,7,0)</f>
        <v>#N/A</v>
      </c>
      <c r="C16" s="87"/>
      <c r="D16" s="81" t="e">
        <f>VLOOKUP($K$9,'HY Compile'!$1:$1048576,6,0)</f>
        <v>#N/A</v>
      </c>
      <c r="E16" s="81"/>
      <c r="F16" s="81"/>
      <c r="G16" s="81" t="e">
        <f>VLOOKUP($K$9,'HY Compile'!$1:$1048576,7,0)</f>
        <v>#N/A</v>
      </c>
      <c r="H16" s="81"/>
      <c r="I16" s="81"/>
      <c r="J16" s="81"/>
      <c r="K16" s="81" t="e">
        <f t="shared" si="0"/>
        <v>#N/A</v>
      </c>
      <c r="L16" s="81"/>
      <c r="M16" s="81"/>
      <c r="N16" s="10"/>
    </row>
    <row r="17" spans="1:14" x14ac:dyDescent="0.3">
      <c r="A17" s="9"/>
      <c r="B17" s="87" t="s">
        <v>102</v>
      </c>
      <c r="C17" s="87"/>
      <c r="D17" s="81" t="e">
        <f>VLOOKUP($K$9,'HY Compile'!$1:$1048576,9,0)</f>
        <v>#N/A</v>
      </c>
      <c r="E17" s="81"/>
      <c r="F17" s="81"/>
      <c r="G17" s="81" t="e">
        <f>VLOOKUP($K$9,'HY Compile'!$1:$1048576,10,0)</f>
        <v>#N/A</v>
      </c>
      <c r="H17" s="81"/>
      <c r="I17" s="81"/>
      <c r="J17" s="81"/>
      <c r="K17" s="81" t="e">
        <f t="shared" si="0"/>
        <v>#N/A</v>
      </c>
      <c r="L17" s="81"/>
      <c r="M17" s="81"/>
      <c r="N17" s="10"/>
    </row>
    <row r="18" spans="1:14" x14ac:dyDescent="0.3">
      <c r="A18" s="9"/>
      <c r="B18" s="87" t="s">
        <v>101</v>
      </c>
      <c r="C18" s="87"/>
      <c r="D18" s="81" t="e">
        <f>VLOOKUP($K$9,'HY Compile'!$1:$1048576,12,0)</f>
        <v>#N/A</v>
      </c>
      <c r="E18" s="81"/>
      <c r="F18" s="81"/>
      <c r="G18" s="81" t="e">
        <f>VLOOKUP($K$9,'HY Compile'!$1:$1048576,13,0)</f>
        <v>#N/A</v>
      </c>
      <c r="H18" s="81"/>
      <c r="I18" s="81"/>
      <c r="J18" s="81"/>
      <c r="K18" s="81" t="e">
        <f t="shared" si="0"/>
        <v>#N/A</v>
      </c>
      <c r="L18" s="81"/>
      <c r="M18" s="81"/>
      <c r="N18" s="10"/>
    </row>
    <row r="19" spans="1:14" x14ac:dyDescent="0.3">
      <c r="A19" s="9"/>
      <c r="B19" s="87" t="s">
        <v>100</v>
      </c>
      <c r="C19" s="87"/>
      <c r="D19" s="81" t="e">
        <f>VLOOKUP($K$9,'HY Compile'!$1:$1048576,15,0)</f>
        <v>#N/A</v>
      </c>
      <c r="E19" s="81"/>
      <c r="F19" s="81"/>
      <c r="G19" s="81" t="e">
        <f>VLOOKUP($K$9,'HY Compile'!$1:$1048576,16,0)</f>
        <v>#N/A</v>
      </c>
      <c r="H19" s="81"/>
      <c r="I19" s="81"/>
      <c r="J19" s="81"/>
      <c r="K19" s="81" t="e">
        <f t="shared" si="0"/>
        <v>#N/A</v>
      </c>
      <c r="L19" s="81"/>
      <c r="M19" s="81"/>
      <c r="N19" s="10"/>
    </row>
    <row r="20" spans="1:14" x14ac:dyDescent="0.3">
      <c r="A20" s="9"/>
      <c r="B20" s="87" t="s">
        <v>94</v>
      </c>
      <c r="C20" s="87"/>
      <c r="D20" s="81" t="e">
        <f>VLOOKUP($K$9,'HY Compile'!$1:$1048576,18,0)</f>
        <v>#N/A</v>
      </c>
      <c r="E20" s="81"/>
      <c r="F20" s="81"/>
      <c r="G20" s="81" t="e">
        <f>VLOOKUP($K$9,'HY Compile'!$1:$1048576,19,0)</f>
        <v>#N/A</v>
      </c>
      <c r="H20" s="81"/>
      <c r="I20" s="81"/>
      <c r="J20" s="81"/>
      <c r="K20" s="81" t="e">
        <f t="shared" si="0"/>
        <v>#N/A</v>
      </c>
      <c r="L20" s="81"/>
      <c r="M20" s="81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80" t="s">
        <v>10</v>
      </c>
      <c r="C22" s="81" t="e">
        <f>VLOOKUP($K$9,'HY Compile'!$1:$1048576,25,0)</f>
        <v>#N/A</v>
      </c>
      <c r="D22" s="81" t="e">
        <f>VLOOKUP($K$9,'HY Compile'!$1:$1048576,26,0)</f>
        <v>#N/A</v>
      </c>
      <c r="J22" s="19" t="s">
        <v>27</v>
      </c>
      <c r="K22" s="20"/>
      <c r="L22" s="82" t="e">
        <f>ROUND(SUM(K15:M20)/6,2)&amp;" %"</f>
        <v>#N/A</v>
      </c>
      <c r="M22" s="83"/>
      <c r="N22" s="10"/>
    </row>
    <row r="23" spans="1:14" ht="15.6" customHeight="1" x14ac:dyDescent="0.3">
      <c r="A23" s="9"/>
      <c r="B23" s="80"/>
      <c r="C23" s="81" t="e">
        <f>VLOOKUP($K$9,'HY Compile'!$1:$1048576,38,0)</f>
        <v>#N/A</v>
      </c>
      <c r="D23" s="81" t="e">
        <f>VLOOKUP($K$9,'HY Compile'!$1:$1048576,38,0)</f>
        <v>#N/A</v>
      </c>
      <c r="J23" s="19" t="s">
        <v>28</v>
      </c>
      <c r="K23" s="20"/>
      <c r="L23" s="82" t="e">
        <f>SUM(K15:M20)&amp; "/600"</f>
        <v>#N/A</v>
      </c>
      <c r="M23" s="83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5" t="s">
        <v>57</v>
      </c>
      <c r="C26" s="65"/>
      <c r="D26" s="65"/>
      <c r="E26" s="65"/>
      <c r="F26" s="65"/>
      <c r="G26" s="65"/>
      <c r="H26" s="65"/>
      <c r="I26" s="65"/>
      <c r="J26" s="65"/>
      <c r="K26" s="65" t="s">
        <v>11</v>
      </c>
      <c r="L26" s="65"/>
      <c r="M26" s="65"/>
      <c r="N26" s="10"/>
    </row>
    <row r="27" spans="1:14" x14ac:dyDescent="0.3">
      <c r="A27" s="9"/>
      <c r="B27" s="76" t="s">
        <v>12</v>
      </c>
      <c r="C27" s="76"/>
      <c r="D27" s="76"/>
      <c r="E27" s="76"/>
      <c r="F27" s="76"/>
      <c r="G27" s="76"/>
      <c r="H27" s="76"/>
      <c r="I27" s="76"/>
      <c r="J27" s="76"/>
      <c r="K27" s="77" t="e">
        <f>VLOOKUP($K$9,'HY Compile'!$1:$1048576,21,0)</f>
        <v>#N/A</v>
      </c>
      <c r="L27" s="78"/>
      <c r="M27" s="79"/>
      <c r="N27" s="10"/>
    </row>
    <row r="28" spans="1:14" x14ac:dyDescent="0.3">
      <c r="A28" s="9"/>
      <c r="B28" s="76" t="s">
        <v>13</v>
      </c>
      <c r="C28" s="76"/>
      <c r="D28" s="76"/>
      <c r="E28" s="76"/>
      <c r="F28" s="76"/>
      <c r="G28" s="76"/>
      <c r="H28" s="76"/>
      <c r="I28" s="76"/>
      <c r="J28" s="76"/>
      <c r="K28" s="77" t="e">
        <f>VLOOKUP($K$9,'HY Compile'!$1:$1048576,22,0)</f>
        <v>#N/A</v>
      </c>
      <c r="L28" s="78"/>
      <c r="M28" s="79"/>
      <c r="N28" s="10"/>
    </row>
    <row r="29" spans="1:14" x14ac:dyDescent="0.3">
      <c r="A29" s="9"/>
      <c r="B29" s="76" t="s">
        <v>14</v>
      </c>
      <c r="C29" s="76"/>
      <c r="D29" s="76"/>
      <c r="E29" s="76"/>
      <c r="F29" s="76"/>
      <c r="G29" s="76"/>
      <c r="H29" s="76"/>
      <c r="I29" s="76"/>
      <c r="J29" s="76"/>
      <c r="K29" s="77" t="e">
        <f>VLOOKUP($K$9,'HY Compile'!$1:$1048576,23,0)</f>
        <v>#N/A</v>
      </c>
      <c r="L29" s="78"/>
      <c r="M29" s="79"/>
      <c r="N29" s="10"/>
    </row>
    <row r="30" spans="1:14" x14ac:dyDescent="0.3">
      <c r="A30" s="9"/>
      <c r="B30" s="76" t="s">
        <v>15</v>
      </c>
      <c r="C30" s="76"/>
      <c r="D30" s="76"/>
      <c r="E30" s="76"/>
      <c r="F30" s="76"/>
      <c r="G30" s="76"/>
      <c r="H30" s="76"/>
      <c r="I30" s="76"/>
      <c r="J30" s="76"/>
      <c r="K30" s="77" t="e">
        <f>VLOOKUP($K$9,'HY Compile'!$1:$1048576,24,0)</f>
        <v>#N/A</v>
      </c>
      <c r="L30" s="78"/>
      <c r="M30" s="79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80" t="s">
        <v>16</v>
      </c>
      <c r="C32" s="80"/>
      <c r="D32" s="84" t="s">
        <v>17</v>
      </c>
      <c r="E32" s="84"/>
      <c r="F32" s="84" t="s">
        <v>18</v>
      </c>
      <c r="G32" s="84"/>
      <c r="H32" s="84" t="s">
        <v>19</v>
      </c>
      <c r="I32" s="84"/>
      <c r="J32" s="84" t="s">
        <v>20</v>
      </c>
      <c r="K32" s="84"/>
      <c r="L32" s="84" t="s">
        <v>74</v>
      </c>
      <c r="M32" s="84"/>
      <c r="N32" s="17"/>
    </row>
    <row r="33" spans="1:14" s="18" customFormat="1" ht="21" customHeight="1" x14ac:dyDescent="0.3">
      <c r="A33" s="16"/>
      <c r="B33" s="80" t="s">
        <v>21</v>
      </c>
      <c r="C33" s="80"/>
      <c r="D33" s="81" t="s">
        <v>22</v>
      </c>
      <c r="E33" s="81"/>
      <c r="F33" s="81" t="s">
        <v>23</v>
      </c>
      <c r="G33" s="81"/>
      <c r="H33" s="81" t="s">
        <v>24</v>
      </c>
      <c r="I33" s="81"/>
      <c r="J33" s="81" t="s">
        <v>25</v>
      </c>
      <c r="K33" s="81"/>
      <c r="L33" s="81" t="s">
        <v>26</v>
      </c>
      <c r="M33" s="81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85" t="e">
        <f>"Class Teacher's Remark: "&amp;VLOOKUP($K$9,'HY Compile'!$1:$1048576,27,0)</f>
        <v>#N/A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10"/>
    </row>
    <row r="37" spans="1:14" x14ac:dyDescent="0.3">
      <c r="A37" s="9"/>
      <c r="E37" s="11"/>
      <c r="N37" s="10"/>
    </row>
    <row r="38" spans="1:14" x14ac:dyDescent="0.3">
      <c r="A38" s="9"/>
      <c r="B38" s="74" t="s">
        <v>71</v>
      </c>
      <c r="C38" s="74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85" t="s">
        <v>29</v>
      </c>
      <c r="C41" s="85"/>
      <c r="D41" s="85"/>
      <c r="E41" s="18"/>
      <c r="F41" s="18"/>
      <c r="G41" s="18"/>
      <c r="H41" s="18"/>
      <c r="I41" s="18"/>
      <c r="J41" s="86" t="s">
        <v>30</v>
      </c>
      <c r="K41" s="86"/>
      <c r="L41" s="86"/>
      <c r="M41" s="86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14:C14"/>
    <mergeCell ref="B15:C15"/>
    <mergeCell ref="B16:C16"/>
    <mergeCell ref="B17:C17"/>
    <mergeCell ref="B18:C18"/>
    <mergeCell ref="D14:F14"/>
    <mergeCell ref="D15:F15"/>
    <mergeCell ref="D16:F16"/>
    <mergeCell ref="D17:F17"/>
    <mergeCell ref="D18:F18"/>
    <mergeCell ref="K14:M14"/>
    <mergeCell ref="K15:M15"/>
    <mergeCell ref="K16:M16"/>
    <mergeCell ref="K17:M17"/>
    <mergeCell ref="K18:M18"/>
    <mergeCell ref="G14:J14"/>
    <mergeCell ref="G15:J15"/>
    <mergeCell ref="G16:J16"/>
    <mergeCell ref="G17:J17"/>
    <mergeCell ref="G18:J1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C11:G11"/>
    <mergeCell ref="I11:J11"/>
    <mergeCell ref="K11:M11"/>
    <mergeCell ref="B13:M13"/>
    <mergeCell ref="K10:M10"/>
    <mergeCell ref="C10:G10"/>
    <mergeCell ref="I10:J10"/>
    <mergeCell ref="B1:K1"/>
    <mergeCell ref="B2:M2"/>
    <mergeCell ref="B3:M3"/>
    <mergeCell ref="B4:M4"/>
    <mergeCell ref="B5:M5"/>
    <mergeCell ref="B6:M6"/>
    <mergeCell ref="B7:M7"/>
    <mergeCell ref="B8:M8"/>
    <mergeCell ref="C9:G9"/>
    <mergeCell ref="I9:J9"/>
    <mergeCell ref="K9:M9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6" max="6" width="10.77734375" bestFit="1" customWidth="1"/>
    <col min="7" max="7" width="11.886718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7" t="s">
        <v>105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3">
      <c r="A2" s="51" t="s">
        <v>39</v>
      </c>
      <c r="B2" s="51" t="s">
        <v>40</v>
      </c>
      <c r="C2" s="51" t="s">
        <v>9</v>
      </c>
      <c r="D2" s="51" t="s">
        <v>93</v>
      </c>
      <c r="E2" s="56" t="s">
        <v>102</v>
      </c>
      <c r="F2" s="56" t="s">
        <v>101</v>
      </c>
      <c r="G2" s="49" t="s">
        <v>100</v>
      </c>
      <c r="H2" s="49" t="s">
        <v>94</v>
      </c>
      <c r="I2" s="51" t="s">
        <v>60</v>
      </c>
      <c r="J2" s="51"/>
    </row>
    <row r="3" spans="1:10" x14ac:dyDescent="0.3">
      <c r="A3" s="51"/>
      <c r="B3" s="51"/>
      <c r="C3" s="51"/>
      <c r="D3" s="51"/>
      <c r="E3" s="56"/>
      <c r="F3" s="56"/>
      <c r="G3" s="50"/>
      <c r="H3" s="50"/>
      <c r="I3" s="25" t="s">
        <v>61</v>
      </c>
      <c r="J3" s="25" t="s">
        <v>62</v>
      </c>
    </row>
    <row r="4" spans="1:10" x14ac:dyDescent="0.3">
      <c r="A4" s="27">
        <f>DETAILS!A3</f>
        <v>688</v>
      </c>
      <c r="B4" s="28" t="str">
        <f>DETAILS!B3</f>
        <v>AMINUDDIN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1011</v>
      </c>
      <c r="B5" s="3" t="str">
        <f>DETAILS!B4</f>
        <v>ARPIT VERMA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692</v>
      </c>
      <c r="B6" s="3" t="str">
        <f>DETAILS!B5</f>
        <v>ATUL VERMA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1931</v>
      </c>
      <c r="B7" s="3" t="str">
        <f>DETAILS!B6</f>
        <v>GAURAV GAUTAM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1509</v>
      </c>
      <c r="B8" s="3" t="str">
        <f>DETAILS!B7</f>
        <v>HIMANSHU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694</v>
      </c>
      <c r="B9" s="3" t="str">
        <f>DETAILS!B8</f>
        <v>JYOTIRADITYA DAS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1873</v>
      </c>
      <c r="B10" s="3" t="str">
        <f>DETAILS!B9</f>
        <v>MASIRA AKHTAR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1491</v>
      </c>
      <c r="B11" s="3" t="str">
        <f>DETAILS!B10</f>
        <v>SIDDHARTH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701</v>
      </c>
      <c r="B12" s="3" t="str">
        <f>DETAILS!B11</f>
        <v>YASH SONI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6" max="6" width="10.77734375" bestFit="1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7" t="s">
        <v>105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</row>
    <row r="2" spans="1:12" ht="14.4" customHeight="1" x14ac:dyDescent="0.3">
      <c r="A2" s="90" t="s">
        <v>39</v>
      </c>
      <c r="B2" s="90" t="s">
        <v>40</v>
      </c>
      <c r="C2" s="51" t="s">
        <v>9</v>
      </c>
      <c r="D2" s="51" t="s">
        <v>93</v>
      </c>
      <c r="E2" s="56" t="s">
        <v>102</v>
      </c>
      <c r="F2" s="56" t="s">
        <v>101</v>
      </c>
      <c r="G2" s="49" t="s">
        <v>100</v>
      </c>
      <c r="H2" s="49" t="s">
        <v>94</v>
      </c>
      <c r="I2" s="52" t="s">
        <v>41</v>
      </c>
      <c r="J2" s="52" t="s">
        <v>63</v>
      </c>
      <c r="K2" s="51" t="s">
        <v>60</v>
      </c>
      <c r="L2" s="51"/>
    </row>
    <row r="3" spans="1:12" x14ac:dyDescent="0.3">
      <c r="A3" s="91"/>
      <c r="B3" s="91"/>
      <c r="C3" s="51"/>
      <c r="D3" s="51"/>
      <c r="E3" s="56"/>
      <c r="F3" s="56"/>
      <c r="G3" s="50"/>
      <c r="H3" s="50"/>
      <c r="I3" s="53"/>
      <c r="J3" s="53"/>
      <c r="K3" s="25" t="s">
        <v>61</v>
      </c>
      <c r="L3" s="25" t="s">
        <v>62</v>
      </c>
    </row>
    <row r="4" spans="1:12" x14ac:dyDescent="0.3">
      <c r="A4" s="22">
        <f>DETAILS!A3</f>
        <v>688</v>
      </c>
      <c r="B4" s="3" t="str">
        <f>DETAILS!B3</f>
        <v>AMINUDDIN</v>
      </c>
      <c r="C4" s="26">
        <f>IFERROR(ROUND((VLOOKUP(A4,'UT-2(Entry)'!$1:$1048576,3,0))/2.5,0),VLOOKUP(A4,'UT-2(Entry)'!$1:$1048576,3,0))</f>
        <v>0</v>
      </c>
      <c r="D4" s="26">
        <f>IFERROR(ROUND((VLOOKUP(A4,'UT-2(Entry)'!$1:$1048576,4,0))/2.5,0),VLOOKUP(A4,'UT-2(Entry)'!$1:$1048576,4,0))</f>
        <v>0</v>
      </c>
      <c r="E4" s="26">
        <f>IFERROR(ROUND((VLOOKUP(A4,'UT-2(Entry)'!$1:$1048576,5,0))/2.5,0),VLOOKUP(A4,'UT-2(Entry)'!$1:$1048576,5,0))</f>
        <v>0</v>
      </c>
      <c r="F4" s="26">
        <f>IFERROR(ROUND((VLOOKUP(A4,'UT-2(Entry)'!$1:$1048576,6,0))/2.5,0),VLOOKUP(A4,'UT-2(Entry)'!$1:$1048576,6,0))</f>
        <v>0</v>
      </c>
      <c r="G4" s="26">
        <f>IFERROR(ROUND((VLOOKUP($A4,'UT-2(Entry)'!$1:$1048576,7,0))/2.5,0),VLOOKUP($A4,'UT-2(Entry)'!$1:$1048576,7,0))</f>
        <v>0</v>
      </c>
      <c r="H4" s="26">
        <f>IFERROR(ROUND((VLOOKUP($A4,'UT-2(Entry)'!$1:$1048576,8,0))/2.5,0),VLOOKUP($A4,'UT-2(Entry)'!$1:$1048576,8,0))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1011</v>
      </c>
      <c r="B5" s="3" t="str">
        <f>DETAILS!B4</f>
        <v>ARPIT VERMA</v>
      </c>
      <c r="C5" s="26">
        <f>IFERROR(ROUND((VLOOKUP(A5,'UT-2(Entry)'!$1:$1048576,3,0))/2.5,0),VLOOKUP(A5,'UT-2(Entry)'!$1:$1048576,3,0))</f>
        <v>0</v>
      </c>
      <c r="D5" s="26">
        <f>IFERROR(ROUND((VLOOKUP(A5,'UT-2(Entry)'!$1:$1048576,4,0))/2.5,0),VLOOKUP(A5,'UT-2(Entry)'!$1:$1048576,4,0))</f>
        <v>0</v>
      </c>
      <c r="E5" s="26">
        <f>IFERROR(ROUND((VLOOKUP(A5,'UT-2(Entry)'!$1:$1048576,5,0))/2.5,0),VLOOKUP(A5,'UT-2(Entry)'!$1:$1048576,5,0))</f>
        <v>0</v>
      </c>
      <c r="F5" s="26">
        <f>IFERROR(ROUND((VLOOKUP(A5,'UT-2(Entry)'!$1:$1048576,6,0))/2.5,0),VLOOKUP(A5,'UT-2(Entry)'!$1:$1048576,6,0))</f>
        <v>0</v>
      </c>
      <c r="G5" s="26">
        <f>IFERROR(ROUND((VLOOKUP($A5,'UT-2(Entry)'!$1:$1048576,7,0))/2.5,0),VLOOKUP($A5,'UT-2(Entry)'!$1:$1048576,7,0))</f>
        <v>0</v>
      </c>
      <c r="H5" s="26">
        <f>IFERROR(ROUND((VLOOKUP($A5,'UT-2(Entry)'!$1:$1048576,8,0))/2.5,0),VLOOKUP($A5,'UT-2(Entry)'!$1:$1048576,8,0))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692</v>
      </c>
      <c r="B6" s="3" t="str">
        <f>DETAILS!B5</f>
        <v>ATUL VERMA</v>
      </c>
      <c r="C6" s="26">
        <f>IFERROR(ROUND((VLOOKUP(A6,'UT-2(Entry)'!$1:$1048576,3,0))/2.5,0),VLOOKUP(A6,'UT-2(Entry)'!$1:$1048576,3,0))</f>
        <v>0</v>
      </c>
      <c r="D6" s="26">
        <f>IFERROR(ROUND((VLOOKUP(A6,'UT-2(Entry)'!$1:$1048576,4,0))/2.5,0),VLOOKUP(A6,'UT-2(Entry)'!$1:$1048576,4,0))</f>
        <v>0</v>
      </c>
      <c r="E6" s="26">
        <f>IFERROR(ROUND((VLOOKUP(A6,'UT-2(Entry)'!$1:$1048576,5,0))/2.5,0),VLOOKUP(A6,'UT-2(Entry)'!$1:$1048576,5,0))</f>
        <v>0</v>
      </c>
      <c r="F6" s="26">
        <f>IFERROR(ROUND((VLOOKUP(A6,'UT-2(Entry)'!$1:$1048576,6,0))/2.5,0),VLOOKUP(A6,'UT-2(Entry)'!$1:$1048576,6,0))</f>
        <v>0</v>
      </c>
      <c r="G6" s="26">
        <f>IFERROR(ROUND((VLOOKUP($A6,'UT-2(Entry)'!$1:$1048576,7,0))/2.5,0),VLOOKUP($A6,'UT-2(Entry)'!$1:$1048576,7,0))</f>
        <v>0</v>
      </c>
      <c r="H6" s="26">
        <f>IFERROR(ROUND((VLOOKUP($A6,'UT-2(Entry)'!$1:$1048576,8,0))/2.5,0),VLOOKUP($A6,'UT-2(Entry)'!$1:$1048576,8,0))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1931</v>
      </c>
      <c r="B7" s="3" t="str">
        <f>DETAILS!B6</f>
        <v>GAURAV GAUTAM</v>
      </c>
      <c r="C7" s="26">
        <f>IFERROR(ROUND((VLOOKUP(A7,'UT-2(Entry)'!$1:$1048576,3,0))/2.5,0),VLOOKUP(A7,'UT-2(Entry)'!$1:$1048576,3,0))</f>
        <v>0</v>
      </c>
      <c r="D7" s="26">
        <f>IFERROR(ROUND((VLOOKUP(A7,'UT-2(Entry)'!$1:$1048576,4,0))/2.5,0),VLOOKUP(A7,'UT-2(Entry)'!$1:$1048576,4,0))</f>
        <v>0</v>
      </c>
      <c r="E7" s="26">
        <f>IFERROR(ROUND((VLOOKUP(A7,'UT-2(Entry)'!$1:$1048576,5,0))/2.5,0),VLOOKUP(A7,'UT-2(Entry)'!$1:$1048576,5,0))</f>
        <v>0</v>
      </c>
      <c r="F7" s="26">
        <f>IFERROR(ROUND((VLOOKUP(A7,'UT-2(Entry)'!$1:$1048576,6,0))/2.5,0),VLOOKUP(A7,'UT-2(Entry)'!$1:$1048576,6,0))</f>
        <v>0</v>
      </c>
      <c r="G7" s="26">
        <f>IFERROR(ROUND((VLOOKUP($A7,'UT-2(Entry)'!$1:$1048576,7,0))/2.5,0),VLOOKUP($A7,'UT-2(Entry)'!$1:$1048576,7,0))</f>
        <v>0</v>
      </c>
      <c r="H7" s="26">
        <f>IFERROR(ROUND((VLOOKUP($A7,'UT-2(Entry)'!$1:$1048576,8,0))/2.5,0),VLOOKUP($A7,'UT-2(Entry)'!$1:$1048576,8,0))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1509</v>
      </c>
      <c r="B8" s="3" t="str">
        <f>DETAILS!B7</f>
        <v>HIMANSHU</v>
      </c>
      <c r="C8" s="26">
        <f>IFERROR(ROUND((VLOOKUP(A8,'UT-2(Entry)'!$1:$1048576,3,0))/2.5,0),VLOOKUP(A8,'UT-2(Entry)'!$1:$1048576,3,0))</f>
        <v>0</v>
      </c>
      <c r="D8" s="26">
        <f>IFERROR(ROUND((VLOOKUP(A8,'UT-2(Entry)'!$1:$1048576,4,0))/2.5,0),VLOOKUP(A8,'UT-2(Entry)'!$1:$1048576,4,0))</f>
        <v>0</v>
      </c>
      <c r="E8" s="26">
        <f>IFERROR(ROUND((VLOOKUP(A8,'UT-2(Entry)'!$1:$1048576,5,0))/2.5,0),VLOOKUP(A8,'UT-2(Entry)'!$1:$1048576,5,0))</f>
        <v>0</v>
      </c>
      <c r="F8" s="26">
        <f>IFERROR(ROUND((VLOOKUP(A8,'UT-2(Entry)'!$1:$1048576,6,0))/2.5,0),VLOOKUP(A8,'UT-2(Entry)'!$1:$1048576,6,0))</f>
        <v>0</v>
      </c>
      <c r="G8" s="26">
        <f>IFERROR(ROUND((VLOOKUP($A8,'UT-2(Entry)'!$1:$1048576,7,0))/2.5,0),VLOOKUP($A8,'UT-2(Entry)'!$1:$1048576,7,0))</f>
        <v>0</v>
      </c>
      <c r="H8" s="26">
        <f>IFERROR(ROUND((VLOOKUP($A8,'UT-2(Entry)'!$1:$1048576,8,0))/2.5,0),VLOOKUP($A8,'UT-2(Entry)'!$1:$1048576,8,0))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694</v>
      </c>
      <c r="B9" s="3" t="str">
        <f>DETAILS!B8</f>
        <v>JYOTIRADITYA DAS</v>
      </c>
      <c r="C9" s="26">
        <f>IFERROR(ROUND((VLOOKUP(A9,'UT-2(Entry)'!$1:$1048576,3,0))/2.5,0),VLOOKUP(A9,'UT-2(Entry)'!$1:$1048576,3,0))</f>
        <v>0</v>
      </c>
      <c r="D9" s="26">
        <f>IFERROR(ROUND((VLOOKUP(A9,'UT-2(Entry)'!$1:$1048576,4,0))/2.5,0),VLOOKUP(A9,'UT-2(Entry)'!$1:$1048576,4,0))</f>
        <v>0</v>
      </c>
      <c r="E9" s="26">
        <f>IFERROR(ROUND((VLOOKUP(A9,'UT-2(Entry)'!$1:$1048576,5,0))/2.5,0),VLOOKUP(A9,'UT-2(Entry)'!$1:$1048576,5,0))</f>
        <v>0</v>
      </c>
      <c r="F9" s="26">
        <f>IFERROR(ROUND((VLOOKUP(A9,'UT-2(Entry)'!$1:$1048576,6,0))/2.5,0),VLOOKUP(A9,'UT-2(Entry)'!$1:$1048576,6,0))</f>
        <v>0</v>
      </c>
      <c r="G9" s="26">
        <f>IFERROR(ROUND((VLOOKUP($A9,'UT-2(Entry)'!$1:$1048576,7,0))/2.5,0),VLOOKUP($A9,'UT-2(Entry)'!$1:$1048576,7,0))</f>
        <v>0</v>
      </c>
      <c r="H9" s="26">
        <f>IFERROR(ROUND((VLOOKUP($A9,'UT-2(Entry)'!$1:$1048576,8,0))/2.5,0),VLOOKUP($A9,'UT-2(Entry)'!$1:$1048576,8,0))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1873</v>
      </c>
      <c r="B10" s="3" t="str">
        <f>DETAILS!B9</f>
        <v>MASIRA AKHTAR</v>
      </c>
      <c r="C10" s="26">
        <f>IFERROR(ROUND((VLOOKUP(A10,'UT-2(Entry)'!$1:$1048576,3,0))/2.5,0),VLOOKUP(A10,'UT-2(Entry)'!$1:$1048576,3,0))</f>
        <v>0</v>
      </c>
      <c r="D10" s="26">
        <f>IFERROR(ROUND((VLOOKUP(A10,'UT-2(Entry)'!$1:$1048576,4,0))/2.5,0),VLOOKUP(A10,'UT-2(Entry)'!$1:$1048576,4,0))</f>
        <v>0</v>
      </c>
      <c r="E10" s="26">
        <f>IFERROR(ROUND((VLOOKUP(A10,'UT-2(Entry)'!$1:$1048576,5,0))/2.5,0),VLOOKUP(A10,'UT-2(Entry)'!$1:$1048576,5,0))</f>
        <v>0</v>
      </c>
      <c r="F10" s="26">
        <f>IFERROR(ROUND((VLOOKUP(A10,'UT-2(Entry)'!$1:$1048576,6,0))/2.5,0),VLOOKUP(A10,'UT-2(Entry)'!$1:$1048576,6,0))</f>
        <v>0</v>
      </c>
      <c r="G10" s="26">
        <f>IFERROR(ROUND((VLOOKUP($A10,'UT-2(Entry)'!$1:$1048576,7,0))/2.5,0),VLOOKUP($A10,'UT-2(Entry)'!$1:$1048576,7,0))</f>
        <v>0</v>
      </c>
      <c r="H10" s="26">
        <f>IFERROR(ROUND((VLOOKUP($A10,'UT-2(Entry)'!$1:$1048576,8,0))/2.5,0),VLOOKUP($A10,'UT-2(Entry)'!$1:$1048576,8,0))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1491</v>
      </c>
      <c r="B11" s="3" t="str">
        <f>DETAILS!B10</f>
        <v>SIDDHARTH</v>
      </c>
      <c r="C11" s="26">
        <f>IFERROR(ROUND((VLOOKUP(A11,'UT-2(Entry)'!$1:$1048576,3,0))/2.5,0),VLOOKUP(A11,'UT-2(Entry)'!$1:$1048576,3,0))</f>
        <v>0</v>
      </c>
      <c r="D11" s="26">
        <f>IFERROR(ROUND((VLOOKUP(A11,'UT-2(Entry)'!$1:$1048576,4,0))/2.5,0),VLOOKUP(A11,'UT-2(Entry)'!$1:$1048576,4,0))</f>
        <v>0</v>
      </c>
      <c r="E11" s="26">
        <f>IFERROR(ROUND((VLOOKUP(A11,'UT-2(Entry)'!$1:$1048576,5,0))/2.5,0),VLOOKUP(A11,'UT-2(Entry)'!$1:$1048576,5,0))</f>
        <v>0</v>
      </c>
      <c r="F11" s="26">
        <f>IFERROR(ROUND((VLOOKUP(A11,'UT-2(Entry)'!$1:$1048576,6,0))/2.5,0),VLOOKUP(A11,'UT-2(Entry)'!$1:$1048576,6,0))</f>
        <v>0</v>
      </c>
      <c r="G11" s="26">
        <f>IFERROR(ROUND((VLOOKUP($A11,'UT-2(Entry)'!$1:$1048576,7,0))/2.5,0),VLOOKUP($A11,'UT-2(Entry)'!$1:$1048576,7,0))</f>
        <v>0</v>
      </c>
      <c r="H11" s="26">
        <f>IFERROR(ROUND((VLOOKUP($A11,'UT-2(Entry)'!$1:$1048576,8,0))/2.5,0),VLOOKUP($A11,'UT-2(Entry)'!$1:$1048576,8,0))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701</v>
      </c>
      <c r="B12" s="3" t="str">
        <f>DETAILS!B11</f>
        <v>YASH SONI</v>
      </c>
      <c r="C12" s="26">
        <f>IFERROR(ROUND((VLOOKUP(A12,'UT-2(Entry)'!$1:$1048576,3,0))/2.5,0),VLOOKUP(A12,'UT-2(Entry)'!$1:$1048576,3,0))</f>
        <v>0</v>
      </c>
      <c r="D12" s="26">
        <f>IFERROR(ROUND((VLOOKUP(A12,'UT-2(Entry)'!$1:$1048576,4,0))/2.5,0),VLOOKUP(A12,'UT-2(Entry)'!$1:$1048576,4,0))</f>
        <v>0</v>
      </c>
      <c r="E12" s="26">
        <f>IFERROR(ROUND((VLOOKUP(A12,'UT-2(Entry)'!$1:$1048576,5,0))/2.5,0),VLOOKUP(A12,'UT-2(Entry)'!$1:$1048576,5,0))</f>
        <v>0</v>
      </c>
      <c r="F12" s="26">
        <f>IFERROR(ROUND((VLOOKUP(A12,'UT-2(Entry)'!$1:$1048576,6,0))/2.5,0),VLOOKUP(A12,'UT-2(Entry)'!$1:$1048576,6,0))</f>
        <v>0</v>
      </c>
      <c r="G12" s="26">
        <f>IFERROR(ROUND((VLOOKUP($A12,'UT-2(Entry)'!$1:$1048576,7,0))/2.5,0),VLOOKUP($A12,'UT-2(Entry)'!$1:$1048576,7,0))</f>
        <v>0</v>
      </c>
      <c r="H12" s="26">
        <f>IFERROR(ROUND((VLOOKUP($A12,'UT-2(Entry)'!$1:$1048576,8,0))/2.5,0),VLOOKUP($A12,'UT-2(Entry)'!$1:$1048576,8,0))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 t="e">
        <f>DETAILS!#REF!</f>
        <v>#REF!</v>
      </c>
      <c r="B13" s="3" t="e">
        <f>DETAILS!#REF!</f>
        <v>#REF!</v>
      </c>
      <c r="C13" s="26" t="e">
        <f>IFERROR(ROUND((VLOOKUP(A13,'UT-2(Entry)'!$1:$1048576,3,0))/2.5,0),VLOOKUP(A13,'UT-2(Entry)'!$1:$1048576,3,0))</f>
        <v>#REF!</v>
      </c>
      <c r="D13" s="26" t="e">
        <f>IFERROR(ROUND((VLOOKUP(A13,'UT-2(Entry)'!$1:$1048576,4,0))/2.5,0),VLOOKUP(A13,'UT-2(Entry)'!$1:$1048576,4,0))</f>
        <v>#REF!</v>
      </c>
      <c r="E13" s="26" t="e">
        <f>IFERROR(ROUND((VLOOKUP(A13,'UT-2(Entry)'!$1:$1048576,5,0))/2.5,0),VLOOKUP(A13,'UT-2(Entry)'!$1:$1048576,5,0))</f>
        <v>#REF!</v>
      </c>
      <c r="F13" s="26" t="e">
        <f>IFERROR(ROUND((VLOOKUP(A13,'UT-2(Entry)'!$1:$1048576,6,0))/2.5,0),VLOOKUP(A13,'UT-2(Entry)'!$1:$1048576,6,0))</f>
        <v>#REF!</v>
      </c>
      <c r="G13" s="26" t="e">
        <f>IFERROR(ROUND((VLOOKUP($A13,'UT-2(Entry)'!$1:$1048576,7,0))/2.5,0),VLOOKUP($A13,'UT-2(Entry)'!$1:$1048576,7,0))</f>
        <v>#REF!</v>
      </c>
      <c r="H13" s="26" t="e">
        <f>IFERROR(ROUND((VLOOKUP($A13,'UT-2(Entry)'!$1:$1048576,8,0))/2.5,0),VLOOKUP($A13,'UT-2(Entry)'!$1:$1048576,8,0))</f>
        <v>#REF!</v>
      </c>
      <c r="I13" s="26" t="e">
        <f t="shared" si="0"/>
        <v>#REF!</v>
      </c>
      <c r="J13" s="26" t="e">
        <f t="shared" si="1"/>
        <v>#REF!</v>
      </c>
      <c r="K13" s="3" t="e">
        <f>VLOOKUP(A13,'UT-2(Entry)'!$1:$1048576,9,0)</f>
        <v>#REF!</v>
      </c>
      <c r="L13" s="3" t="e">
        <f>VLOOKUP(A13,'UT-2(Entry)'!$1:$1048576,10,0)</f>
        <v>#REF!</v>
      </c>
    </row>
    <row r="14" spans="1:12" x14ac:dyDescent="0.3">
      <c r="A14" s="22" t="e">
        <f>DETAILS!#REF!</f>
        <v>#REF!</v>
      </c>
      <c r="B14" s="3" t="e">
        <f>DETAILS!#REF!</f>
        <v>#REF!</v>
      </c>
      <c r="C14" s="26" t="e">
        <f>IFERROR(ROUND((VLOOKUP(A14,'UT-2(Entry)'!$1:$1048576,3,0))/2.5,0),VLOOKUP(A14,'UT-2(Entry)'!$1:$1048576,3,0))</f>
        <v>#REF!</v>
      </c>
      <c r="D14" s="26" t="e">
        <f>IFERROR(ROUND((VLOOKUP(A14,'UT-2(Entry)'!$1:$1048576,4,0))/2.5,0),VLOOKUP(A14,'UT-2(Entry)'!$1:$1048576,4,0))</f>
        <v>#REF!</v>
      </c>
      <c r="E14" s="26" t="e">
        <f>IFERROR(ROUND((VLOOKUP(A14,'UT-2(Entry)'!$1:$1048576,5,0))/2.5,0),VLOOKUP(A14,'UT-2(Entry)'!$1:$1048576,5,0))</f>
        <v>#REF!</v>
      </c>
      <c r="F14" s="26" t="e">
        <f>IFERROR(ROUND((VLOOKUP(A14,'UT-2(Entry)'!$1:$1048576,6,0))/2.5,0),VLOOKUP(A14,'UT-2(Entry)'!$1:$1048576,6,0))</f>
        <v>#REF!</v>
      </c>
      <c r="G14" s="26" t="e">
        <f>IFERROR(ROUND((VLOOKUP($A14,'UT-2(Entry)'!$1:$1048576,7,0))/2.5,0),VLOOKUP($A14,'UT-2(Entry)'!$1:$1048576,7,0))</f>
        <v>#REF!</v>
      </c>
      <c r="H14" s="26" t="e">
        <f>IFERROR(ROUND((VLOOKUP($A14,'UT-2(Entry)'!$1:$1048576,8,0))/2.5,0),VLOOKUP($A14,'UT-2(Entry)'!$1:$1048576,8,0))</f>
        <v>#REF!</v>
      </c>
      <c r="I14" s="26" t="e">
        <f t="shared" si="0"/>
        <v>#REF!</v>
      </c>
      <c r="J14" s="26" t="e">
        <f t="shared" si="1"/>
        <v>#REF!</v>
      </c>
      <c r="K14" s="3" t="e">
        <f>VLOOKUP(A14,'UT-2(Entry)'!$1:$1048576,9,0)</f>
        <v>#REF!</v>
      </c>
      <c r="L14" s="3" t="e">
        <f>VLOOKUP(A14,'UT-2(Entry)'!$1:$1048576,10,0)</f>
        <v>#REF!</v>
      </c>
    </row>
    <row r="15" spans="1:12" x14ac:dyDescent="0.3">
      <c r="A15" s="22" t="e">
        <f>DETAILS!#REF!</f>
        <v>#REF!</v>
      </c>
      <c r="B15" s="3" t="e">
        <f>DETAILS!#REF!</f>
        <v>#REF!</v>
      </c>
      <c r="C15" s="26" t="e">
        <f>IFERROR(ROUND((VLOOKUP(A15,'UT-2(Entry)'!$1:$1048576,3,0))/2.5,0),VLOOKUP(A15,'UT-2(Entry)'!$1:$1048576,3,0))</f>
        <v>#REF!</v>
      </c>
      <c r="D15" s="26" t="e">
        <f>IFERROR(ROUND((VLOOKUP(A15,'UT-2(Entry)'!$1:$1048576,4,0))/2.5,0),VLOOKUP(A15,'UT-2(Entry)'!$1:$1048576,4,0))</f>
        <v>#REF!</v>
      </c>
      <c r="E15" s="26" t="e">
        <f>IFERROR(ROUND((VLOOKUP(A15,'UT-2(Entry)'!$1:$1048576,5,0))/2.5,0),VLOOKUP(A15,'UT-2(Entry)'!$1:$1048576,5,0))</f>
        <v>#REF!</v>
      </c>
      <c r="F15" s="26" t="e">
        <f>IFERROR(ROUND((VLOOKUP(A15,'UT-2(Entry)'!$1:$1048576,6,0))/2.5,0),VLOOKUP(A15,'UT-2(Entry)'!$1:$1048576,6,0))</f>
        <v>#REF!</v>
      </c>
      <c r="G15" s="26" t="e">
        <f>IFERROR(ROUND((VLOOKUP($A15,'UT-2(Entry)'!$1:$1048576,7,0))/2.5,0),VLOOKUP($A15,'UT-2(Entry)'!$1:$1048576,7,0))</f>
        <v>#REF!</v>
      </c>
      <c r="H15" s="26" t="e">
        <f>IFERROR(ROUND((VLOOKUP($A15,'UT-2(Entry)'!$1:$1048576,8,0))/2.5,0),VLOOKUP($A15,'UT-2(Entry)'!$1:$1048576,8,0))</f>
        <v>#REF!</v>
      </c>
      <c r="I15" s="26" t="e">
        <f t="shared" si="0"/>
        <v>#REF!</v>
      </c>
      <c r="J15" s="26" t="e">
        <f t="shared" si="1"/>
        <v>#REF!</v>
      </c>
      <c r="K15" s="3" t="e">
        <f>VLOOKUP(A15,'UT-2(Entry)'!$1:$1048576,9,0)</f>
        <v>#REF!</v>
      </c>
      <c r="L15" s="3" t="e">
        <f>VLOOKUP(A15,'UT-2(Entry)'!$1:$1048576,10,0)</f>
        <v>#REF!</v>
      </c>
    </row>
    <row r="16" spans="1:12" x14ac:dyDescent="0.3">
      <c r="A16" s="22" t="e">
        <f>DETAILS!#REF!</f>
        <v>#REF!</v>
      </c>
      <c r="B16" s="3" t="e">
        <f>DETAILS!#REF!</f>
        <v>#REF!</v>
      </c>
      <c r="C16" s="26" t="e">
        <f>IFERROR(ROUND((VLOOKUP(A16,'UT-2(Entry)'!$1:$1048576,3,0))/2.5,0),VLOOKUP(A16,'UT-2(Entry)'!$1:$1048576,3,0))</f>
        <v>#REF!</v>
      </c>
      <c r="D16" s="26" t="e">
        <f>IFERROR(ROUND((VLOOKUP(A16,'UT-2(Entry)'!$1:$1048576,4,0))/2.5,0),VLOOKUP(A16,'UT-2(Entry)'!$1:$1048576,4,0))</f>
        <v>#REF!</v>
      </c>
      <c r="E16" s="26" t="e">
        <f>IFERROR(ROUND((VLOOKUP(A16,'UT-2(Entry)'!$1:$1048576,5,0))/2.5,0),VLOOKUP(A16,'UT-2(Entry)'!$1:$1048576,5,0))</f>
        <v>#REF!</v>
      </c>
      <c r="F16" s="26" t="e">
        <f>IFERROR(ROUND((VLOOKUP(A16,'UT-2(Entry)'!$1:$1048576,6,0))/2.5,0),VLOOKUP(A16,'UT-2(Entry)'!$1:$1048576,6,0))</f>
        <v>#REF!</v>
      </c>
      <c r="G16" s="26" t="e">
        <f>IFERROR(ROUND((VLOOKUP($A16,'UT-2(Entry)'!$1:$1048576,7,0))/2.5,0),VLOOKUP($A16,'UT-2(Entry)'!$1:$1048576,7,0))</f>
        <v>#REF!</v>
      </c>
      <c r="H16" s="26" t="e">
        <f>IFERROR(ROUND((VLOOKUP($A16,'UT-2(Entry)'!$1:$1048576,8,0))/2.5,0),VLOOKUP($A16,'UT-2(Entry)'!$1:$1048576,8,0))</f>
        <v>#REF!</v>
      </c>
      <c r="I16" s="26" t="e">
        <f t="shared" si="0"/>
        <v>#REF!</v>
      </c>
      <c r="J16" s="26" t="e">
        <f t="shared" si="1"/>
        <v>#REF!</v>
      </c>
      <c r="K16" s="3" t="e">
        <f>VLOOKUP(A16,'UT-2(Entry)'!$1:$1048576,9,0)</f>
        <v>#REF!</v>
      </c>
      <c r="L16" s="3" t="e">
        <f>VLOOKUP(A16,'UT-2(Entry)'!$1:$1048576,10,0)</f>
        <v>#REF!</v>
      </c>
    </row>
    <row r="17" spans="1:12" x14ac:dyDescent="0.3">
      <c r="A17" s="22" t="e">
        <f>DETAILS!#REF!</f>
        <v>#REF!</v>
      </c>
      <c r="B17" s="3" t="e">
        <f>DETAILS!#REF!</f>
        <v>#REF!</v>
      </c>
      <c r="C17" s="26" t="e">
        <f>IFERROR(ROUND((VLOOKUP(A17,'UT-2(Entry)'!$1:$1048576,3,0))/2.5,0),VLOOKUP(A17,'UT-2(Entry)'!$1:$1048576,3,0))</f>
        <v>#REF!</v>
      </c>
      <c r="D17" s="26" t="e">
        <f>IFERROR(ROUND((VLOOKUP(A17,'UT-2(Entry)'!$1:$1048576,4,0))/2.5,0),VLOOKUP(A17,'UT-2(Entry)'!$1:$1048576,4,0))</f>
        <v>#REF!</v>
      </c>
      <c r="E17" s="26" t="e">
        <f>IFERROR(ROUND((VLOOKUP(A17,'UT-2(Entry)'!$1:$1048576,5,0))/2.5,0),VLOOKUP(A17,'UT-2(Entry)'!$1:$1048576,5,0))</f>
        <v>#REF!</v>
      </c>
      <c r="F17" s="26" t="e">
        <f>IFERROR(ROUND((VLOOKUP(A17,'UT-2(Entry)'!$1:$1048576,6,0))/2.5,0),VLOOKUP(A17,'UT-2(Entry)'!$1:$1048576,6,0))</f>
        <v>#REF!</v>
      </c>
      <c r="G17" s="26" t="e">
        <f>IFERROR(ROUND((VLOOKUP($A17,'UT-2(Entry)'!$1:$1048576,7,0))/2.5,0),VLOOKUP($A17,'UT-2(Entry)'!$1:$1048576,7,0))</f>
        <v>#REF!</v>
      </c>
      <c r="H17" s="26" t="e">
        <f>IFERROR(ROUND((VLOOKUP($A17,'UT-2(Entry)'!$1:$1048576,8,0))/2.5,0),VLOOKUP($A17,'UT-2(Entry)'!$1:$1048576,8,0))</f>
        <v>#REF!</v>
      </c>
      <c r="I17" s="26" t="e">
        <f t="shared" si="0"/>
        <v>#REF!</v>
      </c>
      <c r="J17" s="26" t="e">
        <f t="shared" si="1"/>
        <v>#REF!</v>
      </c>
      <c r="K17" s="3" t="e">
        <f>VLOOKUP(A17,'UT-2(Entry)'!$1:$1048576,9,0)</f>
        <v>#REF!</v>
      </c>
      <c r="L17" s="3" t="e">
        <f>VLOOKUP(A17,'UT-2(Entry)'!$1:$1048576,10,0)</f>
        <v>#REF!</v>
      </c>
    </row>
    <row r="18" spans="1:12" x14ac:dyDescent="0.3">
      <c r="A18" s="22" t="e">
        <f>DETAILS!#REF!</f>
        <v>#REF!</v>
      </c>
      <c r="B18" s="3" t="e">
        <f>DETAILS!#REF!</f>
        <v>#REF!</v>
      </c>
      <c r="C18" s="26" t="e">
        <f>IFERROR(ROUND((VLOOKUP(A18,'UT-2(Entry)'!$1:$1048576,3,0))/2.5,0),VLOOKUP(A18,'UT-2(Entry)'!$1:$1048576,3,0))</f>
        <v>#REF!</v>
      </c>
      <c r="D18" s="26" t="e">
        <f>IFERROR(ROUND((VLOOKUP(A18,'UT-2(Entry)'!$1:$1048576,4,0))/2.5,0),VLOOKUP(A18,'UT-2(Entry)'!$1:$1048576,4,0))</f>
        <v>#REF!</v>
      </c>
      <c r="E18" s="26" t="e">
        <f>IFERROR(ROUND((VLOOKUP(A18,'UT-2(Entry)'!$1:$1048576,5,0))/2.5,0),VLOOKUP(A18,'UT-2(Entry)'!$1:$1048576,5,0))</f>
        <v>#REF!</v>
      </c>
      <c r="F18" s="26" t="e">
        <f>IFERROR(ROUND((VLOOKUP(A18,'UT-2(Entry)'!$1:$1048576,6,0))/2.5,0),VLOOKUP(A18,'UT-2(Entry)'!$1:$1048576,6,0))</f>
        <v>#REF!</v>
      </c>
      <c r="G18" s="26" t="e">
        <f>IFERROR(ROUND((VLOOKUP($A18,'UT-2(Entry)'!$1:$1048576,7,0))/2.5,0),VLOOKUP($A18,'UT-2(Entry)'!$1:$1048576,7,0))</f>
        <v>#REF!</v>
      </c>
      <c r="H18" s="26" t="e">
        <f>IFERROR(ROUND((VLOOKUP($A18,'UT-2(Entry)'!$1:$1048576,8,0))/2.5,0),VLOOKUP($A18,'UT-2(Entry)'!$1:$1048576,8,0))</f>
        <v>#REF!</v>
      </c>
      <c r="I18" s="26" t="e">
        <f t="shared" si="0"/>
        <v>#REF!</v>
      </c>
      <c r="J18" s="26" t="e">
        <f t="shared" si="1"/>
        <v>#REF!</v>
      </c>
      <c r="K18" s="3" t="e">
        <f>VLOOKUP(A18,'UT-2(Entry)'!$1:$1048576,9,0)</f>
        <v>#REF!</v>
      </c>
      <c r="L18" s="3" t="e">
        <f>VLOOKUP(A18,'UT-2(Entry)'!$1:$1048576,10,0)</f>
        <v>#REF!</v>
      </c>
    </row>
    <row r="19" spans="1:12" x14ac:dyDescent="0.3">
      <c r="A19" s="22" t="e">
        <f>DETAILS!#REF!</f>
        <v>#REF!</v>
      </c>
      <c r="B19" s="3" t="e">
        <f>DETAILS!#REF!</f>
        <v>#REF!</v>
      </c>
      <c r="C19" s="26" t="e">
        <f>IFERROR(ROUND((VLOOKUP(A19,'UT-2(Entry)'!$1:$1048576,3,0))/2.5,0),VLOOKUP(A19,'UT-2(Entry)'!$1:$1048576,3,0))</f>
        <v>#REF!</v>
      </c>
      <c r="D19" s="26" t="e">
        <f>IFERROR(ROUND((VLOOKUP(A19,'UT-2(Entry)'!$1:$1048576,4,0))/2.5,0),VLOOKUP(A19,'UT-2(Entry)'!$1:$1048576,4,0))</f>
        <v>#REF!</v>
      </c>
      <c r="E19" s="26" t="e">
        <f>IFERROR(ROUND((VLOOKUP(A19,'UT-2(Entry)'!$1:$1048576,5,0))/2.5,0),VLOOKUP(A19,'UT-2(Entry)'!$1:$1048576,5,0))</f>
        <v>#REF!</v>
      </c>
      <c r="F19" s="26" t="e">
        <f>IFERROR(ROUND((VLOOKUP(A19,'UT-2(Entry)'!$1:$1048576,6,0))/2.5,0),VLOOKUP(A19,'UT-2(Entry)'!$1:$1048576,6,0))</f>
        <v>#REF!</v>
      </c>
      <c r="G19" s="26" t="e">
        <f>IFERROR(ROUND((VLOOKUP($A19,'UT-2(Entry)'!$1:$1048576,7,0))/2.5,0),VLOOKUP($A19,'UT-2(Entry)'!$1:$1048576,7,0))</f>
        <v>#REF!</v>
      </c>
      <c r="H19" s="26" t="e">
        <f>IFERROR(ROUND((VLOOKUP($A19,'UT-2(Entry)'!$1:$1048576,8,0))/2.5,0),VLOOKUP($A19,'UT-2(Entry)'!$1:$1048576,8,0))</f>
        <v>#REF!</v>
      </c>
      <c r="I19" s="26" t="e">
        <f t="shared" si="0"/>
        <v>#REF!</v>
      </c>
      <c r="J19" s="26" t="e">
        <f t="shared" si="1"/>
        <v>#REF!</v>
      </c>
      <c r="K19" s="3" t="e">
        <f>VLOOKUP(A19,'UT-2(Entry)'!$1:$1048576,9,0)</f>
        <v>#REF!</v>
      </c>
      <c r="L19" s="3" t="e">
        <f>VLOOKUP(A19,'UT-2(Entry)'!$1:$1048576,10,0)</f>
        <v>#REF!</v>
      </c>
    </row>
    <row r="20" spans="1:12" x14ac:dyDescent="0.3">
      <c r="A20" s="22" t="e">
        <f>DETAILS!#REF!</f>
        <v>#REF!</v>
      </c>
      <c r="B20" s="3" t="e">
        <f>DETAILS!#REF!</f>
        <v>#REF!</v>
      </c>
      <c r="C20" s="26" t="e">
        <f>IFERROR(ROUND((VLOOKUP(A20,'UT-2(Entry)'!$1:$1048576,3,0))/2.5,0),VLOOKUP(A20,'UT-2(Entry)'!$1:$1048576,3,0))</f>
        <v>#REF!</v>
      </c>
      <c r="D20" s="26" t="e">
        <f>IFERROR(ROUND((VLOOKUP(A20,'UT-2(Entry)'!$1:$1048576,4,0))/2.5,0),VLOOKUP(A20,'UT-2(Entry)'!$1:$1048576,4,0))</f>
        <v>#REF!</v>
      </c>
      <c r="E20" s="26" t="e">
        <f>IFERROR(ROUND((VLOOKUP(A20,'UT-2(Entry)'!$1:$1048576,5,0))/2.5,0),VLOOKUP(A20,'UT-2(Entry)'!$1:$1048576,5,0))</f>
        <v>#REF!</v>
      </c>
      <c r="F20" s="26" t="e">
        <f>IFERROR(ROUND((VLOOKUP(A20,'UT-2(Entry)'!$1:$1048576,6,0))/2.5,0),VLOOKUP(A20,'UT-2(Entry)'!$1:$1048576,6,0))</f>
        <v>#REF!</v>
      </c>
      <c r="G20" s="26" t="e">
        <f>IFERROR(ROUND((VLOOKUP($A20,'UT-2(Entry)'!$1:$1048576,7,0))/2.5,0),VLOOKUP($A20,'UT-2(Entry)'!$1:$1048576,7,0))</f>
        <v>#REF!</v>
      </c>
      <c r="H20" s="26" t="e">
        <f>IFERROR(ROUND((VLOOKUP($A20,'UT-2(Entry)'!$1:$1048576,8,0))/2.5,0),VLOOKUP($A20,'UT-2(Entry)'!$1:$1048576,8,0))</f>
        <v>#REF!</v>
      </c>
      <c r="I20" s="26" t="e">
        <f t="shared" si="0"/>
        <v>#REF!</v>
      </c>
      <c r="J20" s="26" t="e">
        <f t="shared" si="1"/>
        <v>#REF!</v>
      </c>
      <c r="K20" s="3" t="e">
        <f>VLOOKUP(A20,'UT-2(Entry)'!$1:$1048576,9,0)</f>
        <v>#REF!</v>
      </c>
      <c r="L20" s="3" t="e">
        <f>VLOOKUP(A20,'UT-2(Entry)'!$1:$1048576,10,0)</f>
        <v>#REF!</v>
      </c>
    </row>
    <row r="21" spans="1:12" x14ac:dyDescent="0.3">
      <c r="A21" s="22" t="e">
        <f>DETAILS!#REF!</f>
        <v>#REF!</v>
      </c>
      <c r="B21" s="3" t="e">
        <f>DETAILS!#REF!</f>
        <v>#REF!</v>
      </c>
      <c r="C21" s="26" t="e">
        <f>IFERROR(ROUND((VLOOKUP(A21,'UT-2(Entry)'!$1:$1048576,3,0))/2.5,0),VLOOKUP(A21,'UT-2(Entry)'!$1:$1048576,3,0))</f>
        <v>#REF!</v>
      </c>
      <c r="D21" s="26" t="e">
        <f>IFERROR(ROUND((VLOOKUP(A21,'UT-2(Entry)'!$1:$1048576,4,0))/2.5,0),VLOOKUP(A21,'UT-2(Entry)'!$1:$1048576,4,0))</f>
        <v>#REF!</v>
      </c>
      <c r="E21" s="26" t="e">
        <f>IFERROR(ROUND((VLOOKUP(A21,'UT-2(Entry)'!$1:$1048576,5,0))/2.5,0),VLOOKUP(A21,'UT-2(Entry)'!$1:$1048576,5,0))</f>
        <v>#REF!</v>
      </c>
      <c r="F21" s="26" t="e">
        <f>IFERROR(ROUND((VLOOKUP(A21,'UT-2(Entry)'!$1:$1048576,6,0))/2.5,0),VLOOKUP(A21,'UT-2(Entry)'!$1:$1048576,6,0))</f>
        <v>#REF!</v>
      </c>
      <c r="G21" s="26" t="e">
        <f>IFERROR(ROUND((VLOOKUP($A21,'UT-2(Entry)'!$1:$1048576,7,0))/2.5,0),VLOOKUP($A21,'UT-2(Entry)'!$1:$1048576,7,0))</f>
        <v>#REF!</v>
      </c>
      <c r="H21" s="26" t="e">
        <f>IFERROR(ROUND((VLOOKUP($A21,'UT-2(Entry)'!$1:$1048576,8,0))/2.5,0),VLOOKUP($A21,'UT-2(Entry)'!$1:$1048576,8,0))</f>
        <v>#REF!</v>
      </c>
      <c r="I21" s="26" t="e">
        <f t="shared" si="0"/>
        <v>#REF!</v>
      </c>
      <c r="J21" s="26" t="e">
        <f t="shared" si="1"/>
        <v>#REF!</v>
      </c>
      <c r="K21" s="3" t="e">
        <f>VLOOKUP(A21,'UT-2(Entry)'!$1:$1048576,9,0)</f>
        <v>#REF!</v>
      </c>
      <c r="L21" s="3" t="e">
        <f>VLOOKUP(A21,'UT-2(Entry)'!$1:$1048576,10,0)</f>
        <v>#REF!</v>
      </c>
    </row>
    <row r="22" spans="1:12" x14ac:dyDescent="0.3">
      <c r="A22" s="22" t="e">
        <f>DETAILS!#REF!</f>
        <v>#REF!</v>
      </c>
      <c r="B22" s="3" t="e">
        <f>DETAILS!#REF!</f>
        <v>#REF!</v>
      </c>
      <c r="C22" s="26" t="e">
        <f>IFERROR(ROUND((VLOOKUP(A22,'UT-2(Entry)'!$1:$1048576,3,0))/2.5,0),VLOOKUP(A22,'UT-2(Entry)'!$1:$1048576,3,0))</f>
        <v>#REF!</v>
      </c>
      <c r="D22" s="26" t="e">
        <f>IFERROR(ROUND((VLOOKUP(A22,'UT-2(Entry)'!$1:$1048576,4,0))/2.5,0),VLOOKUP(A22,'UT-2(Entry)'!$1:$1048576,4,0))</f>
        <v>#REF!</v>
      </c>
      <c r="E22" s="26" t="e">
        <f>IFERROR(ROUND((VLOOKUP(A22,'UT-2(Entry)'!$1:$1048576,5,0))/2.5,0),VLOOKUP(A22,'UT-2(Entry)'!$1:$1048576,5,0))</f>
        <v>#REF!</v>
      </c>
      <c r="F22" s="26" t="e">
        <f>IFERROR(ROUND((VLOOKUP(A22,'UT-2(Entry)'!$1:$1048576,6,0))/2.5,0),VLOOKUP(A22,'UT-2(Entry)'!$1:$1048576,6,0))</f>
        <v>#REF!</v>
      </c>
      <c r="G22" s="26" t="e">
        <f>IFERROR(ROUND((VLOOKUP($A22,'UT-2(Entry)'!$1:$1048576,7,0))/2.5,0),VLOOKUP($A22,'UT-2(Entry)'!$1:$1048576,7,0))</f>
        <v>#REF!</v>
      </c>
      <c r="H22" s="26" t="e">
        <f>IFERROR(ROUND((VLOOKUP($A22,'UT-2(Entry)'!$1:$1048576,8,0))/2.5,0),VLOOKUP($A22,'UT-2(Entry)'!$1:$1048576,8,0))</f>
        <v>#REF!</v>
      </c>
      <c r="I22" s="26" t="e">
        <f t="shared" si="0"/>
        <v>#REF!</v>
      </c>
      <c r="J22" s="26" t="e">
        <f t="shared" si="1"/>
        <v>#REF!</v>
      </c>
      <c r="K22" s="3" t="e">
        <f>VLOOKUP(A22,'UT-2(Entry)'!$1:$1048576,9,0)</f>
        <v>#REF!</v>
      </c>
      <c r="L22" s="3" t="e">
        <f>VLOOKUP(A22,'UT-2(Entry)'!$1:$1048576,10,0)</f>
        <v>#REF!</v>
      </c>
    </row>
    <row r="23" spans="1:12" x14ac:dyDescent="0.3">
      <c r="A23" s="22" t="e">
        <f>DETAILS!#REF!</f>
        <v>#REF!</v>
      </c>
      <c r="B23" s="3" t="e">
        <f>DETAILS!#REF!</f>
        <v>#REF!</v>
      </c>
      <c r="C23" s="26" t="e">
        <f>IFERROR(ROUND((VLOOKUP(A23,'UT-2(Entry)'!$1:$1048576,3,0))/2.5,0),VLOOKUP(A23,'UT-2(Entry)'!$1:$1048576,3,0))</f>
        <v>#REF!</v>
      </c>
      <c r="D23" s="26" t="e">
        <f>IFERROR(ROUND((VLOOKUP(A23,'UT-2(Entry)'!$1:$1048576,4,0))/2.5,0),VLOOKUP(A23,'UT-2(Entry)'!$1:$1048576,4,0))</f>
        <v>#REF!</v>
      </c>
      <c r="E23" s="26" t="e">
        <f>IFERROR(ROUND((VLOOKUP(A23,'UT-2(Entry)'!$1:$1048576,5,0))/2.5,0),VLOOKUP(A23,'UT-2(Entry)'!$1:$1048576,5,0))</f>
        <v>#REF!</v>
      </c>
      <c r="F23" s="26" t="e">
        <f>IFERROR(ROUND((VLOOKUP(A23,'UT-2(Entry)'!$1:$1048576,6,0))/2.5,0),VLOOKUP(A23,'UT-2(Entry)'!$1:$1048576,6,0))</f>
        <v>#REF!</v>
      </c>
      <c r="G23" s="26" t="e">
        <f>IFERROR(ROUND((VLOOKUP($A23,'UT-2(Entry)'!$1:$1048576,7,0))/2.5,0),VLOOKUP($A23,'UT-2(Entry)'!$1:$1048576,7,0))</f>
        <v>#REF!</v>
      </c>
      <c r="H23" s="26" t="e">
        <f>IFERROR(ROUND((VLOOKUP($A23,'UT-2(Entry)'!$1:$1048576,8,0))/2.5,0),VLOOKUP($A23,'UT-2(Entry)'!$1:$1048576,8,0))</f>
        <v>#REF!</v>
      </c>
      <c r="I23" s="26" t="e">
        <f t="shared" si="0"/>
        <v>#REF!</v>
      </c>
      <c r="J23" s="26" t="e">
        <f t="shared" si="1"/>
        <v>#REF!</v>
      </c>
      <c r="K23" s="3" t="e">
        <f>VLOOKUP(A23,'UT-2(Entry)'!$1:$1048576,9,0)</f>
        <v>#REF!</v>
      </c>
      <c r="L23" s="3" t="e">
        <f>VLOOKUP(A23,'UT-2(Entry)'!$1:$1048576,10,0)</f>
        <v>#REF!</v>
      </c>
    </row>
    <row r="24" spans="1:12" x14ac:dyDescent="0.3">
      <c r="A24" s="22" t="e">
        <f>DETAILS!#REF!</f>
        <v>#REF!</v>
      </c>
      <c r="B24" s="3" t="e">
        <f>DETAILS!#REF!</f>
        <v>#REF!</v>
      </c>
      <c r="C24" s="26" t="e">
        <f>IFERROR(ROUND((VLOOKUP(A24,'UT-2(Entry)'!$1:$1048576,3,0))/2.5,0),VLOOKUP(A24,'UT-2(Entry)'!$1:$1048576,3,0))</f>
        <v>#REF!</v>
      </c>
      <c r="D24" s="26" t="e">
        <f>IFERROR(ROUND((VLOOKUP(A24,'UT-2(Entry)'!$1:$1048576,4,0))/2.5,0),VLOOKUP(A24,'UT-2(Entry)'!$1:$1048576,4,0))</f>
        <v>#REF!</v>
      </c>
      <c r="E24" s="26" t="e">
        <f>IFERROR(ROUND((VLOOKUP(A24,'UT-2(Entry)'!$1:$1048576,5,0))/2.5,0),VLOOKUP(A24,'UT-2(Entry)'!$1:$1048576,5,0))</f>
        <v>#REF!</v>
      </c>
      <c r="F24" s="26" t="e">
        <f>IFERROR(ROUND((VLOOKUP(A24,'UT-2(Entry)'!$1:$1048576,6,0))/2.5,0),VLOOKUP(A24,'UT-2(Entry)'!$1:$1048576,6,0))</f>
        <v>#REF!</v>
      </c>
      <c r="G24" s="26" t="e">
        <f>IFERROR(ROUND((VLOOKUP($A24,'UT-2(Entry)'!$1:$1048576,7,0))/2.5,0),VLOOKUP($A24,'UT-2(Entry)'!$1:$1048576,7,0))</f>
        <v>#REF!</v>
      </c>
      <c r="H24" s="26" t="e">
        <f>IFERROR(ROUND((VLOOKUP($A24,'UT-2(Entry)'!$1:$1048576,8,0))/2.5,0),VLOOKUP($A24,'UT-2(Entry)'!$1:$1048576,8,0))</f>
        <v>#REF!</v>
      </c>
      <c r="I24" s="26" t="e">
        <f t="shared" si="0"/>
        <v>#REF!</v>
      </c>
      <c r="J24" s="26" t="e">
        <f t="shared" si="1"/>
        <v>#REF!</v>
      </c>
      <c r="K24" s="3" t="e">
        <f>VLOOKUP(A24,'UT-2(Entry)'!$1:$1048576,9,0)</f>
        <v>#REF!</v>
      </c>
      <c r="L24" s="3" t="e">
        <f>VLOOKUP(A24,'UT-2(Entry)'!$1:$1048576,10,0)</f>
        <v>#REF!</v>
      </c>
    </row>
    <row r="25" spans="1:12" x14ac:dyDescent="0.3">
      <c r="A25" s="22" t="e">
        <f>DETAILS!#REF!</f>
        <v>#REF!</v>
      </c>
      <c r="B25" s="3" t="e">
        <f>DETAILS!#REF!</f>
        <v>#REF!</v>
      </c>
      <c r="C25" s="26" t="e">
        <f>IFERROR(ROUND((VLOOKUP(A25,'UT-2(Entry)'!$1:$1048576,3,0))/2.5,0),VLOOKUP(A25,'UT-2(Entry)'!$1:$1048576,3,0))</f>
        <v>#REF!</v>
      </c>
      <c r="D25" s="26" t="e">
        <f>IFERROR(ROUND((VLOOKUP(A25,'UT-2(Entry)'!$1:$1048576,4,0))/2.5,0),VLOOKUP(A25,'UT-2(Entry)'!$1:$1048576,4,0))</f>
        <v>#REF!</v>
      </c>
      <c r="E25" s="26" t="e">
        <f>IFERROR(ROUND((VLOOKUP(A25,'UT-2(Entry)'!$1:$1048576,5,0))/2.5,0),VLOOKUP(A25,'UT-2(Entry)'!$1:$1048576,5,0))</f>
        <v>#REF!</v>
      </c>
      <c r="F25" s="26" t="e">
        <f>IFERROR(ROUND((VLOOKUP(A25,'UT-2(Entry)'!$1:$1048576,6,0))/2.5,0),VLOOKUP(A25,'UT-2(Entry)'!$1:$1048576,6,0))</f>
        <v>#REF!</v>
      </c>
      <c r="G25" s="26" t="e">
        <f>IFERROR(ROUND((VLOOKUP($A25,'UT-2(Entry)'!$1:$1048576,7,0))/2.5,0),VLOOKUP($A25,'UT-2(Entry)'!$1:$1048576,7,0))</f>
        <v>#REF!</v>
      </c>
      <c r="H25" s="26" t="e">
        <f>IFERROR(ROUND((VLOOKUP($A25,'UT-2(Entry)'!$1:$1048576,8,0))/2.5,0),VLOOKUP($A25,'UT-2(Entry)'!$1:$1048576,8,0))</f>
        <v>#REF!</v>
      </c>
      <c r="I25" s="26" t="e">
        <f t="shared" si="0"/>
        <v>#REF!</v>
      </c>
      <c r="J25" s="26" t="e">
        <f t="shared" si="1"/>
        <v>#REF!</v>
      </c>
      <c r="K25" s="3" t="e">
        <f>VLOOKUP(A25,'UT-2(Entry)'!$1:$1048576,9,0)</f>
        <v>#REF!</v>
      </c>
      <c r="L25" s="3" t="e">
        <f>VLOOKUP(A25,'UT-2(Entry)'!$1:$1048576,10,0)</f>
        <v>#REF!</v>
      </c>
    </row>
    <row r="26" spans="1:12" x14ac:dyDescent="0.3">
      <c r="A26" s="22" t="e">
        <f>DETAILS!#REF!</f>
        <v>#REF!</v>
      </c>
      <c r="B26" s="3" t="e">
        <f>DETAILS!#REF!</f>
        <v>#REF!</v>
      </c>
      <c r="C26" s="26" t="e">
        <f>IFERROR(ROUND((VLOOKUP(A26,'UT-2(Entry)'!$1:$1048576,3,0))/2.5,0),VLOOKUP(A26,'UT-2(Entry)'!$1:$1048576,3,0))</f>
        <v>#REF!</v>
      </c>
      <c r="D26" s="26" t="e">
        <f>IFERROR(ROUND((VLOOKUP(A26,'UT-2(Entry)'!$1:$1048576,4,0))/2.5,0),VLOOKUP(A26,'UT-2(Entry)'!$1:$1048576,4,0))</f>
        <v>#REF!</v>
      </c>
      <c r="E26" s="26" t="e">
        <f>IFERROR(ROUND((VLOOKUP(A26,'UT-2(Entry)'!$1:$1048576,5,0))/2.5,0),VLOOKUP(A26,'UT-2(Entry)'!$1:$1048576,5,0))</f>
        <v>#REF!</v>
      </c>
      <c r="F26" s="26" t="e">
        <f>IFERROR(ROUND((VLOOKUP(A26,'UT-2(Entry)'!$1:$1048576,6,0))/2.5,0),VLOOKUP(A26,'UT-2(Entry)'!$1:$1048576,6,0))</f>
        <v>#REF!</v>
      </c>
      <c r="G26" s="26" t="e">
        <f>IFERROR(ROUND((VLOOKUP($A26,'UT-2(Entry)'!$1:$1048576,7,0))/2.5,0),VLOOKUP($A26,'UT-2(Entry)'!$1:$1048576,7,0))</f>
        <v>#REF!</v>
      </c>
      <c r="H26" s="26" t="e">
        <f>IFERROR(ROUND((VLOOKUP($A26,'UT-2(Entry)'!$1:$1048576,8,0))/2.5,0),VLOOKUP($A26,'UT-2(Entry)'!$1:$1048576,8,0))</f>
        <v>#REF!</v>
      </c>
      <c r="I26" s="26" t="e">
        <f t="shared" si="0"/>
        <v>#REF!</v>
      </c>
      <c r="J26" s="26" t="e">
        <f t="shared" si="1"/>
        <v>#REF!</v>
      </c>
      <c r="K26" s="3" t="e">
        <f>VLOOKUP(A26,'UT-2(Entry)'!$1:$1048576,9,0)</f>
        <v>#REF!</v>
      </c>
      <c r="L26" s="3" t="e">
        <f>VLOOKUP(A26,'UT-2(Entry)'!$1:$1048576,10,0)</f>
        <v>#REF!</v>
      </c>
    </row>
    <row r="27" spans="1:12" x14ac:dyDescent="0.3">
      <c r="A27" s="22" t="e">
        <f>DETAILS!#REF!</f>
        <v>#REF!</v>
      </c>
      <c r="B27" s="3" t="e">
        <f>DETAILS!#REF!</f>
        <v>#REF!</v>
      </c>
      <c r="C27" s="26" t="e">
        <f>IFERROR(ROUND((VLOOKUP(A27,'UT-2(Entry)'!$1:$1048576,3,0))/2.5,0),VLOOKUP(A27,'UT-2(Entry)'!$1:$1048576,3,0))</f>
        <v>#REF!</v>
      </c>
      <c r="D27" s="26" t="e">
        <f>IFERROR(ROUND((VLOOKUP(A27,'UT-2(Entry)'!$1:$1048576,4,0))/2.5,0),VLOOKUP(A27,'UT-2(Entry)'!$1:$1048576,4,0))</f>
        <v>#REF!</v>
      </c>
      <c r="E27" s="26" t="e">
        <f>IFERROR(ROUND((VLOOKUP(A27,'UT-2(Entry)'!$1:$1048576,5,0))/2.5,0),VLOOKUP(A27,'UT-2(Entry)'!$1:$1048576,5,0))</f>
        <v>#REF!</v>
      </c>
      <c r="F27" s="26" t="e">
        <f>IFERROR(ROUND((VLOOKUP(A27,'UT-2(Entry)'!$1:$1048576,6,0))/2.5,0),VLOOKUP(A27,'UT-2(Entry)'!$1:$1048576,6,0))</f>
        <v>#REF!</v>
      </c>
      <c r="G27" s="26" t="e">
        <f>IFERROR(ROUND((VLOOKUP($A27,'UT-2(Entry)'!$1:$1048576,7,0))/2.5,0),VLOOKUP($A27,'UT-2(Entry)'!$1:$1048576,7,0))</f>
        <v>#REF!</v>
      </c>
      <c r="H27" s="26" t="e">
        <f>IFERROR(ROUND((VLOOKUP($A27,'UT-2(Entry)'!$1:$1048576,8,0))/2.5,0),VLOOKUP($A27,'UT-2(Entry)'!$1:$1048576,8,0))</f>
        <v>#REF!</v>
      </c>
      <c r="I27" s="26" t="e">
        <f t="shared" si="0"/>
        <v>#REF!</v>
      </c>
      <c r="J27" s="26" t="e">
        <f t="shared" si="1"/>
        <v>#REF!</v>
      </c>
      <c r="K27" s="3" t="e">
        <f>VLOOKUP(A27,'UT-2(Entry)'!$1:$1048576,9,0)</f>
        <v>#REF!</v>
      </c>
      <c r="L27" s="3" t="e">
        <f>VLOOKUP(A27,'UT-2(Entry)'!$1:$1048576,10,0)</f>
        <v>#REF!</v>
      </c>
    </row>
    <row r="28" spans="1:12" x14ac:dyDescent="0.3">
      <c r="A28" s="22" t="e">
        <f>DETAILS!#REF!</f>
        <v>#REF!</v>
      </c>
      <c r="B28" s="3" t="e">
        <f>DETAILS!#REF!</f>
        <v>#REF!</v>
      </c>
      <c r="C28" s="26" t="e">
        <f>IFERROR(ROUND((VLOOKUP(A28,'UT-2(Entry)'!$1:$1048576,3,0))/2.5,0),VLOOKUP(A28,'UT-2(Entry)'!$1:$1048576,3,0))</f>
        <v>#REF!</v>
      </c>
      <c r="D28" s="26" t="e">
        <f>IFERROR(ROUND((VLOOKUP(A28,'UT-2(Entry)'!$1:$1048576,4,0))/2.5,0),VLOOKUP(A28,'UT-2(Entry)'!$1:$1048576,4,0))</f>
        <v>#REF!</v>
      </c>
      <c r="E28" s="26" t="e">
        <f>IFERROR(ROUND((VLOOKUP(A28,'UT-2(Entry)'!$1:$1048576,5,0))/2.5,0),VLOOKUP(A28,'UT-2(Entry)'!$1:$1048576,5,0))</f>
        <v>#REF!</v>
      </c>
      <c r="F28" s="26" t="e">
        <f>IFERROR(ROUND((VLOOKUP(A28,'UT-2(Entry)'!$1:$1048576,6,0))/2.5,0),VLOOKUP(A28,'UT-2(Entry)'!$1:$1048576,6,0))</f>
        <v>#REF!</v>
      </c>
      <c r="G28" s="26" t="e">
        <f>IFERROR(ROUND((VLOOKUP($A28,'UT-2(Entry)'!$1:$1048576,7,0))/2.5,0),VLOOKUP($A28,'UT-2(Entry)'!$1:$1048576,7,0))</f>
        <v>#REF!</v>
      </c>
      <c r="H28" s="26" t="e">
        <f>IFERROR(ROUND((VLOOKUP($A28,'UT-2(Entry)'!$1:$1048576,8,0))/2.5,0),VLOOKUP($A28,'UT-2(Entry)'!$1:$1048576,8,0))</f>
        <v>#REF!</v>
      </c>
      <c r="I28" s="26" t="e">
        <f t="shared" si="0"/>
        <v>#REF!</v>
      </c>
      <c r="J28" s="26" t="e">
        <f t="shared" si="1"/>
        <v>#REF!</v>
      </c>
      <c r="K28" s="3" t="e">
        <f>VLOOKUP(A28,'UT-2(Entry)'!$1:$1048576,9,0)</f>
        <v>#REF!</v>
      </c>
      <c r="L28" s="3" t="e">
        <f>VLOOKUP(A28,'UT-2(Entry)'!$1:$1048576,10,0)</f>
        <v>#REF!</v>
      </c>
    </row>
    <row r="29" spans="1:12" x14ac:dyDescent="0.3">
      <c r="A29" s="22" t="e">
        <f>DETAILS!#REF!</f>
        <v>#REF!</v>
      </c>
      <c r="B29" s="3" t="e">
        <f>DETAILS!#REF!</f>
        <v>#REF!</v>
      </c>
      <c r="C29" s="26" t="e">
        <f>IFERROR(ROUND((VLOOKUP(A29,'UT-2(Entry)'!$1:$1048576,3,0))/2.5,0),VLOOKUP(A29,'UT-2(Entry)'!$1:$1048576,3,0))</f>
        <v>#REF!</v>
      </c>
      <c r="D29" s="26" t="e">
        <f>IFERROR(ROUND((VLOOKUP(A29,'UT-2(Entry)'!$1:$1048576,4,0))/2.5,0),VLOOKUP(A29,'UT-2(Entry)'!$1:$1048576,4,0))</f>
        <v>#REF!</v>
      </c>
      <c r="E29" s="26" t="e">
        <f>IFERROR(ROUND((VLOOKUP(A29,'UT-2(Entry)'!$1:$1048576,5,0))/2.5,0),VLOOKUP(A29,'UT-2(Entry)'!$1:$1048576,5,0))</f>
        <v>#REF!</v>
      </c>
      <c r="F29" s="26" t="e">
        <f>IFERROR(ROUND((VLOOKUP(A29,'UT-2(Entry)'!$1:$1048576,6,0))/2.5,0),VLOOKUP(A29,'UT-2(Entry)'!$1:$1048576,6,0))</f>
        <v>#REF!</v>
      </c>
      <c r="G29" s="26" t="e">
        <f>IFERROR(ROUND((VLOOKUP($A29,'UT-2(Entry)'!$1:$1048576,7,0))/2.5,0),VLOOKUP($A29,'UT-2(Entry)'!$1:$1048576,7,0))</f>
        <v>#REF!</v>
      </c>
      <c r="H29" s="26" t="e">
        <f>IFERROR(ROUND((VLOOKUP($A29,'UT-2(Entry)'!$1:$1048576,8,0))/2.5,0),VLOOKUP($A29,'UT-2(Entry)'!$1:$1048576,8,0))</f>
        <v>#REF!</v>
      </c>
      <c r="I29" s="26" t="e">
        <f t="shared" si="0"/>
        <v>#REF!</v>
      </c>
      <c r="J29" s="26" t="e">
        <f t="shared" si="1"/>
        <v>#REF!</v>
      </c>
      <c r="K29" s="3" t="e">
        <f>VLOOKUP(A29,'UT-2(Entry)'!$1:$1048576,9,0)</f>
        <v>#REF!</v>
      </c>
      <c r="L29" s="3" t="e">
        <f>VLOOKUP(A29,'UT-2(Entry)'!$1:$1048576,10,0)</f>
        <v>#REF!</v>
      </c>
    </row>
    <row r="30" spans="1:12" x14ac:dyDescent="0.3">
      <c r="A30" s="22" t="e">
        <f>DETAILS!#REF!</f>
        <v>#REF!</v>
      </c>
      <c r="B30" s="3" t="e">
        <f>DETAILS!#REF!</f>
        <v>#REF!</v>
      </c>
      <c r="C30" s="26" t="e">
        <f>IFERROR(ROUND((VLOOKUP(A30,'UT-2(Entry)'!$1:$1048576,3,0))/2.5,0),VLOOKUP(A30,'UT-2(Entry)'!$1:$1048576,3,0))</f>
        <v>#REF!</v>
      </c>
      <c r="D30" s="26" t="e">
        <f>IFERROR(ROUND((VLOOKUP(A30,'UT-2(Entry)'!$1:$1048576,4,0))/2.5,0),VLOOKUP(A30,'UT-2(Entry)'!$1:$1048576,4,0))</f>
        <v>#REF!</v>
      </c>
      <c r="E30" s="26" t="e">
        <f>IFERROR(ROUND((VLOOKUP(A30,'UT-2(Entry)'!$1:$1048576,5,0))/2.5,0),VLOOKUP(A30,'UT-2(Entry)'!$1:$1048576,5,0))</f>
        <v>#REF!</v>
      </c>
      <c r="F30" s="26" t="e">
        <f>IFERROR(ROUND((VLOOKUP(A30,'UT-2(Entry)'!$1:$1048576,6,0))/2.5,0),VLOOKUP(A30,'UT-2(Entry)'!$1:$1048576,6,0))</f>
        <v>#REF!</v>
      </c>
      <c r="G30" s="26" t="e">
        <f>IFERROR(ROUND((VLOOKUP($A30,'UT-2(Entry)'!$1:$1048576,7,0))/2.5,0),VLOOKUP($A30,'UT-2(Entry)'!$1:$1048576,7,0))</f>
        <v>#REF!</v>
      </c>
      <c r="H30" s="26" t="e">
        <f>IFERROR(ROUND((VLOOKUP($A30,'UT-2(Entry)'!$1:$1048576,8,0))/2.5,0),VLOOKUP($A30,'UT-2(Entry)'!$1:$1048576,8,0))</f>
        <v>#REF!</v>
      </c>
      <c r="I30" s="26" t="e">
        <f t="shared" si="0"/>
        <v>#REF!</v>
      </c>
      <c r="J30" s="26" t="e">
        <f t="shared" si="1"/>
        <v>#REF!</v>
      </c>
      <c r="K30" s="3" t="e">
        <f>VLOOKUP(A30,'UT-2(Entry)'!$1:$1048576,9,0)</f>
        <v>#REF!</v>
      </c>
      <c r="L30" s="3" t="e">
        <f>VLOOKUP(A30,'UT-2(Entry)'!$1:$1048576,10,0)</f>
        <v>#REF!</v>
      </c>
    </row>
    <row r="31" spans="1:12" x14ac:dyDescent="0.3">
      <c r="A31" s="22" t="e">
        <f>DETAILS!#REF!</f>
        <v>#REF!</v>
      </c>
      <c r="B31" s="3" t="e">
        <f>DETAILS!#REF!</f>
        <v>#REF!</v>
      </c>
      <c r="C31" s="26" t="e">
        <f>IFERROR(ROUND((VLOOKUP(A31,'UT-2(Entry)'!$1:$1048576,3,0))/2.5,0),VLOOKUP(A31,'UT-2(Entry)'!$1:$1048576,3,0))</f>
        <v>#REF!</v>
      </c>
      <c r="D31" s="26" t="e">
        <f>IFERROR(ROUND((VLOOKUP(A31,'UT-2(Entry)'!$1:$1048576,4,0))/2.5,0),VLOOKUP(A31,'UT-2(Entry)'!$1:$1048576,4,0))</f>
        <v>#REF!</v>
      </c>
      <c r="E31" s="26" t="e">
        <f>IFERROR(ROUND((VLOOKUP(A31,'UT-2(Entry)'!$1:$1048576,5,0))/2.5,0),VLOOKUP(A31,'UT-2(Entry)'!$1:$1048576,5,0))</f>
        <v>#REF!</v>
      </c>
      <c r="F31" s="26" t="e">
        <f>IFERROR(ROUND((VLOOKUP(A31,'UT-2(Entry)'!$1:$1048576,6,0))/2.5,0),VLOOKUP(A31,'UT-2(Entry)'!$1:$1048576,6,0))</f>
        <v>#REF!</v>
      </c>
      <c r="G31" s="26" t="e">
        <f>IFERROR(ROUND((VLOOKUP($A31,'UT-2(Entry)'!$1:$1048576,7,0))/2.5,0),VLOOKUP($A31,'UT-2(Entry)'!$1:$1048576,7,0))</f>
        <v>#REF!</v>
      </c>
      <c r="H31" s="26" t="e">
        <f>IFERROR(ROUND((VLOOKUP($A31,'UT-2(Entry)'!$1:$1048576,8,0))/2.5,0),VLOOKUP($A31,'UT-2(Entry)'!$1:$1048576,8,0))</f>
        <v>#REF!</v>
      </c>
      <c r="I31" s="26" t="e">
        <f t="shared" si="0"/>
        <v>#REF!</v>
      </c>
      <c r="J31" s="26" t="e">
        <f t="shared" si="1"/>
        <v>#REF!</v>
      </c>
      <c r="K31" s="3" t="e">
        <f>VLOOKUP(A31,'UT-2(Entry)'!$1:$1048576,9,0)</f>
        <v>#REF!</v>
      </c>
      <c r="L31" s="3" t="e">
        <f>VLOOKUP(A31,'UT-2(Entry)'!$1:$1048576,10,0)</f>
        <v>#REF!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IFERROR(ROUND((VLOOKUP(A32,'UT-2(Entry)'!$1:$1048576,3,0))/2.5,0),VLOOKUP(A32,'UT-2(Entry)'!$1:$1048576,3,0))</f>
        <v>#REF!</v>
      </c>
      <c r="D32" s="26" t="e">
        <f>IFERROR(ROUND((VLOOKUP(A32,'UT-2(Entry)'!$1:$1048576,4,0))/2.5,0),VLOOKUP(A32,'UT-2(Entry)'!$1:$1048576,4,0))</f>
        <v>#REF!</v>
      </c>
      <c r="E32" s="26" t="e">
        <f>IFERROR(ROUND((VLOOKUP(A32,'UT-2(Entry)'!$1:$1048576,5,0))/2.5,0),VLOOKUP(A32,'UT-2(Entry)'!$1:$1048576,5,0))</f>
        <v>#REF!</v>
      </c>
      <c r="F32" s="26" t="e">
        <f>IFERROR(ROUND((VLOOKUP(A32,'UT-2(Entry)'!$1:$1048576,6,0))/2.5,0),VLOOKUP(A32,'UT-2(Entry)'!$1:$1048576,6,0))</f>
        <v>#REF!</v>
      </c>
      <c r="G32" s="26" t="e">
        <f>IFERROR(ROUND((VLOOKUP($A32,'UT-2(Entry)'!$1:$1048576,7,0))/2.5,0),VLOOKUP($A32,'UT-2(Entry)'!$1:$1048576,7,0))</f>
        <v>#REF!</v>
      </c>
      <c r="H32" s="26" t="e">
        <f>IFERROR(ROUND((VLOOKUP($A32,'UT-2(Entry)'!$1:$1048576,8,0))/2.5,0),VLOOKUP($A32,'UT-2(Entry)'!$1:$1048576,8,0))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IFERROR(ROUND((VLOOKUP(A33,'UT-2(Entry)'!$1:$1048576,3,0))/2.5,0),VLOOKUP(A33,'UT-2(Entry)'!$1:$1048576,3,0))</f>
        <v>#REF!</v>
      </c>
      <c r="D33" s="26" t="e">
        <f>IFERROR(ROUND((VLOOKUP(A33,'UT-2(Entry)'!$1:$1048576,4,0))/2.5,0),VLOOKUP(A33,'UT-2(Entry)'!$1:$1048576,4,0))</f>
        <v>#REF!</v>
      </c>
      <c r="E33" s="26" t="e">
        <f>IFERROR(ROUND((VLOOKUP(A33,'UT-2(Entry)'!$1:$1048576,5,0))/2.5,0),VLOOKUP(A33,'UT-2(Entry)'!$1:$1048576,5,0))</f>
        <v>#REF!</v>
      </c>
      <c r="F33" s="26" t="e">
        <f>IFERROR(ROUND((VLOOKUP(A33,'UT-2(Entry)'!$1:$1048576,6,0))/2.5,0),VLOOKUP(A33,'UT-2(Entry)'!$1:$1048576,6,0))</f>
        <v>#REF!</v>
      </c>
      <c r="G33" s="26" t="e">
        <f>IFERROR(ROUND((VLOOKUP($A33,'UT-2(Entry)'!$1:$1048576,7,0))/2.5,0),VLOOKUP($A33,'UT-2(Entry)'!$1:$1048576,7,0))</f>
        <v>#REF!</v>
      </c>
      <c r="H33" s="26" t="e">
        <f>IFERROR(ROUND((VLOOKUP($A33,'UT-2(Entry)'!$1:$1048576,8,0))/2.5,0),VLOOKUP($A33,'UT-2(Entry)'!$1:$1048576,8,0))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IFERROR(ROUND((VLOOKUP(A34,'UT-2(Entry)'!$1:$1048576,3,0))/2.5,0),VLOOKUP(A34,'UT-2(Entry)'!$1:$1048576,3,0))</f>
        <v>#REF!</v>
      </c>
      <c r="D34" s="26" t="e">
        <f>IFERROR(ROUND((VLOOKUP(A34,'UT-2(Entry)'!$1:$1048576,4,0))/2.5,0),VLOOKUP(A34,'UT-2(Entry)'!$1:$1048576,4,0))</f>
        <v>#REF!</v>
      </c>
      <c r="E34" s="26" t="e">
        <f>IFERROR(ROUND((VLOOKUP(A34,'UT-2(Entry)'!$1:$1048576,5,0))/2.5,0),VLOOKUP(A34,'UT-2(Entry)'!$1:$1048576,5,0))</f>
        <v>#REF!</v>
      </c>
      <c r="F34" s="26" t="e">
        <f>IFERROR(ROUND((VLOOKUP(A34,'UT-2(Entry)'!$1:$1048576,6,0))/2.5,0),VLOOKUP(A34,'UT-2(Entry)'!$1:$1048576,6,0))</f>
        <v>#REF!</v>
      </c>
      <c r="G34" s="26" t="e">
        <f>IFERROR(ROUND((VLOOKUP($A34,'UT-2(Entry)'!$1:$1048576,7,0))/2.5,0),VLOOKUP($A34,'UT-2(Entry)'!$1:$1048576,7,0))</f>
        <v>#REF!</v>
      </c>
      <c r="H34" s="26" t="e">
        <f>IFERROR(ROUND((VLOOKUP($A34,'UT-2(Entry)'!$1:$1048576,8,0))/2.5,0),VLOOKUP($A34,'UT-2(Entry)'!$1:$1048576,8,0))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IFERROR(ROUND((VLOOKUP(A35,'UT-2(Entry)'!$1:$1048576,3,0))/2.5,0),VLOOKUP(A35,'UT-2(Entry)'!$1:$1048576,3,0))</f>
        <v>#REF!</v>
      </c>
      <c r="D35" s="26" t="e">
        <f>IFERROR(ROUND((VLOOKUP(A35,'UT-2(Entry)'!$1:$1048576,4,0))/2.5,0),VLOOKUP(A35,'UT-2(Entry)'!$1:$1048576,4,0))</f>
        <v>#REF!</v>
      </c>
      <c r="E35" s="26" t="e">
        <f>IFERROR(ROUND((VLOOKUP(A35,'UT-2(Entry)'!$1:$1048576,5,0))/2.5,0),VLOOKUP(A35,'UT-2(Entry)'!$1:$1048576,5,0))</f>
        <v>#REF!</v>
      </c>
      <c r="F35" s="26" t="e">
        <f>IFERROR(ROUND((VLOOKUP(A35,'UT-2(Entry)'!$1:$1048576,6,0))/2.5,0),VLOOKUP(A35,'UT-2(Entry)'!$1:$1048576,6,0))</f>
        <v>#REF!</v>
      </c>
      <c r="G35" s="26" t="e">
        <f>IFERROR(ROUND((VLOOKUP($A35,'UT-2(Entry)'!$1:$1048576,7,0))/2.5,0),VLOOKUP($A35,'UT-2(Entry)'!$1:$1048576,7,0))</f>
        <v>#REF!</v>
      </c>
      <c r="H35" s="26" t="e">
        <f>IFERROR(ROUND((VLOOKUP($A35,'UT-2(Entry)'!$1:$1048576,8,0))/2.5,0),VLOOKUP($A35,'UT-2(Entry)'!$1:$1048576,8,0))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IFERROR(ROUND((VLOOKUP(A36,'UT-2(Entry)'!$1:$1048576,3,0))/2.5,0),VLOOKUP(A36,'UT-2(Entry)'!$1:$1048576,3,0))</f>
        <v>#REF!</v>
      </c>
      <c r="D36" s="26" t="e">
        <f>IFERROR(ROUND((VLOOKUP(A36,'UT-2(Entry)'!$1:$1048576,4,0))/2.5,0),VLOOKUP(A36,'UT-2(Entry)'!$1:$1048576,4,0))</f>
        <v>#REF!</v>
      </c>
      <c r="E36" s="26" t="e">
        <f>IFERROR(ROUND((VLOOKUP(A36,'UT-2(Entry)'!$1:$1048576,5,0))/2.5,0),VLOOKUP(A36,'UT-2(Entry)'!$1:$1048576,5,0))</f>
        <v>#REF!</v>
      </c>
      <c r="F36" s="26" t="e">
        <f>IFERROR(ROUND((VLOOKUP(A36,'UT-2(Entry)'!$1:$1048576,6,0))/2.5,0),VLOOKUP(A36,'UT-2(Entry)'!$1:$1048576,6,0))</f>
        <v>#REF!</v>
      </c>
      <c r="G36" s="26" t="e">
        <f>IFERROR(ROUND((VLOOKUP($A36,'UT-2(Entry)'!$1:$1048576,7,0))/2.5,0),VLOOKUP($A36,'UT-2(Entry)'!$1:$1048576,7,0))</f>
        <v>#REF!</v>
      </c>
      <c r="H36" s="26" t="e">
        <f>IFERROR(ROUND((VLOOKUP($A36,'UT-2(Entry)'!$1:$1048576,8,0))/2.5,0),VLOOKUP($A36,'UT-2(Entry)'!$1:$1048576,8,0))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IFERROR(ROUND((VLOOKUP(A37,'UT-2(Entry)'!$1:$1048576,3,0))/2.5,0),VLOOKUP(A37,'UT-2(Entry)'!$1:$1048576,3,0))</f>
        <v>#REF!</v>
      </c>
      <c r="D37" s="26" t="e">
        <f>IFERROR(ROUND((VLOOKUP(A37,'UT-2(Entry)'!$1:$1048576,4,0))/2.5,0),VLOOKUP(A37,'UT-2(Entry)'!$1:$1048576,4,0))</f>
        <v>#REF!</v>
      </c>
      <c r="E37" s="26" t="e">
        <f>IFERROR(ROUND((VLOOKUP(A37,'UT-2(Entry)'!$1:$1048576,5,0))/2.5,0),VLOOKUP(A37,'UT-2(Entry)'!$1:$1048576,5,0))</f>
        <v>#REF!</v>
      </c>
      <c r="F37" s="26" t="e">
        <f>IFERROR(ROUND((VLOOKUP(A37,'UT-2(Entry)'!$1:$1048576,6,0))/2.5,0),VLOOKUP(A37,'UT-2(Entry)'!$1:$1048576,6,0))</f>
        <v>#REF!</v>
      </c>
      <c r="G37" s="26" t="e">
        <f>IFERROR(ROUND((VLOOKUP($A37,'UT-2(Entry)'!$1:$1048576,7,0))/2.5,0),VLOOKUP($A37,'UT-2(Entry)'!$1:$1048576,7,0))</f>
        <v>#REF!</v>
      </c>
      <c r="H37" s="26" t="e">
        <f>IFERROR(ROUND((VLOOKUP($A37,'UT-2(Entry)'!$1:$1048576,8,0))/2.5,0),VLOOKUP($A37,'UT-2(Entry)'!$1:$1048576,8,0))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IFERROR(ROUND((VLOOKUP(A38,'UT-2(Entry)'!$1:$1048576,3,0))/2.5,0),VLOOKUP(A38,'UT-2(Entry)'!$1:$1048576,3,0))</f>
        <v>#REF!</v>
      </c>
      <c r="D38" s="26" t="e">
        <f>IFERROR(ROUND((VLOOKUP(A38,'UT-2(Entry)'!$1:$1048576,4,0))/2.5,0),VLOOKUP(A38,'UT-2(Entry)'!$1:$1048576,4,0))</f>
        <v>#REF!</v>
      </c>
      <c r="E38" s="26" t="e">
        <f>IFERROR(ROUND((VLOOKUP(A38,'UT-2(Entry)'!$1:$1048576,5,0))/2.5,0),VLOOKUP(A38,'UT-2(Entry)'!$1:$1048576,5,0))</f>
        <v>#REF!</v>
      </c>
      <c r="F38" s="26" t="e">
        <f>IFERROR(ROUND((VLOOKUP(A38,'UT-2(Entry)'!$1:$1048576,6,0))/2.5,0),VLOOKUP(A38,'UT-2(Entry)'!$1:$1048576,6,0))</f>
        <v>#REF!</v>
      </c>
      <c r="G38" s="26" t="e">
        <f>IFERROR(ROUND((VLOOKUP($A38,'UT-2(Entry)'!$1:$1048576,7,0))/2.5,0),VLOOKUP($A38,'UT-2(Entry)'!$1:$1048576,7,0))</f>
        <v>#REF!</v>
      </c>
      <c r="H38" s="26" t="e">
        <f>IFERROR(ROUND((VLOOKUP($A38,'UT-2(Entry)'!$1:$1048576,8,0))/2.5,0),VLOOKUP($A38,'UT-2(Entry)'!$1:$1048576,8,0))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IFERROR(ROUND((VLOOKUP(A39,'UT-2(Entry)'!$1:$1048576,3,0))/2.5,0),VLOOKUP(A39,'UT-2(Entry)'!$1:$1048576,3,0))</f>
        <v>#REF!</v>
      </c>
      <c r="D39" s="26" t="e">
        <f>IFERROR(ROUND((VLOOKUP(A39,'UT-2(Entry)'!$1:$1048576,4,0))/2.5,0),VLOOKUP(A39,'UT-2(Entry)'!$1:$1048576,4,0))</f>
        <v>#REF!</v>
      </c>
      <c r="E39" s="26" t="e">
        <f>IFERROR(ROUND((VLOOKUP(A39,'UT-2(Entry)'!$1:$1048576,5,0))/2.5,0),VLOOKUP(A39,'UT-2(Entry)'!$1:$1048576,5,0))</f>
        <v>#REF!</v>
      </c>
      <c r="F39" s="26" t="e">
        <f>IFERROR(ROUND((VLOOKUP(A39,'UT-2(Entry)'!$1:$1048576,6,0))/2.5,0),VLOOKUP(A39,'UT-2(Entry)'!$1:$1048576,6,0))</f>
        <v>#REF!</v>
      </c>
      <c r="G39" s="26" t="e">
        <f>IFERROR(ROUND((VLOOKUP($A39,'UT-2(Entry)'!$1:$1048576,7,0))/2.5,0),VLOOKUP($A39,'UT-2(Entry)'!$1:$1048576,7,0))</f>
        <v>#REF!</v>
      </c>
      <c r="H39" s="26" t="e">
        <f>IFERROR(ROUND((VLOOKUP($A39,'UT-2(Entry)'!$1:$1048576,8,0))/2.5,0),VLOOKUP($A39,'UT-2(Entry)'!$1:$1048576,8,0))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IFERROR(ROUND((VLOOKUP(A40,'UT-2(Entry)'!$1:$1048576,3,0))/2.5,0),VLOOKUP(A40,'UT-2(Entry)'!$1:$1048576,3,0))</f>
        <v>#REF!</v>
      </c>
      <c r="D40" s="26" t="e">
        <f>IFERROR(ROUND((VLOOKUP(A40,'UT-2(Entry)'!$1:$1048576,4,0))/2.5,0),VLOOKUP(A40,'UT-2(Entry)'!$1:$1048576,4,0))</f>
        <v>#REF!</v>
      </c>
      <c r="E40" s="26" t="e">
        <f>IFERROR(ROUND((VLOOKUP(A40,'UT-2(Entry)'!$1:$1048576,5,0))/2.5,0),VLOOKUP(A40,'UT-2(Entry)'!$1:$1048576,5,0))</f>
        <v>#REF!</v>
      </c>
      <c r="F40" s="26" t="e">
        <f>IFERROR(ROUND((VLOOKUP(A40,'UT-2(Entry)'!$1:$1048576,6,0))/2.5,0),VLOOKUP(A40,'UT-2(Entry)'!$1:$1048576,6,0))</f>
        <v>#REF!</v>
      </c>
      <c r="G40" s="26" t="e">
        <f>IFERROR(ROUND((VLOOKUP($A40,'UT-2(Entry)'!$1:$1048576,7,0))/2.5,0),VLOOKUP($A40,'UT-2(Entry)'!$1:$1048576,7,0))</f>
        <v>#REF!</v>
      </c>
      <c r="H40" s="26" t="e">
        <f>IFERROR(ROUND((VLOOKUP($A40,'UT-2(Entry)'!$1:$1048576,8,0))/2.5,0),VLOOKUP($A40,'UT-2(Entry)'!$1:$1048576,8,0))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IFERROR(ROUND((VLOOKUP(A41,'UT-2(Entry)'!$1:$1048576,3,0))/2.5,0),VLOOKUP(A41,'UT-2(Entry)'!$1:$1048576,3,0))</f>
        <v>#REF!</v>
      </c>
      <c r="D41" s="26" t="e">
        <f>IFERROR(ROUND((VLOOKUP(A41,'UT-2(Entry)'!$1:$1048576,4,0))/2.5,0),VLOOKUP(A41,'UT-2(Entry)'!$1:$1048576,4,0))</f>
        <v>#REF!</v>
      </c>
      <c r="E41" s="26" t="e">
        <f>IFERROR(ROUND((VLOOKUP(A41,'UT-2(Entry)'!$1:$1048576,5,0))/2.5,0),VLOOKUP(A41,'UT-2(Entry)'!$1:$1048576,5,0))</f>
        <v>#REF!</v>
      </c>
      <c r="F41" s="26" t="e">
        <f>IFERROR(ROUND((VLOOKUP(A41,'UT-2(Entry)'!$1:$1048576,6,0))/2.5,0),VLOOKUP(A41,'UT-2(Entry)'!$1:$1048576,6,0))</f>
        <v>#REF!</v>
      </c>
      <c r="G41" s="26" t="e">
        <f>IFERROR(ROUND((VLOOKUP($A41,'UT-2(Entry)'!$1:$1048576,7,0))/2.5,0),VLOOKUP($A41,'UT-2(Entry)'!$1:$1048576,7,0))</f>
        <v>#REF!</v>
      </c>
      <c r="H41" s="26" t="e">
        <f>IFERROR(ROUND((VLOOKUP($A41,'UT-2(Entry)'!$1:$1048576,8,0))/2.5,0),VLOOKUP($A41,'UT-2(Entry)'!$1:$1048576,8,0))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IFERROR(ROUND((VLOOKUP(A42,'UT-2(Entry)'!$1:$1048576,3,0))/2.5,0),VLOOKUP(A42,'UT-2(Entry)'!$1:$1048576,3,0))</f>
        <v>#REF!</v>
      </c>
      <c r="D42" s="26" t="e">
        <f>IFERROR(ROUND((VLOOKUP(A42,'UT-2(Entry)'!$1:$1048576,4,0))/2.5,0),VLOOKUP(A42,'UT-2(Entry)'!$1:$1048576,4,0))</f>
        <v>#REF!</v>
      </c>
      <c r="E42" s="26" t="e">
        <f>IFERROR(ROUND((VLOOKUP(A42,'UT-2(Entry)'!$1:$1048576,5,0))/2.5,0),VLOOKUP(A42,'UT-2(Entry)'!$1:$1048576,5,0))</f>
        <v>#REF!</v>
      </c>
      <c r="F42" s="26" t="e">
        <f>IFERROR(ROUND((VLOOKUP(A42,'UT-2(Entry)'!$1:$1048576,6,0))/2.5,0),VLOOKUP(A42,'UT-2(Entry)'!$1:$1048576,6,0))</f>
        <v>#REF!</v>
      </c>
      <c r="G42" s="26" t="e">
        <f>IFERROR(ROUND((VLOOKUP($A42,'UT-2(Entry)'!$1:$1048576,7,0))/2.5,0),VLOOKUP($A42,'UT-2(Entry)'!$1:$1048576,7,0))</f>
        <v>#REF!</v>
      </c>
      <c r="H42" s="26" t="e">
        <f>IFERROR(ROUND((VLOOKUP($A42,'UT-2(Entry)'!$1:$1048576,8,0))/2.5,0),VLOOKUP($A42,'UT-2(Entry)'!$1:$1048576,8,0))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115" zoomScaleNormal="115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45" t="s">
        <v>104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93</v>
      </c>
      <c r="E2" s="29" t="s">
        <v>99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33203125" customWidth="1"/>
    <col min="11" max="14" width="10.88671875" customWidth="1"/>
    <col min="15" max="15" width="31.5546875" customWidth="1"/>
    <col min="17" max="17" width="11.44140625" customWidth="1"/>
  </cols>
  <sheetData>
    <row r="1" spans="1:17" x14ac:dyDescent="0.3">
      <c r="A1" s="45" t="s">
        <v>104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</row>
    <row r="2" spans="1:17" ht="44.25" customHeight="1" x14ac:dyDescent="0.3">
      <c r="A2" s="24" t="s">
        <v>39</v>
      </c>
      <c r="B2" s="24" t="s">
        <v>40</v>
      </c>
      <c r="C2" s="29" t="s">
        <v>9</v>
      </c>
      <c r="D2" s="29" t="s">
        <v>93</v>
      </c>
      <c r="E2" s="29" t="s">
        <v>102</v>
      </c>
      <c r="F2" s="29" t="s">
        <v>101</v>
      </c>
      <c r="G2" s="29" t="s">
        <v>100</v>
      </c>
      <c r="H2" s="24" t="s">
        <v>94</v>
      </c>
      <c r="I2" s="24" t="s">
        <v>42</v>
      </c>
      <c r="J2" s="24" t="s">
        <v>43</v>
      </c>
      <c r="K2" s="24" t="s">
        <v>44</v>
      </c>
      <c r="L2" s="24" t="s">
        <v>45</v>
      </c>
      <c r="M2" s="30" t="s">
        <v>64</v>
      </c>
      <c r="N2" s="30" t="s">
        <v>65</v>
      </c>
      <c r="O2" s="30" t="s">
        <v>66</v>
      </c>
      <c r="P2" s="30" t="s">
        <v>41</v>
      </c>
      <c r="Q2" s="30" t="s">
        <v>59</v>
      </c>
    </row>
    <row r="3" spans="1:17" x14ac:dyDescent="0.3">
      <c r="A3" s="22">
        <f>DETAILS!A3</f>
        <v>688</v>
      </c>
      <c r="B3" s="3" t="str">
        <f>DETAILS!B3</f>
        <v>AMINUDDIN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1011</v>
      </c>
      <c r="B4" s="3" t="str">
        <f>DETAILS!B4</f>
        <v>ARPIT VERMA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692</v>
      </c>
      <c r="B5" s="3" t="str">
        <f>DETAILS!B5</f>
        <v>ATUL VERMA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1931</v>
      </c>
      <c r="B6" s="3" t="str">
        <f>DETAILS!B6</f>
        <v>GAURAV GAUTAM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1509</v>
      </c>
      <c r="B7" s="3" t="str">
        <f>DETAILS!B7</f>
        <v>HIMANSHU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694</v>
      </c>
      <c r="B8" s="3" t="str">
        <f>DETAILS!B8</f>
        <v>JYOTIRADITYA DAS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1873</v>
      </c>
      <c r="B9" s="3" t="str">
        <f>DETAILS!B9</f>
        <v>MASIRA AKHTAR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1491</v>
      </c>
      <c r="B10" s="3" t="str">
        <f>DETAILS!B10</f>
        <v>SIDDHARTH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701</v>
      </c>
      <c r="B11" s="3" t="str">
        <f>DETAILS!B11</f>
        <v>YASH SONI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 t="e">
        <f>DETAILS!#REF!</f>
        <v>#REF!</v>
      </c>
      <c r="B12" s="3" t="e">
        <f>DETAILS!#REF!</f>
        <v>#REF!</v>
      </c>
      <c r="C12" s="26" t="e">
        <f>VLOOKUP($A12,'Annual(Entry)'!$1:$1048576,3,0)</f>
        <v>#REF!</v>
      </c>
      <c r="D12" s="26" t="e">
        <f>VLOOKUP($A12,'Annual(Entry)'!$1:$1048576,4,0)</f>
        <v>#REF!</v>
      </c>
      <c r="E12" s="26" t="e">
        <f>VLOOKUP($A12,'Annual(Entry)'!$1:$1048576,5,0)</f>
        <v>#REF!</v>
      </c>
      <c r="F12" s="26" t="e">
        <f>VLOOKUP($A12,'Annual(Entry)'!$1:$1048576,6,0)</f>
        <v>#REF!</v>
      </c>
      <c r="G12" s="26" t="e">
        <f>VLOOKUP($A12,'Annual(Entry)'!$1:$1048576,7,0)</f>
        <v>#REF!</v>
      </c>
      <c r="H12" s="26" t="e">
        <f>VLOOKUP($A12,'Annual(Entry)'!$1:$1048576,8,0)</f>
        <v>#REF!</v>
      </c>
      <c r="I12" s="26" t="e">
        <f>VLOOKUP($A12,'Annual(Entry)'!$1:$1048576,9,0)</f>
        <v>#REF!</v>
      </c>
      <c r="J12" s="26" t="e">
        <f>VLOOKUP($A12,'Annual(Entry)'!$1:$1048576,10,0)</f>
        <v>#REF!</v>
      </c>
      <c r="K12" s="26" t="e">
        <f>VLOOKUP($A12,'Annual(Entry)'!$1:$1048576,11,0)</f>
        <v>#REF!</v>
      </c>
      <c r="L12" s="26" t="e">
        <f>VLOOKUP($A12,'Annual(Entry)'!$1:$1048576,12,0)</f>
        <v>#REF!</v>
      </c>
      <c r="M12" s="26" t="e">
        <f>VLOOKUP($A12,'Annual(Entry)'!$1:$1048576,13,0)</f>
        <v>#REF!</v>
      </c>
      <c r="N12" s="26" t="e">
        <f>VLOOKUP($A12,'Annual(Entry)'!$1:$1048576,14,0)</f>
        <v>#REF!</v>
      </c>
      <c r="O12" s="31" t="e">
        <f>VLOOKUP($A12,'Annual(Entry)'!$1:$1048576,15,0)</f>
        <v>#REF!</v>
      </c>
      <c r="P12" s="26" t="e">
        <f t="shared" si="1"/>
        <v>#REF!</v>
      </c>
      <c r="Q12" s="26" t="e">
        <f t="shared" si="0"/>
        <v>#REF!</v>
      </c>
    </row>
    <row r="13" spans="1:17" x14ac:dyDescent="0.3">
      <c r="A13" s="22" t="e">
        <f>DETAILS!#REF!</f>
        <v>#REF!</v>
      </c>
      <c r="B13" s="3" t="e">
        <f>DETAILS!#REF!</f>
        <v>#REF!</v>
      </c>
      <c r="C13" s="26" t="e">
        <f>VLOOKUP($A13,'Annual(Entry)'!$1:$1048576,3,0)</f>
        <v>#REF!</v>
      </c>
      <c r="D13" s="26" t="e">
        <f>VLOOKUP($A13,'Annual(Entry)'!$1:$1048576,4,0)</f>
        <v>#REF!</v>
      </c>
      <c r="E13" s="26" t="e">
        <f>VLOOKUP($A13,'Annual(Entry)'!$1:$1048576,5,0)</f>
        <v>#REF!</v>
      </c>
      <c r="F13" s="26" t="e">
        <f>VLOOKUP($A13,'Annual(Entry)'!$1:$1048576,6,0)</f>
        <v>#REF!</v>
      </c>
      <c r="G13" s="26" t="e">
        <f>VLOOKUP($A13,'Annual(Entry)'!$1:$1048576,7,0)</f>
        <v>#REF!</v>
      </c>
      <c r="H13" s="26" t="e">
        <f>VLOOKUP($A13,'Annual(Entry)'!$1:$1048576,8,0)</f>
        <v>#REF!</v>
      </c>
      <c r="I13" s="26" t="e">
        <f>VLOOKUP($A13,'Annual(Entry)'!$1:$1048576,9,0)</f>
        <v>#REF!</v>
      </c>
      <c r="J13" s="26" t="e">
        <f>VLOOKUP($A13,'Annual(Entry)'!$1:$1048576,10,0)</f>
        <v>#REF!</v>
      </c>
      <c r="K13" s="26" t="e">
        <f>VLOOKUP($A13,'Annual(Entry)'!$1:$1048576,11,0)</f>
        <v>#REF!</v>
      </c>
      <c r="L13" s="26" t="e">
        <f>VLOOKUP($A13,'Annual(Entry)'!$1:$1048576,12,0)</f>
        <v>#REF!</v>
      </c>
      <c r="M13" s="26" t="e">
        <f>VLOOKUP($A13,'Annual(Entry)'!$1:$1048576,13,0)</f>
        <v>#REF!</v>
      </c>
      <c r="N13" s="26" t="e">
        <f>VLOOKUP($A13,'Annual(Entry)'!$1:$1048576,14,0)</f>
        <v>#REF!</v>
      </c>
      <c r="O13" s="31" t="e">
        <f>VLOOKUP($A13,'Annual(Entry)'!$1:$1048576,15,0)</f>
        <v>#REF!</v>
      </c>
      <c r="P13" s="26" t="e">
        <f t="shared" si="1"/>
        <v>#REF!</v>
      </c>
      <c r="Q13" s="26" t="e">
        <f t="shared" si="0"/>
        <v>#REF!</v>
      </c>
    </row>
    <row r="14" spans="1:17" x14ac:dyDescent="0.3">
      <c r="A14" s="22" t="e">
        <f>DETAILS!#REF!</f>
        <v>#REF!</v>
      </c>
      <c r="B14" s="3" t="e">
        <f>DETAILS!#REF!</f>
        <v>#REF!</v>
      </c>
      <c r="C14" s="26" t="e">
        <f>VLOOKUP($A14,'Annual(Entry)'!$1:$1048576,3,0)</f>
        <v>#REF!</v>
      </c>
      <c r="D14" s="26" t="e">
        <f>VLOOKUP($A14,'Annual(Entry)'!$1:$1048576,4,0)</f>
        <v>#REF!</v>
      </c>
      <c r="E14" s="26" t="e">
        <f>VLOOKUP($A14,'Annual(Entry)'!$1:$1048576,5,0)</f>
        <v>#REF!</v>
      </c>
      <c r="F14" s="26" t="e">
        <f>VLOOKUP($A14,'Annual(Entry)'!$1:$1048576,6,0)</f>
        <v>#REF!</v>
      </c>
      <c r="G14" s="26" t="e">
        <f>VLOOKUP($A14,'Annual(Entry)'!$1:$1048576,7,0)</f>
        <v>#REF!</v>
      </c>
      <c r="H14" s="26" t="e">
        <f>VLOOKUP($A14,'Annual(Entry)'!$1:$1048576,8,0)</f>
        <v>#REF!</v>
      </c>
      <c r="I14" s="26" t="e">
        <f>VLOOKUP($A14,'Annual(Entry)'!$1:$1048576,9,0)</f>
        <v>#REF!</v>
      </c>
      <c r="J14" s="26" t="e">
        <f>VLOOKUP($A14,'Annual(Entry)'!$1:$1048576,10,0)</f>
        <v>#REF!</v>
      </c>
      <c r="K14" s="26" t="e">
        <f>VLOOKUP($A14,'Annual(Entry)'!$1:$1048576,11,0)</f>
        <v>#REF!</v>
      </c>
      <c r="L14" s="26" t="e">
        <f>VLOOKUP($A14,'Annual(Entry)'!$1:$1048576,12,0)</f>
        <v>#REF!</v>
      </c>
      <c r="M14" s="26" t="e">
        <f>VLOOKUP($A14,'Annual(Entry)'!$1:$1048576,13,0)</f>
        <v>#REF!</v>
      </c>
      <c r="N14" s="26" t="e">
        <f>VLOOKUP($A14,'Annual(Entry)'!$1:$1048576,14,0)</f>
        <v>#REF!</v>
      </c>
      <c r="O14" s="31" t="e">
        <f>VLOOKUP($A14,'Annual(Entry)'!$1:$1048576,15,0)</f>
        <v>#REF!</v>
      </c>
      <c r="P14" s="26" t="e">
        <f t="shared" si="1"/>
        <v>#REF!</v>
      </c>
      <c r="Q14" s="26" t="e">
        <f t="shared" si="0"/>
        <v>#REF!</v>
      </c>
    </row>
    <row r="15" spans="1:17" x14ac:dyDescent="0.3">
      <c r="A15" s="22" t="e">
        <f>DETAILS!#REF!</f>
        <v>#REF!</v>
      </c>
      <c r="B15" s="3" t="e">
        <f>DETAILS!#REF!</f>
        <v>#REF!</v>
      </c>
      <c r="C15" s="26" t="e">
        <f>VLOOKUP($A15,'Annual(Entry)'!$1:$1048576,3,0)</f>
        <v>#REF!</v>
      </c>
      <c r="D15" s="26" t="e">
        <f>VLOOKUP($A15,'Annual(Entry)'!$1:$1048576,4,0)</f>
        <v>#REF!</v>
      </c>
      <c r="E15" s="26" t="e">
        <f>VLOOKUP($A15,'Annual(Entry)'!$1:$1048576,5,0)</f>
        <v>#REF!</v>
      </c>
      <c r="F15" s="26" t="e">
        <f>VLOOKUP($A15,'Annual(Entry)'!$1:$1048576,6,0)</f>
        <v>#REF!</v>
      </c>
      <c r="G15" s="26" t="e">
        <f>VLOOKUP($A15,'Annual(Entry)'!$1:$1048576,7,0)</f>
        <v>#REF!</v>
      </c>
      <c r="H15" s="26" t="e">
        <f>VLOOKUP($A15,'Annual(Entry)'!$1:$1048576,8,0)</f>
        <v>#REF!</v>
      </c>
      <c r="I15" s="26" t="e">
        <f>VLOOKUP($A15,'Annual(Entry)'!$1:$1048576,9,0)</f>
        <v>#REF!</v>
      </c>
      <c r="J15" s="26" t="e">
        <f>VLOOKUP($A15,'Annual(Entry)'!$1:$1048576,10,0)</f>
        <v>#REF!</v>
      </c>
      <c r="K15" s="26" t="e">
        <f>VLOOKUP($A15,'Annual(Entry)'!$1:$1048576,11,0)</f>
        <v>#REF!</v>
      </c>
      <c r="L15" s="26" t="e">
        <f>VLOOKUP($A15,'Annual(Entry)'!$1:$1048576,12,0)</f>
        <v>#REF!</v>
      </c>
      <c r="M15" s="26" t="e">
        <f>VLOOKUP($A15,'Annual(Entry)'!$1:$1048576,13,0)</f>
        <v>#REF!</v>
      </c>
      <c r="N15" s="26" t="e">
        <f>VLOOKUP($A15,'Annual(Entry)'!$1:$1048576,14,0)</f>
        <v>#REF!</v>
      </c>
      <c r="O15" s="31" t="e">
        <f>VLOOKUP($A15,'Annual(Entry)'!$1:$1048576,15,0)</f>
        <v>#REF!</v>
      </c>
      <c r="P15" s="26" t="e">
        <f t="shared" si="1"/>
        <v>#REF!</v>
      </c>
      <c r="Q15" s="26" t="e">
        <f t="shared" si="0"/>
        <v>#REF!</v>
      </c>
    </row>
    <row r="16" spans="1:17" x14ac:dyDescent="0.3">
      <c r="A16" s="22" t="e">
        <f>DETAILS!#REF!</f>
        <v>#REF!</v>
      </c>
      <c r="B16" s="3" t="e">
        <f>DETAILS!#REF!</f>
        <v>#REF!</v>
      </c>
      <c r="C16" s="26" t="e">
        <f>VLOOKUP($A16,'Annual(Entry)'!$1:$1048576,3,0)</f>
        <v>#REF!</v>
      </c>
      <c r="D16" s="26" t="e">
        <f>VLOOKUP($A16,'Annual(Entry)'!$1:$1048576,4,0)</f>
        <v>#REF!</v>
      </c>
      <c r="E16" s="26" t="e">
        <f>VLOOKUP($A16,'Annual(Entry)'!$1:$1048576,5,0)</f>
        <v>#REF!</v>
      </c>
      <c r="F16" s="26" t="e">
        <f>VLOOKUP($A16,'Annual(Entry)'!$1:$1048576,6,0)</f>
        <v>#REF!</v>
      </c>
      <c r="G16" s="26" t="e">
        <f>VLOOKUP($A16,'Annual(Entry)'!$1:$1048576,7,0)</f>
        <v>#REF!</v>
      </c>
      <c r="H16" s="26" t="e">
        <f>VLOOKUP($A16,'Annual(Entry)'!$1:$1048576,8,0)</f>
        <v>#REF!</v>
      </c>
      <c r="I16" s="26" t="e">
        <f>VLOOKUP($A16,'Annual(Entry)'!$1:$1048576,9,0)</f>
        <v>#REF!</v>
      </c>
      <c r="J16" s="26" t="e">
        <f>VLOOKUP($A16,'Annual(Entry)'!$1:$1048576,10,0)</f>
        <v>#REF!</v>
      </c>
      <c r="K16" s="26" t="e">
        <f>VLOOKUP($A16,'Annual(Entry)'!$1:$1048576,11,0)</f>
        <v>#REF!</v>
      </c>
      <c r="L16" s="26" t="e">
        <f>VLOOKUP($A16,'Annual(Entry)'!$1:$1048576,12,0)</f>
        <v>#REF!</v>
      </c>
      <c r="M16" s="26" t="e">
        <f>VLOOKUP($A16,'Annual(Entry)'!$1:$1048576,13,0)</f>
        <v>#REF!</v>
      </c>
      <c r="N16" s="26" t="e">
        <f>VLOOKUP($A16,'Annual(Entry)'!$1:$1048576,14,0)</f>
        <v>#REF!</v>
      </c>
      <c r="O16" s="31" t="e">
        <f>VLOOKUP($A16,'Annual(Entry)'!$1:$1048576,15,0)</f>
        <v>#REF!</v>
      </c>
      <c r="P16" s="26" t="e">
        <f t="shared" si="1"/>
        <v>#REF!</v>
      </c>
      <c r="Q16" s="26" t="e">
        <f t="shared" si="0"/>
        <v>#REF!</v>
      </c>
    </row>
    <row r="17" spans="1:17" x14ac:dyDescent="0.3">
      <c r="A17" s="22" t="e">
        <f>DETAILS!#REF!</f>
        <v>#REF!</v>
      </c>
      <c r="B17" s="3" t="e">
        <f>DETAILS!#REF!</f>
        <v>#REF!</v>
      </c>
      <c r="C17" s="26" t="e">
        <f>VLOOKUP($A17,'Annual(Entry)'!$1:$1048576,3,0)</f>
        <v>#REF!</v>
      </c>
      <c r="D17" s="26" t="e">
        <f>VLOOKUP($A17,'Annual(Entry)'!$1:$1048576,4,0)</f>
        <v>#REF!</v>
      </c>
      <c r="E17" s="26" t="e">
        <f>VLOOKUP($A17,'Annual(Entry)'!$1:$1048576,5,0)</f>
        <v>#REF!</v>
      </c>
      <c r="F17" s="26" t="e">
        <f>VLOOKUP($A17,'Annual(Entry)'!$1:$1048576,6,0)</f>
        <v>#REF!</v>
      </c>
      <c r="G17" s="26" t="e">
        <f>VLOOKUP($A17,'Annual(Entry)'!$1:$1048576,7,0)</f>
        <v>#REF!</v>
      </c>
      <c r="H17" s="26" t="e">
        <f>VLOOKUP($A17,'Annual(Entry)'!$1:$1048576,8,0)</f>
        <v>#REF!</v>
      </c>
      <c r="I17" s="26" t="e">
        <f>VLOOKUP($A17,'Annual(Entry)'!$1:$1048576,9,0)</f>
        <v>#REF!</v>
      </c>
      <c r="J17" s="26" t="e">
        <f>VLOOKUP($A17,'Annual(Entry)'!$1:$1048576,10,0)</f>
        <v>#REF!</v>
      </c>
      <c r="K17" s="26" t="e">
        <f>VLOOKUP($A17,'Annual(Entry)'!$1:$1048576,11,0)</f>
        <v>#REF!</v>
      </c>
      <c r="L17" s="26" t="e">
        <f>VLOOKUP($A17,'Annual(Entry)'!$1:$1048576,12,0)</f>
        <v>#REF!</v>
      </c>
      <c r="M17" s="26" t="e">
        <f>VLOOKUP($A17,'Annual(Entry)'!$1:$1048576,13,0)</f>
        <v>#REF!</v>
      </c>
      <c r="N17" s="26" t="e">
        <f>VLOOKUP($A17,'Annual(Entry)'!$1:$1048576,14,0)</f>
        <v>#REF!</v>
      </c>
      <c r="O17" s="31" t="e">
        <f>VLOOKUP($A17,'Annual(Entry)'!$1:$1048576,15,0)</f>
        <v>#REF!</v>
      </c>
      <c r="P17" s="26" t="e">
        <f t="shared" si="1"/>
        <v>#REF!</v>
      </c>
      <c r="Q17" s="26" t="e">
        <f t="shared" si="0"/>
        <v>#REF!</v>
      </c>
    </row>
    <row r="18" spans="1:17" x14ac:dyDescent="0.3">
      <c r="A18" s="22" t="e">
        <f>DETAILS!#REF!</f>
        <v>#REF!</v>
      </c>
      <c r="B18" s="3" t="e">
        <f>DETAILS!#REF!</f>
        <v>#REF!</v>
      </c>
      <c r="C18" s="26" t="e">
        <f>VLOOKUP($A18,'Annual(Entry)'!$1:$1048576,3,0)</f>
        <v>#REF!</v>
      </c>
      <c r="D18" s="26" t="e">
        <f>VLOOKUP($A18,'Annual(Entry)'!$1:$1048576,4,0)</f>
        <v>#REF!</v>
      </c>
      <c r="E18" s="26" t="e">
        <f>VLOOKUP($A18,'Annual(Entry)'!$1:$1048576,5,0)</f>
        <v>#REF!</v>
      </c>
      <c r="F18" s="26" t="e">
        <f>VLOOKUP($A18,'Annual(Entry)'!$1:$1048576,6,0)</f>
        <v>#REF!</v>
      </c>
      <c r="G18" s="26" t="e">
        <f>VLOOKUP($A18,'Annual(Entry)'!$1:$1048576,7,0)</f>
        <v>#REF!</v>
      </c>
      <c r="H18" s="26" t="e">
        <f>VLOOKUP($A18,'Annual(Entry)'!$1:$1048576,8,0)</f>
        <v>#REF!</v>
      </c>
      <c r="I18" s="26" t="e">
        <f>VLOOKUP($A18,'Annual(Entry)'!$1:$1048576,9,0)</f>
        <v>#REF!</v>
      </c>
      <c r="J18" s="26" t="e">
        <f>VLOOKUP($A18,'Annual(Entry)'!$1:$1048576,10,0)</f>
        <v>#REF!</v>
      </c>
      <c r="K18" s="26" t="e">
        <f>VLOOKUP($A18,'Annual(Entry)'!$1:$1048576,11,0)</f>
        <v>#REF!</v>
      </c>
      <c r="L18" s="26" t="e">
        <f>VLOOKUP($A18,'Annual(Entry)'!$1:$1048576,12,0)</f>
        <v>#REF!</v>
      </c>
      <c r="M18" s="26" t="e">
        <f>VLOOKUP($A18,'Annual(Entry)'!$1:$1048576,13,0)</f>
        <v>#REF!</v>
      </c>
      <c r="N18" s="26" t="e">
        <f>VLOOKUP($A18,'Annual(Entry)'!$1:$1048576,14,0)</f>
        <v>#REF!</v>
      </c>
      <c r="O18" s="31" t="e">
        <f>VLOOKUP($A18,'Annual(Entry)'!$1:$1048576,15,0)</f>
        <v>#REF!</v>
      </c>
      <c r="P18" s="26" t="e">
        <f t="shared" si="1"/>
        <v>#REF!</v>
      </c>
      <c r="Q18" s="26" t="e">
        <f t="shared" si="0"/>
        <v>#REF!</v>
      </c>
    </row>
    <row r="19" spans="1:17" x14ac:dyDescent="0.3">
      <c r="A19" s="22" t="e">
        <f>DETAILS!#REF!</f>
        <v>#REF!</v>
      </c>
      <c r="B19" s="3" t="e">
        <f>DETAILS!#REF!</f>
        <v>#REF!</v>
      </c>
      <c r="C19" s="26" t="e">
        <f>VLOOKUP($A19,'Annual(Entry)'!$1:$1048576,3,0)</f>
        <v>#REF!</v>
      </c>
      <c r="D19" s="26" t="e">
        <f>VLOOKUP($A19,'Annual(Entry)'!$1:$1048576,4,0)</f>
        <v>#REF!</v>
      </c>
      <c r="E19" s="26" t="e">
        <f>VLOOKUP($A19,'Annual(Entry)'!$1:$1048576,5,0)</f>
        <v>#REF!</v>
      </c>
      <c r="F19" s="26" t="e">
        <f>VLOOKUP($A19,'Annual(Entry)'!$1:$1048576,6,0)</f>
        <v>#REF!</v>
      </c>
      <c r="G19" s="26" t="e">
        <f>VLOOKUP($A19,'Annual(Entry)'!$1:$1048576,7,0)</f>
        <v>#REF!</v>
      </c>
      <c r="H19" s="26" t="e">
        <f>VLOOKUP($A19,'Annual(Entry)'!$1:$1048576,8,0)</f>
        <v>#REF!</v>
      </c>
      <c r="I19" s="26" t="e">
        <f>VLOOKUP($A19,'Annual(Entry)'!$1:$1048576,9,0)</f>
        <v>#REF!</v>
      </c>
      <c r="J19" s="26" t="e">
        <f>VLOOKUP($A19,'Annual(Entry)'!$1:$1048576,10,0)</f>
        <v>#REF!</v>
      </c>
      <c r="K19" s="26" t="e">
        <f>VLOOKUP($A19,'Annual(Entry)'!$1:$1048576,11,0)</f>
        <v>#REF!</v>
      </c>
      <c r="L19" s="26" t="e">
        <f>VLOOKUP($A19,'Annual(Entry)'!$1:$1048576,12,0)</f>
        <v>#REF!</v>
      </c>
      <c r="M19" s="26" t="e">
        <f>VLOOKUP($A19,'Annual(Entry)'!$1:$1048576,13,0)</f>
        <v>#REF!</v>
      </c>
      <c r="N19" s="26" t="e">
        <f>VLOOKUP($A19,'Annual(Entry)'!$1:$1048576,14,0)</f>
        <v>#REF!</v>
      </c>
      <c r="O19" s="31" t="e">
        <f>VLOOKUP($A19,'Annual(Entry)'!$1:$1048576,15,0)</f>
        <v>#REF!</v>
      </c>
      <c r="P19" s="26" t="e">
        <f t="shared" si="1"/>
        <v>#REF!</v>
      </c>
      <c r="Q19" s="26" t="e">
        <f t="shared" si="0"/>
        <v>#REF!</v>
      </c>
    </row>
    <row r="20" spans="1:17" x14ac:dyDescent="0.3">
      <c r="A20" s="22" t="e">
        <f>DETAILS!#REF!</f>
        <v>#REF!</v>
      </c>
      <c r="B20" s="3" t="e">
        <f>DETAILS!#REF!</f>
        <v>#REF!</v>
      </c>
      <c r="C20" s="26" t="e">
        <f>VLOOKUP($A20,'Annual(Entry)'!$1:$1048576,3,0)</f>
        <v>#REF!</v>
      </c>
      <c r="D20" s="26" t="e">
        <f>VLOOKUP($A20,'Annual(Entry)'!$1:$1048576,4,0)</f>
        <v>#REF!</v>
      </c>
      <c r="E20" s="26" t="e">
        <f>VLOOKUP($A20,'Annual(Entry)'!$1:$1048576,5,0)</f>
        <v>#REF!</v>
      </c>
      <c r="F20" s="26" t="e">
        <f>VLOOKUP($A20,'Annual(Entry)'!$1:$1048576,6,0)</f>
        <v>#REF!</v>
      </c>
      <c r="G20" s="26" t="e">
        <f>VLOOKUP($A20,'Annual(Entry)'!$1:$1048576,7,0)</f>
        <v>#REF!</v>
      </c>
      <c r="H20" s="26" t="e">
        <f>VLOOKUP($A20,'Annual(Entry)'!$1:$1048576,8,0)</f>
        <v>#REF!</v>
      </c>
      <c r="I20" s="26" t="e">
        <f>VLOOKUP($A20,'Annual(Entry)'!$1:$1048576,9,0)</f>
        <v>#REF!</v>
      </c>
      <c r="J20" s="26" t="e">
        <f>VLOOKUP($A20,'Annual(Entry)'!$1:$1048576,10,0)</f>
        <v>#REF!</v>
      </c>
      <c r="K20" s="26" t="e">
        <f>VLOOKUP($A20,'Annual(Entry)'!$1:$1048576,11,0)</f>
        <v>#REF!</v>
      </c>
      <c r="L20" s="26" t="e">
        <f>VLOOKUP($A20,'Annual(Entry)'!$1:$1048576,12,0)</f>
        <v>#REF!</v>
      </c>
      <c r="M20" s="26" t="e">
        <f>VLOOKUP($A20,'Annual(Entry)'!$1:$1048576,13,0)</f>
        <v>#REF!</v>
      </c>
      <c r="N20" s="26" t="e">
        <f>VLOOKUP($A20,'Annual(Entry)'!$1:$1048576,14,0)</f>
        <v>#REF!</v>
      </c>
      <c r="O20" s="31" t="e">
        <f>VLOOKUP($A20,'Annual(Entry)'!$1:$1048576,15,0)</f>
        <v>#REF!</v>
      </c>
      <c r="P20" s="26" t="e">
        <f t="shared" si="1"/>
        <v>#REF!</v>
      </c>
      <c r="Q20" s="26" t="e">
        <f t="shared" si="0"/>
        <v>#REF!</v>
      </c>
    </row>
    <row r="21" spans="1:17" x14ac:dyDescent="0.3">
      <c r="A21" s="22" t="e">
        <f>DETAILS!#REF!</f>
        <v>#REF!</v>
      </c>
      <c r="B21" s="3" t="e">
        <f>DETAILS!#REF!</f>
        <v>#REF!</v>
      </c>
      <c r="C21" s="26" t="e">
        <f>VLOOKUP($A21,'Annual(Entry)'!$1:$1048576,3,0)</f>
        <v>#REF!</v>
      </c>
      <c r="D21" s="26" t="e">
        <f>VLOOKUP($A21,'Annual(Entry)'!$1:$1048576,4,0)</f>
        <v>#REF!</v>
      </c>
      <c r="E21" s="26" t="e">
        <f>VLOOKUP($A21,'Annual(Entry)'!$1:$1048576,5,0)</f>
        <v>#REF!</v>
      </c>
      <c r="F21" s="26" t="e">
        <f>VLOOKUP($A21,'Annual(Entry)'!$1:$1048576,6,0)</f>
        <v>#REF!</v>
      </c>
      <c r="G21" s="26" t="e">
        <f>VLOOKUP($A21,'Annual(Entry)'!$1:$1048576,7,0)</f>
        <v>#REF!</v>
      </c>
      <c r="H21" s="26" t="e">
        <f>VLOOKUP($A21,'Annual(Entry)'!$1:$1048576,8,0)</f>
        <v>#REF!</v>
      </c>
      <c r="I21" s="26" t="e">
        <f>VLOOKUP($A21,'Annual(Entry)'!$1:$1048576,9,0)</f>
        <v>#REF!</v>
      </c>
      <c r="J21" s="26" t="e">
        <f>VLOOKUP($A21,'Annual(Entry)'!$1:$1048576,10,0)</f>
        <v>#REF!</v>
      </c>
      <c r="K21" s="26" t="e">
        <f>VLOOKUP($A21,'Annual(Entry)'!$1:$1048576,11,0)</f>
        <v>#REF!</v>
      </c>
      <c r="L21" s="26" t="e">
        <f>VLOOKUP($A21,'Annual(Entry)'!$1:$1048576,12,0)</f>
        <v>#REF!</v>
      </c>
      <c r="M21" s="26" t="e">
        <f>VLOOKUP($A21,'Annual(Entry)'!$1:$1048576,13,0)</f>
        <v>#REF!</v>
      </c>
      <c r="N21" s="26" t="e">
        <f>VLOOKUP($A21,'Annual(Entry)'!$1:$1048576,14,0)</f>
        <v>#REF!</v>
      </c>
      <c r="O21" s="31" t="e">
        <f>VLOOKUP($A21,'Annual(Entry)'!$1:$1048576,15,0)</f>
        <v>#REF!</v>
      </c>
      <c r="P21" s="26" t="e">
        <f t="shared" si="1"/>
        <v>#REF!</v>
      </c>
      <c r="Q21" s="26" t="e">
        <f t="shared" si="0"/>
        <v>#REF!</v>
      </c>
    </row>
    <row r="22" spans="1:17" x14ac:dyDescent="0.3">
      <c r="A22" s="22" t="e">
        <f>DETAILS!#REF!</f>
        <v>#REF!</v>
      </c>
      <c r="B22" s="3" t="e">
        <f>DETAILS!#REF!</f>
        <v>#REF!</v>
      </c>
      <c r="C22" s="26" t="e">
        <f>VLOOKUP($A22,'Annual(Entry)'!$1:$1048576,3,0)</f>
        <v>#REF!</v>
      </c>
      <c r="D22" s="26" t="e">
        <f>VLOOKUP($A22,'Annual(Entry)'!$1:$1048576,4,0)</f>
        <v>#REF!</v>
      </c>
      <c r="E22" s="26" t="e">
        <f>VLOOKUP($A22,'Annual(Entry)'!$1:$1048576,5,0)</f>
        <v>#REF!</v>
      </c>
      <c r="F22" s="26" t="e">
        <f>VLOOKUP($A22,'Annual(Entry)'!$1:$1048576,6,0)</f>
        <v>#REF!</v>
      </c>
      <c r="G22" s="26" t="e">
        <f>VLOOKUP($A22,'Annual(Entry)'!$1:$1048576,7,0)</f>
        <v>#REF!</v>
      </c>
      <c r="H22" s="26" t="e">
        <f>VLOOKUP($A22,'Annual(Entry)'!$1:$1048576,8,0)</f>
        <v>#REF!</v>
      </c>
      <c r="I22" s="26" t="e">
        <f>VLOOKUP($A22,'Annual(Entry)'!$1:$1048576,9,0)</f>
        <v>#REF!</v>
      </c>
      <c r="J22" s="26" t="e">
        <f>VLOOKUP($A22,'Annual(Entry)'!$1:$1048576,10,0)</f>
        <v>#REF!</v>
      </c>
      <c r="K22" s="26" t="e">
        <f>VLOOKUP($A22,'Annual(Entry)'!$1:$1048576,11,0)</f>
        <v>#REF!</v>
      </c>
      <c r="L22" s="26" t="e">
        <f>VLOOKUP($A22,'Annual(Entry)'!$1:$1048576,12,0)</f>
        <v>#REF!</v>
      </c>
      <c r="M22" s="26" t="e">
        <f>VLOOKUP($A22,'Annual(Entry)'!$1:$1048576,13,0)</f>
        <v>#REF!</v>
      </c>
      <c r="N22" s="26" t="e">
        <f>VLOOKUP($A22,'Annual(Entry)'!$1:$1048576,14,0)</f>
        <v>#REF!</v>
      </c>
      <c r="O22" s="31" t="e">
        <f>VLOOKUP($A22,'Annual(Entry)'!$1:$1048576,15,0)</f>
        <v>#REF!</v>
      </c>
      <c r="P22" s="26" t="e">
        <f t="shared" si="1"/>
        <v>#REF!</v>
      </c>
      <c r="Q22" s="26" t="e">
        <f t="shared" si="0"/>
        <v>#REF!</v>
      </c>
    </row>
    <row r="23" spans="1:17" x14ac:dyDescent="0.3">
      <c r="A23" s="22" t="e">
        <f>DETAILS!#REF!</f>
        <v>#REF!</v>
      </c>
      <c r="B23" s="3" t="e">
        <f>DETAILS!#REF!</f>
        <v>#REF!</v>
      </c>
      <c r="C23" s="26" t="e">
        <f>VLOOKUP($A23,'Annual(Entry)'!$1:$1048576,3,0)</f>
        <v>#REF!</v>
      </c>
      <c r="D23" s="26" t="e">
        <f>VLOOKUP($A23,'Annual(Entry)'!$1:$1048576,4,0)</f>
        <v>#REF!</v>
      </c>
      <c r="E23" s="26" t="e">
        <f>VLOOKUP($A23,'Annual(Entry)'!$1:$1048576,5,0)</f>
        <v>#REF!</v>
      </c>
      <c r="F23" s="26" t="e">
        <f>VLOOKUP($A23,'Annual(Entry)'!$1:$1048576,6,0)</f>
        <v>#REF!</v>
      </c>
      <c r="G23" s="26" t="e">
        <f>VLOOKUP($A23,'Annual(Entry)'!$1:$1048576,7,0)</f>
        <v>#REF!</v>
      </c>
      <c r="H23" s="26" t="e">
        <f>VLOOKUP($A23,'Annual(Entry)'!$1:$1048576,8,0)</f>
        <v>#REF!</v>
      </c>
      <c r="I23" s="26" t="e">
        <f>VLOOKUP($A23,'Annual(Entry)'!$1:$1048576,9,0)</f>
        <v>#REF!</v>
      </c>
      <c r="J23" s="26" t="e">
        <f>VLOOKUP($A23,'Annual(Entry)'!$1:$1048576,10,0)</f>
        <v>#REF!</v>
      </c>
      <c r="K23" s="26" t="e">
        <f>VLOOKUP($A23,'Annual(Entry)'!$1:$1048576,11,0)</f>
        <v>#REF!</v>
      </c>
      <c r="L23" s="26" t="e">
        <f>VLOOKUP($A23,'Annual(Entry)'!$1:$1048576,12,0)</f>
        <v>#REF!</v>
      </c>
      <c r="M23" s="26" t="e">
        <f>VLOOKUP($A23,'Annual(Entry)'!$1:$1048576,13,0)</f>
        <v>#REF!</v>
      </c>
      <c r="N23" s="26" t="e">
        <f>VLOOKUP($A23,'Annual(Entry)'!$1:$1048576,14,0)</f>
        <v>#REF!</v>
      </c>
      <c r="O23" s="31" t="e">
        <f>VLOOKUP($A23,'Annual(Entry)'!$1:$1048576,15,0)</f>
        <v>#REF!</v>
      </c>
      <c r="P23" s="26" t="e">
        <f t="shared" si="1"/>
        <v>#REF!</v>
      </c>
      <c r="Q23" s="26" t="e">
        <f t="shared" si="0"/>
        <v>#REF!</v>
      </c>
    </row>
    <row r="24" spans="1:17" x14ac:dyDescent="0.3">
      <c r="A24" s="22" t="e">
        <f>DETAILS!#REF!</f>
        <v>#REF!</v>
      </c>
      <c r="B24" s="3" t="e">
        <f>DETAILS!#REF!</f>
        <v>#REF!</v>
      </c>
      <c r="C24" s="26" t="e">
        <f>VLOOKUP($A24,'Annual(Entry)'!$1:$1048576,3,0)</f>
        <v>#REF!</v>
      </c>
      <c r="D24" s="26" t="e">
        <f>VLOOKUP($A24,'Annual(Entry)'!$1:$1048576,4,0)</f>
        <v>#REF!</v>
      </c>
      <c r="E24" s="26" t="e">
        <f>VLOOKUP($A24,'Annual(Entry)'!$1:$1048576,5,0)</f>
        <v>#REF!</v>
      </c>
      <c r="F24" s="26" t="e">
        <f>VLOOKUP($A24,'Annual(Entry)'!$1:$1048576,6,0)</f>
        <v>#REF!</v>
      </c>
      <c r="G24" s="26" t="e">
        <f>VLOOKUP($A24,'Annual(Entry)'!$1:$1048576,7,0)</f>
        <v>#REF!</v>
      </c>
      <c r="H24" s="26" t="e">
        <f>VLOOKUP($A24,'Annual(Entry)'!$1:$1048576,8,0)</f>
        <v>#REF!</v>
      </c>
      <c r="I24" s="26" t="e">
        <f>VLOOKUP($A24,'Annual(Entry)'!$1:$1048576,9,0)</f>
        <v>#REF!</v>
      </c>
      <c r="J24" s="26" t="e">
        <f>VLOOKUP($A24,'Annual(Entry)'!$1:$1048576,10,0)</f>
        <v>#REF!</v>
      </c>
      <c r="K24" s="26" t="e">
        <f>VLOOKUP($A24,'Annual(Entry)'!$1:$1048576,11,0)</f>
        <v>#REF!</v>
      </c>
      <c r="L24" s="26" t="e">
        <f>VLOOKUP($A24,'Annual(Entry)'!$1:$1048576,12,0)</f>
        <v>#REF!</v>
      </c>
      <c r="M24" s="26" t="e">
        <f>VLOOKUP($A24,'Annual(Entry)'!$1:$1048576,13,0)</f>
        <v>#REF!</v>
      </c>
      <c r="N24" s="26" t="e">
        <f>VLOOKUP($A24,'Annual(Entry)'!$1:$1048576,14,0)</f>
        <v>#REF!</v>
      </c>
      <c r="O24" s="31" t="e">
        <f>VLOOKUP($A24,'Annual(Entry)'!$1:$1048576,15,0)</f>
        <v>#REF!</v>
      </c>
      <c r="P24" s="26" t="e">
        <f t="shared" si="1"/>
        <v>#REF!</v>
      </c>
      <c r="Q24" s="26" t="e">
        <f t="shared" si="0"/>
        <v>#REF!</v>
      </c>
    </row>
    <row r="25" spans="1:17" x14ac:dyDescent="0.3">
      <c r="A25" s="22" t="e">
        <f>DETAILS!#REF!</f>
        <v>#REF!</v>
      </c>
      <c r="B25" s="3" t="e">
        <f>DETAILS!#REF!</f>
        <v>#REF!</v>
      </c>
      <c r="C25" s="26" t="e">
        <f>VLOOKUP($A25,'Annual(Entry)'!$1:$1048576,3,0)</f>
        <v>#REF!</v>
      </c>
      <c r="D25" s="26" t="e">
        <f>VLOOKUP($A25,'Annual(Entry)'!$1:$1048576,4,0)</f>
        <v>#REF!</v>
      </c>
      <c r="E25" s="26" t="e">
        <f>VLOOKUP($A25,'Annual(Entry)'!$1:$1048576,5,0)</f>
        <v>#REF!</v>
      </c>
      <c r="F25" s="26" t="e">
        <f>VLOOKUP($A25,'Annual(Entry)'!$1:$1048576,6,0)</f>
        <v>#REF!</v>
      </c>
      <c r="G25" s="26" t="e">
        <f>VLOOKUP($A25,'Annual(Entry)'!$1:$1048576,7,0)</f>
        <v>#REF!</v>
      </c>
      <c r="H25" s="26" t="e">
        <f>VLOOKUP($A25,'Annual(Entry)'!$1:$1048576,8,0)</f>
        <v>#REF!</v>
      </c>
      <c r="I25" s="26" t="e">
        <f>VLOOKUP($A25,'Annual(Entry)'!$1:$1048576,9,0)</f>
        <v>#REF!</v>
      </c>
      <c r="J25" s="26" t="e">
        <f>VLOOKUP($A25,'Annual(Entry)'!$1:$1048576,10,0)</f>
        <v>#REF!</v>
      </c>
      <c r="K25" s="26" t="e">
        <f>VLOOKUP($A25,'Annual(Entry)'!$1:$1048576,11,0)</f>
        <v>#REF!</v>
      </c>
      <c r="L25" s="26" t="e">
        <f>VLOOKUP($A25,'Annual(Entry)'!$1:$1048576,12,0)</f>
        <v>#REF!</v>
      </c>
      <c r="M25" s="26" t="e">
        <f>VLOOKUP($A25,'Annual(Entry)'!$1:$1048576,13,0)</f>
        <v>#REF!</v>
      </c>
      <c r="N25" s="26" t="e">
        <f>VLOOKUP($A25,'Annual(Entry)'!$1:$1048576,14,0)</f>
        <v>#REF!</v>
      </c>
      <c r="O25" s="31" t="e">
        <f>VLOOKUP($A25,'Annual(Entry)'!$1:$1048576,15,0)</f>
        <v>#REF!</v>
      </c>
      <c r="P25" s="26" t="e">
        <f t="shared" si="1"/>
        <v>#REF!</v>
      </c>
      <c r="Q25" s="26" t="e">
        <f t="shared" si="0"/>
        <v>#REF!</v>
      </c>
    </row>
    <row r="26" spans="1:17" x14ac:dyDescent="0.3">
      <c r="A26" s="22" t="e">
        <f>DETAILS!#REF!</f>
        <v>#REF!</v>
      </c>
      <c r="B26" s="3" t="e">
        <f>DETAILS!#REF!</f>
        <v>#REF!</v>
      </c>
      <c r="C26" s="26" t="e">
        <f>VLOOKUP($A26,'Annual(Entry)'!$1:$1048576,3,0)</f>
        <v>#REF!</v>
      </c>
      <c r="D26" s="26" t="e">
        <f>VLOOKUP($A26,'Annual(Entry)'!$1:$1048576,4,0)</f>
        <v>#REF!</v>
      </c>
      <c r="E26" s="26" t="e">
        <f>VLOOKUP($A26,'Annual(Entry)'!$1:$1048576,5,0)</f>
        <v>#REF!</v>
      </c>
      <c r="F26" s="26" t="e">
        <f>VLOOKUP($A26,'Annual(Entry)'!$1:$1048576,6,0)</f>
        <v>#REF!</v>
      </c>
      <c r="G26" s="26" t="e">
        <f>VLOOKUP($A26,'Annual(Entry)'!$1:$1048576,7,0)</f>
        <v>#REF!</v>
      </c>
      <c r="H26" s="26" t="e">
        <f>VLOOKUP($A26,'Annual(Entry)'!$1:$1048576,8,0)</f>
        <v>#REF!</v>
      </c>
      <c r="I26" s="26" t="e">
        <f>VLOOKUP($A26,'Annual(Entry)'!$1:$1048576,9,0)</f>
        <v>#REF!</v>
      </c>
      <c r="J26" s="26" t="e">
        <f>VLOOKUP($A26,'Annual(Entry)'!$1:$1048576,10,0)</f>
        <v>#REF!</v>
      </c>
      <c r="K26" s="26" t="e">
        <f>VLOOKUP($A26,'Annual(Entry)'!$1:$1048576,11,0)</f>
        <v>#REF!</v>
      </c>
      <c r="L26" s="26" t="e">
        <f>VLOOKUP($A26,'Annual(Entry)'!$1:$1048576,12,0)</f>
        <v>#REF!</v>
      </c>
      <c r="M26" s="26" t="e">
        <f>VLOOKUP($A26,'Annual(Entry)'!$1:$1048576,13,0)</f>
        <v>#REF!</v>
      </c>
      <c r="N26" s="26" t="e">
        <f>VLOOKUP($A26,'Annual(Entry)'!$1:$1048576,14,0)</f>
        <v>#REF!</v>
      </c>
      <c r="O26" s="31" t="e">
        <f>VLOOKUP($A26,'Annual(Entry)'!$1:$1048576,15,0)</f>
        <v>#REF!</v>
      </c>
      <c r="P26" s="26" t="e">
        <f t="shared" si="1"/>
        <v>#REF!</v>
      </c>
      <c r="Q26" s="26" t="e">
        <f t="shared" si="0"/>
        <v>#REF!</v>
      </c>
    </row>
    <row r="27" spans="1:17" x14ac:dyDescent="0.3">
      <c r="A27" s="22" t="e">
        <f>DETAILS!#REF!</f>
        <v>#REF!</v>
      </c>
      <c r="B27" s="3" t="e">
        <f>DETAILS!#REF!</f>
        <v>#REF!</v>
      </c>
      <c r="C27" s="26" t="e">
        <f>VLOOKUP($A27,'Annual(Entry)'!$1:$1048576,3,0)</f>
        <v>#REF!</v>
      </c>
      <c r="D27" s="26" t="e">
        <f>VLOOKUP($A27,'Annual(Entry)'!$1:$1048576,4,0)</f>
        <v>#REF!</v>
      </c>
      <c r="E27" s="26" t="e">
        <f>VLOOKUP($A27,'Annual(Entry)'!$1:$1048576,5,0)</f>
        <v>#REF!</v>
      </c>
      <c r="F27" s="26" t="e">
        <f>VLOOKUP($A27,'Annual(Entry)'!$1:$1048576,6,0)</f>
        <v>#REF!</v>
      </c>
      <c r="G27" s="26" t="e">
        <f>VLOOKUP($A27,'Annual(Entry)'!$1:$1048576,7,0)</f>
        <v>#REF!</v>
      </c>
      <c r="H27" s="26" t="e">
        <f>VLOOKUP($A27,'Annual(Entry)'!$1:$1048576,8,0)</f>
        <v>#REF!</v>
      </c>
      <c r="I27" s="26" t="e">
        <f>VLOOKUP($A27,'Annual(Entry)'!$1:$1048576,9,0)</f>
        <v>#REF!</v>
      </c>
      <c r="J27" s="26" t="e">
        <f>VLOOKUP($A27,'Annual(Entry)'!$1:$1048576,10,0)</f>
        <v>#REF!</v>
      </c>
      <c r="K27" s="26" t="e">
        <f>VLOOKUP($A27,'Annual(Entry)'!$1:$1048576,11,0)</f>
        <v>#REF!</v>
      </c>
      <c r="L27" s="26" t="e">
        <f>VLOOKUP($A27,'Annual(Entry)'!$1:$1048576,12,0)</f>
        <v>#REF!</v>
      </c>
      <c r="M27" s="26" t="e">
        <f>VLOOKUP($A27,'Annual(Entry)'!$1:$1048576,13,0)</f>
        <v>#REF!</v>
      </c>
      <c r="N27" s="26" t="e">
        <f>VLOOKUP($A27,'Annual(Entry)'!$1:$1048576,14,0)</f>
        <v>#REF!</v>
      </c>
      <c r="O27" s="31" t="e">
        <f>VLOOKUP($A27,'Annual(Entry)'!$1:$1048576,15,0)</f>
        <v>#REF!</v>
      </c>
      <c r="P27" s="26" t="e">
        <f t="shared" si="1"/>
        <v>#REF!</v>
      </c>
      <c r="Q27" s="26" t="e">
        <f t="shared" si="0"/>
        <v>#REF!</v>
      </c>
    </row>
    <row r="28" spans="1:17" x14ac:dyDescent="0.3">
      <c r="A28" s="22" t="e">
        <f>DETAILS!#REF!</f>
        <v>#REF!</v>
      </c>
      <c r="B28" s="3" t="e">
        <f>DETAILS!#REF!</f>
        <v>#REF!</v>
      </c>
      <c r="C28" s="26" t="e">
        <f>VLOOKUP($A28,'Annual(Entry)'!$1:$1048576,3,0)</f>
        <v>#REF!</v>
      </c>
      <c r="D28" s="26" t="e">
        <f>VLOOKUP($A28,'Annual(Entry)'!$1:$1048576,4,0)</f>
        <v>#REF!</v>
      </c>
      <c r="E28" s="26" t="e">
        <f>VLOOKUP($A28,'Annual(Entry)'!$1:$1048576,5,0)</f>
        <v>#REF!</v>
      </c>
      <c r="F28" s="26" t="e">
        <f>VLOOKUP($A28,'Annual(Entry)'!$1:$1048576,6,0)</f>
        <v>#REF!</v>
      </c>
      <c r="G28" s="26" t="e">
        <f>VLOOKUP($A28,'Annual(Entry)'!$1:$1048576,7,0)</f>
        <v>#REF!</v>
      </c>
      <c r="H28" s="26" t="e">
        <f>VLOOKUP($A28,'Annual(Entry)'!$1:$1048576,8,0)</f>
        <v>#REF!</v>
      </c>
      <c r="I28" s="26" t="e">
        <f>VLOOKUP($A28,'Annual(Entry)'!$1:$1048576,9,0)</f>
        <v>#REF!</v>
      </c>
      <c r="J28" s="26" t="e">
        <f>VLOOKUP($A28,'Annual(Entry)'!$1:$1048576,10,0)</f>
        <v>#REF!</v>
      </c>
      <c r="K28" s="26" t="e">
        <f>VLOOKUP($A28,'Annual(Entry)'!$1:$1048576,11,0)</f>
        <v>#REF!</v>
      </c>
      <c r="L28" s="26" t="e">
        <f>VLOOKUP($A28,'Annual(Entry)'!$1:$1048576,12,0)</f>
        <v>#REF!</v>
      </c>
      <c r="M28" s="26" t="e">
        <f>VLOOKUP($A28,'Annual(Entry)'!$1:$1048576,13,0)</f>
        <v>#REF!</v>
      </c>
      <c r="N28" s="26" t="e">
        <f>VLOOKUP($A28,'Annual(Entry)'!$1:$1048576,14,0)</f>
        <v>#REF!</v>
      </c>
      <c r="O28" s="31" t="e">
        <f>VLOOKUP($A28,'Annual(Entry)'!$1:$1048576,15,0)</f>
        <v>#REF!</v>
      </c>
      <c r="P28" s="26" t="e">
        <f t="shared" si="1"/>
        <v>#REF!</v>
      </c>
      <c r="Q28" s="26" t="e">
        <f t="shared" si="0"/>
        <v>#REF!</v>
      </c>
    </row>
    <row r="29" spans="1:17" x14ac:dyDescent="0.3">
      <c r="A29" s="22" t="e">
        <f>DETAILS!#REF!</f>
        <v>#REF!</v>
      </c>
      <c r="B29" s="3" t="e">
        <f>DETAILS!#REF!</f>
        <v>#REF!</v>
      </c>
      <c r="C29" s="26" t="e">
        <f>VLOOKUP($A29,'Annual(Entry)'!$1:$1048576,3,0)</f>
        <v>#REF!</v>
      </c>
      <c r="D29" s="26" t="e">
        <f>VLOOKUP($A29,'Annual(Entry)'!$1:$1048576,4,0)</f>
        <v>#REF!</v>
      </c>
      <c r="E29" s="26" t="e">
        <f>VLOOKUP($A29,'Annual(Entry)'!$1:$1048576,5,0)</f>
        <v>#REF!</v>
      </c>
      <c r="F29" s="26" t="e">
        <f>VLOOKUP($A29,'Annual(Entry)'!$1:$1048576,6,0)</f>
        <v>#REF!</v>
      </c>
      <c r="G29" s="26" t="e">
        <f>VLOOKUP($A29,'Annual(Entry)'!$1:$1048576,7,0)</f>
        <v>#REF!</v>
      </c>
      <c r="H29" s="26" t="e">
        <f>VLOOKUP($A29,'Annual(Entry)'!$1:$1048576,8,0)</f>
        <v>#REF!</v>
      </c>
      <c r="I29" s="26" t="e">
        <f>VLOOKUP($A29,'Annual(Entry)'!$1:$1048576,9,0)</f>
        <v>#REF!</v>
      </c>
      <c r="J29" s="26" t="e">
        <f>VLOOKUP($A29,'Annual(Entry)'!$1:$1048576,10,0)</f>
        <v>#REF!</v>
      </c>
      <c r="K29" s="26" t="e">
        <f>VLOOKUP($A29,'Annual(Entry)'!$1:$1048576,11,0)</f>
        <v>#REF!</v>
      </c>
      <c r="L29" s="26" t="e">
        <f>VLOOKUP($A29,'Annual(Entry)'!$1:$1048576,12,0)</f>
        <v>#REF!</v>
      </c>
      <c r="M29" s="26" t="e">
        <f>VLOOKUP($A29,'Annual(Entry)'!$1:$1048576,13,0)</f>
        <v>#REF!</v>
      </c>
      <c r="N29" s="26" t="e">
        <f>VLOOKUP($A29,'Annual(Entry)'!$1:$1048576,14,0)</f>
        <v>#REF!</v>
      </c>
      <c r="O29" s="31" t="e">
        <f>VLOOKUP($A29,'Annual(Entry)'!$1:$1048576,15,0)</f>
        <v>#REF!</v>
      </c>
      <c r="P29" s="26" t="e">
        <f t="shared" si="1"/>
        <v>#REF!</v>
      </c>
      <c r="Q29" s="26" t="e">
        <f t="shared" si="0"/>
        <v>#REF!</v>
      </c>
    </row>
    <row r="30" spans="1:17" x14ac:dyDescent="0.3">
      <c r="A30" s="22" t="e">
        <f>DETAILS!#REF!</f>
        <v>#REF!</v>
      </c>
      <c r="B30" s="3" t="e">
        <f>DETAILS!#REF!</f>
        <v>#REF!</v>
      </c>
      <c r="C30" s="26" t="e">
        <f>VLOOKUP($A30,'Annual(Entry)'!$1:$1048576,3,0)</f>
        <v>#REF!</v>
      </c>
      <c r="D30" s="26" t="e">
        <f>VLOOKUP($A30,'Annual(Entry)'!$1:$1048576,4,0)</f>
        <v>#REF!</v>
      </c>
      <c r="E30" s="26" t="e">
        <f>VLOOKUP($A30,'Annual(Entry)'!$1:$1048576,5,0)</f>
        <v>#REF!</v>
      </c>
      <c r="F30" s="26" t="e">
        <f>VLOOKUP($A30,'Annual(Entry)'!$1:$1048576,6,0)</f>
        <v>#REF!</v>
      </c>
      <c r="G30" s="26" t="e">
        <f>VLOOKUP($A30,'Annual(Entry)'!$1:$1048576,7,0)</f>
        <v>#REF!</v>
      </c>
      <c r="H30" s="26" t="e">
        <f>VLOOKUP($A30,'Annual(Entry)'!$1:$1048576,8,0)</f>
        <v>#REF!</v>
      </c>
      <c r="I30" s="26" t="e">
        <f>VLOOKUP($A30,'Annual(Entry)'!$1:$1048576,9,0)</f>
        <v>#REF!</v>
      </c>
      <c r="J30" s="26" t="e">
        <f>VLOOKUP($A30,'Annual(Entry)'!$1:$1048576,10,0)</f>
        <v>#REF!</v>
      </c>
      <c r="K30" s="26" t="e">
        <f>VLOOKUP($A30,'Annual(Entry)'!$1:$1048576,11,0)</f>
        <v>#REF!</v>
      </c>
      <c r="L30" s="26" t="e">
        <f>VLOOKUP($A30,'Annual(Entry)'!$1:$1048576,12,0)</f>
        <v>#REF!</v>
      </c>
      <c r="M30" s="26" t="e">
        <f>VLOOKUP($A30,'Annual(Entry)'!$1:$1048576,13,0)</f>
        <v>#REF!</v>
      </c>
      <c r="N30" s="26" t="e">
        <f>VLOOKUP($A30,'Annual(Entry)'!$1:$1048576,14,0)</f>
        <v>#REF!</v>
      </c>
      <c r="O30" s="31" t="e">
        <f>VLOOKUP($A30,'Annual(Entry)'!$1:$1048576,15,0)</f>
        <v>#REF!</v>
      </c>
      <c r="P30" s="26" t="e">
        <f t="shared" si="1"/>
        <v>#REF!</v>
      </c>
      <c r="Q30" s="26" t="e">
        <f t="shared" si="0"/>
        <v>#REF!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zoomScale="70" zoomScaleNormal="70" workbookViewId="0">
      <selection activeCell="A2" sqref="A2:A3"/>
    </sheetView>
  </sheetViews>
  <sheetFormatPr defaultRowHeight="14.4" x14ac:dyDescent="0.3"/>
  <cols>
    <col min="1" max="1" width="6" bestFit="1" customWidth="1"/>
    <col min="2" max="2" width="23.109375" bestFit="1" customWidth="1"/>
    <col min="3" max="3" width="5.33203125" bestFit="1" customWidth="1"/>
    <col min="4" max="4" width="4.218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21875" customWidth="1"/>
    <col min="17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45" t="s">
        <v>103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</row>
    <row r="2" spans="1:47" ht="20.399999999999999" customHeight="1" x14ac:dyDescent="0.3">
      <c r="A2" s="51" t="s">
        <v>32</v>
      </c>
      <c r="B2" s="51" t="s">
        <v>40</v>
      </c>
      <c r="C2" s="51" t="s">
        <v>9</v>
      </c>
      <c r="D2" s="51"/>
      <c r="E2" s="51"/>
      <c r="F2" s="51"/>
      <c r="G2" s="51"/>
      <c r="H2" s="51"/>
      <c r="I2" s="51" t="s">
        <v>93</v>
      </c>
      <c r="J2" s="51"/>
      <c r="K2" s="51"/>
      <c r="L2" s="51"/>
      <c r="M2" s="51"/>
      <c r="N2" s="51"/>
      <c r="O2" s="51" t="s">
        <v>102</v>
      </c>
      <c r="P2" s="51"/>
      <c r="Q2" s="51"/>
      <c r="R2" s="51"/>
      <c r="S2" s="51"/>
      <c r="T2" s="51"/>
      <c r="U2" s="51" t="s">
        <v>101</v>
      </c>
      <c r="V2" s="51"/>
      <c r="W2" s="51"/>
      <c r="X2" s="51"/>
      <c r="Y2" s="51"/>
      <c r="Z2" s="51"/>
      <c r="AA2" s="51" t="s">
        <v>100</v>
      </c>
      <c r="AB2" s="51"/>
      <c r="AC2" s="51"/>
      <c r="AD2" s="51"/>
      <c r="AE2" s="51"/>
      <c r="AF2" s="51"/>
      <c r="AG2" s="59" t="s">
        <v>94</v>
      </c>
      <c r="AH2" s="60"/>
      <c r="AI2" s="60"/>
      <c r="AJ2" s="60"/>
      <c r="AK2" s="60"/>
      <c r="AL2" s="61"/>
      <c r="AM2" s="56" t="s">
        <v>42</v>
      </c>
      <c r="AN2" s="56" t="s">
        <v>43</v>
      </c>
      <c r="AO2" s="56" t="s">
        <v>44</v>
      </c>
      <c r="AP2" s="56" t="s">
        <v>45</v>
      </c>
      <c r="AQ2" s="56" t="s">
        <v>46</v>
      </c>
      <c r="AR2" s="56" t="s">
        <v>47</v>
      </c>
      <c r="AS2" s="56" t="s">
        <v>48</v>
      </c>
      <c r="AT2" s="92" t="s">
        <v>69</v>
      </c>
      <c r="AU2" s="93" t="s">
        <v>59</v>
      </c>
    </row>
    <row r="3" spans="1:47" ht="20.399999999999999" customHeight="1" x14ac:dyDescent="0.3">
      <c r="A3" s="51"/>
      <c r="B3" s="51"/>
      <c r="C3" s="25" t="s">
        <v>49</v>
      </c>
      <c r="D3" s="25" t="s">
        <v>51</v>
      </c>
      <c r="E3" s="25" t="s">
        <v>69</v>
      </c>
      <c r="F3" s="25" t="s">
        <v>50</v>
      </c>
      <c r="G3" s="25" t="s">
        <v>52</v>
      </c>
      <c r="H3" s="25" t="s">
        <v>69</v>
      </c>
      <c r="I3" s="25" t="s">
        <v>49</v>
      </c>
      <c r="J3" s="25" t="s">
        <v>51</v>
      </c>
      <c r="K3" s="25" t="s">
        <v>69</v>
      </c>
      <c r="L3" s="25" t="s">
        <v>50</v>
      </c>
      <c r="M3" s="25" t="s">
        <v>52</v>
      </c>
      <c r="N3" s="25" t="s">
        <v>69</v>
      </c>
      <c r="O3" s="25" t="s">
        <v>49</v>
      </c>
      <c r="P3" s="25" t="s">
        <v>51</v>
      </c>
      <c r="Q3" s="25" t="s">
        <v>69</v>
      </c>
      <c r="R3" s="25" t="s">
        <v>50</v>
      </c>
      <c r="S3" s="25" t="s">
        <v>52</v>
      </c>
      <c r="T3" s="25" t="s">
        <v>69</v>
      </c>
      <c r="U3" s="25" t="s">
        <v>49</v>
      </c>
      <c r="V3" s="25" t="s">
        <v>51</v>
      </c>
      <c r="W3" s="25" t="s">
        <v>69</v>
      </c>
      <c r="X3" s="25" t="s">
        <v>50</v>
      </c>
      <c r="Y3" s="25" t="s">
        <v>52</v>
      </c>
      <c r="Z3" s="25" t="s">
        <v>69</v>
      </c>
      <c r="AA3" s="25" t="s">
        <v>49</v>
      </c>
      <c r="AB3" s="25" t="s">
        <v>51</v>
      </c>
      <c r="AC3" s="25" t="s">
        <v>69</v>
      </c>
      <c r="AD3" s="25" t="s">
        <v>50</v>
      </c>
      <c r="AE3" s="25" t="s">
        <v>52</v>
      </c>
      <c r="AF3" s="25" t="s">
        <v>69</v>
      </c>
      <c r="AG3" s="25" t="s">
        <v>49</v>
      </c>
      <c r="AH3" s="25" t="s">
        <v>51</v>
      </c>
      <c r="AI3" s="25" t="s">
        <v>69</v>
      </c>
      <c r="AJ3" s="25" t="s">
        <v>50</v>
      </c>
      <c r="AK3" s="25" t="s">
        <v>52</v>
      </c>
      <c r="AL3" s="25" t="s">
        <v>69</v>
      </c>
      <c r="AM3" s="56"/>
      <c r="AN3" s="56"/>
      <c r="AO3" s="56"/>
      <c r="AP3" s="56"/>
      <c r="AQ3" s="56"/>
      <c r="AR3" s="56"/>
      <c r="AS3" s="56"/>
      <c r="AT3" s="92"/>
      <c r="AU3" s="93"/>
    </row>
    <row r="4" spans="1:47" x14ac:dyDescent="0.3">
      <c r="A4" s="22">
        <f>DETAILS!A3</f>
        <v>688</v>
      </c>
      <c r="B4" s="22" t="str">
        <f>DETAILS!B3</f>
        <v>AMINUDDIN</v>
      </c>
      <c r="C4" s="26" t="str">
        <f>VLOOKUP($A4,'HY Compile'!$1:$1048576,3,0)</f>
        <v>AB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 t="str">
        <f>VLOOKUP($A4,'HY Compile'!$1:$1048576,6,0)</f>
        <v>AB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 t="str">
        <f>VLOOKUP($A4,'HY Compile'!$1:$1048576,9,0)</f>
        <v>AB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 t="str">
        <f>VLOOKUP($A4,'HY Compile'!$1:$1048576,12,0)</f>
        <v>AB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 t="str">
        <f>VLOOKUP($A4,'HY Compile'!$1:$1048576,15,0)</f>
        <v>AB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 t="str">
        <f>VLOOKUP($A4,'HY Compile'!$1:$1048576,18,0)</f>
        <v>AB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1011</v>
      </c>
      <c r="B5" s="22" t="str">
        <f>DETAILS!B4</f>
        <v>ARPIT VERMA</v>
      </c>
      <c r="C5" s="26">
        <f>VLOOKUP($A5,'HY Compile'!$1:$1048576,3,0)</f>
        <v>6</v>
      </c>
      <c r="D5" s="26">
        <f>VLOOKUP($A5,'HY Compile'!$1:$1048576,4,0)</f>
        <v>0</v>
      </c>
      <c r="E5" s="32">
        <f t="shared" si="0"/>
        <v>6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5</v>
      </c>
      <c r="J5" s="26">
        <f>VLOOKUP($A5,'HY Compile'!$1:$1048576,7,0)</f>
        <v>0</v>
      </c>
      <c r="K5" s="32">
        <f t="shared" si="2"/>
        <v>5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7</v>
      </c>
      <c r="P5" s="26">
        <f>VLOOKUP($A5,'HY Compile'!$1:$1048576,10,0)</f>
        <v>0</v>
      </c>
      <c r="Q5" s="32">
        <f t="shared" si="4"/>
        <v>7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5</v>
      </c>
      <c r="V5" s="26">
        <f>VLOOKUP($A5,'HY Compile'!$1:$1048576,13,0)</f>
        <v>0</v>
      </c>
      <c r="W5" s="32">
        <f t="shared" si="6"/>
        <v>5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1</v>
      </c>
      <c r="AB5" s="26">
        <f>VLOOKUP($A5,'HY Compile'!$1:$1048576,16,0)</f>
        <v>0</v>
      </c>
      <c r="AC5" s="32">
        <f t="shared" si="8"/>
        <v>1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6</v>
      </c>
      <c r="AH5" s="26">
        <f>VLOOKUP($A5,'HY Compile'!$1:$1048576,19,0)</f>
        <v>0</v>
      </c>
      <c r="AI5" s="32">
        <f t="shared" ref="AI5:AI42" si="10">SUM(AG5:AH5)</f>
        <v>6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30</v>
      </c>
      <c r="AU5" s="26" t="str">
        <f t="shared" ref="AU5:AU42" si="12">ROUND(AT5/12,2)&amp;" %"</f>
        <v>2.5 %</v>
      </c>
    </row>
    <row r="6" spans="1:47" x14ac:dyDescent="0.3">
      <c r="A6" s="22">
        <f>DETAILS!A5</f>
        <v>692</v>
      </c>
      <c r="B6" s="22" t="str">
        <f>DETAILS!B5</f>
        <v>ATUL VERMA</v>
      </c>
      <c r="C6" s="26">
        <f>VLOOKUP($A6,'HY Compile'!$1:$1048576,3,0)</f>
        <v>13</v>
      </c>
      <c r="D6" s="26">
        <f>VLOOKUP($A6,'HY Compile'!$1:$1048576,4,0)</f>
        <v>0</v>
      </c>
      <c r="E6" s="32">
        <f t="shared" si="0"/>
        <v>13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14</v>
      </c>
      <c r="J6" s="26">
        <f>VLOOKUP($A6,'HY Compile'!$1:$1048576,7,0)</f>
        <v>0</v>
      </c>
      <c r="K6" s="32">
        <f t="shared" si="2"/>
        <v>14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17</v>
      </c>
      <c r="P6" s="26">
        <f>VLOOKUP($A6,'HY Compile'!$1:$1048576,10,0)</f>
        <v>0</v>
      </c>
      <c r="Q6" s="32">
        <f t="shared" si="4"/>
        <v>17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19</v>
      </c>
      <c r="V6" s="26">
        <f>VLOOKUP($A6,'HY Compile'!$1:$1048576,13,0)</f>
        <v>0</v>
      </c>
      <c r="W6" s="32">
        <f t="shared" si="6"/>
        <v>19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12</v>
      </c>
      <c r="AB6" s="26">
        <f>VLOOKUP($A6,'HY Compile'!$1:$1048576,16,0)</f>
        <v>0</v>
      </c>
      <c r="AC6" s="32">
        <f t="shared" si="8"/>
        <v>12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19</v>
      </c>
      <c r="AH6" s="26">
        <f>VLOOKUP($A6,'HY Compile'!$1:$1048576,19,0)</f>
        <v>0</v>
      </c>
      <c r="AI6" s="32">
        <f t="shared" si="10"/>
        <v>19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94</v>
      </c>
      <c r="AU6" s="26" t="str">
        <f t="shared" si="12"/>
        <v>7.83 %</v>
      </c>
    </row>
    <row r="7" spans="1:47" x14ac:dyDescent="0.3">
      <c r="A7" s="22">
        <f>DETAILS!A6</f>
        <v>1931</v>
      </c>
      <c r="B7" s="22" t="str">
        <f>DETAILS!B6</f>
        <v>GAURAV GAUTAM</v>
      </c>
      <c r="C7" s="26">
        <f>VLOOKUP($A7,'HY Compile'!$1:$1048576,3,0)</f>
        <v>15</v>
      </c>
      <c r="D7" s="26">
        <f>VLOOKUP($A7,'HY Compile'!$1:$1048576,4,0)</f>
        <v>0</v>
      </c>
      <c r="E7" s="32">
        <f t="shared" si="0"/>
        <v>15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20</v>
      </c>
      <c r="J7" s="26">
        <f>VLOOKUP($A7,'HY Compile'!$1:$1048576,7,0)</f>
        <v>0</v>
      </c>
      <c r="K7" s="32">
        <f t="shared" si="2"/>
        <v>20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17</v>
      </c>
      <c r="P7" s="26">
        <f>VLOOKUP($A7,'HY Compile'!$1:$1048576,10,0)</f>
        <v>0</v>
      </c>
      <c r="Q7" s="32">
        <f t="shared" si="4"/>
        <v>17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20</v>
      </c>
      <c r="V7" s="26">
        <f>VLOOKUP($A7,'HY Compile'!$1:$1048576,13,0)</f>
        <v>0</v>
      </c>
      <c r="W7" s="32">
        <f t="shared" si="6"/>
        <v>20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13</v>
      </c>
      <c r="AB7" s="26">
        <f>VLOOKUP($A7,'HY Compile'!$1:$1048576,16,0)</f>
        <v>0</v>
      </c>
      <c r="AC7" s="32">
        <f t="shared" si="8"/>
        <v>13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17</v>
      </c>
      <c r="AH7" s="26">
        <f>VLOOKUP($A7,'HY Compile'!$1:$1048576,19,0)</f>
        <v>0</v>
      </c>
      <c r="AI7" s="32">
        <f t="shared" si="10"/>
        <v>17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102</v>
      </c>
      <c r="AU7" s="26" t="str">
        <f t="shared" si="12"/>
        <v>8.5 %</v>
      </c>
    </row>
    <row r="8" spans="1:47" x14ac:dyDescent="0.3">
      <c r="A8" s="22">
        <f>DETAILS!A7</f>
        <v>1509</v>
      </c>
      <c r="B8" s="22" t="str">
        <f>DETAILS!B7</f>
        <v>HIMANSHU</v>
      </c>
      <c r="C8" s="26">
        <f>VLOOKUP($A8,'HY Compile'!$1:$1048576,3,0)</f>
        <v>13</v>
      </c>
      <c r="D8" s="26">
        <f>VLOOKUP($A8,'HY Compile'!$1:$1048576,4,0)</f>
        <v>0</v>
      </c>
      <c r="E8" s="32">
        <f t="shared" si="0"/>
        <v>13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10</v>
      </c>
      <c r="J8" s="26">
        <f>VLOOKUP($A8,'HY Compile'!$1:$1048576,7,0)</f>
        <v>0</v>
      </c>
      <c r="K8" s="32">
        <f t="shared" si="2"/>
        <v>10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13</v>
      </c>
      <c r="P8" s="26">
        <f>VLOOKUP($A8,'HY Compile'!$1:$1048576,10,0)</f>
        <v>0</v>
      </c>
      <c r="Q8" s="32">
        <f t="shared" si="4"/>
        <v>13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16</v>
      </c>
      <c r="V8" s="26">
        <f>VLOOKUP($A8,'HY Compile'!$1:$1048576,13,0)</f>
        <v>0</v>
      </c>
      <c r="W8" s="32">
        <f t="shared" si="6"/>
        <v>16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8</v>
      </c>
      <c r="AB8" s="26">
        <f>VLOOKUP($A8,'HY Compile'!$1:$1048576,16,0)</f>
        <v>0</v>
      </c>
      <c r="AC8" s="32">
        <f t="shared" si="8"/>
        <v>8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13</v>
      </c>
      <c r="AH8" s="26">
        <f>VLOOKUP($A8,'HY Compile'!$1:$1048576,19,0)</f>
        <v>0</v>
      </c>
      <c r="AI8" s="32">
        <f t="shared" si="10"/>
        <v>13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73</v>
      </c>
      <c r="AU8" s="26" t="str">
        <f t="shared" si="12"/>
        <v>6.08 %</v>
      </c>
    </row>
    <row r="9" spans="1:47" x14ac:dyDescent="0.3">
      <c r="A9" s="22">
        <f>DETAILS!A8</f>
        <v>694</v>
      </c>
      <c r="B9" s="22" t="str">
        <f>DETAILS!B8</f>
        <v>JYOTIRADITYA DAS</v>
      </c>
      <c r="C9" s="26">
        <f>VLOOKUP($A9,'HY Compile'!$1:$1048576,3,0)</f>
        <v>9</v>
      </c>
      <c r="D9" s="26">
        <f>VLOOKUP($A9,'HY Compile'!$1:$1048576,4,0)</f>
        <v>0</v>
      </c>
      <c r="E9" s="32">
        <f t="shared" si="0"/>
        <v>9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7</v>
      </c>
      <c r="J9" s="26">
        <f>VLOOKUP($A9,'HY Compile'!$1:$1048576,7,0)</f>
        <v>0</v>
      </c>
      <c r="K9" s="32">
        <f t="shared" si="2"/>
        <v>7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13</v>
      </c>
      <c r="P9" s="26">
        <f>VLOOKUP($A9,'HY Compile'!$1:$1048576,10,0)</f>
        <v>0</v>
      </c>
      <c r="Q9" s="32">
        <f t="shared" si="4"/>
        <v>13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13</v>
      </c>
      <c r="V9" s="26">
        <f>VLOOKUP($A9,'HY Compile'!$1:$1048576,13,0)</f>
        <v>0</v>
      </c>
      <c r="W9" s="32">
        <f t="shared" si="6"/>
        <v>13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5</v>
      </c>
      <c r="AB9" s="26">
        <f>VLOOKUP($A9,'HY Compile'!$1:$1048576,16,0)</f>
        <v>0</v>
      </c>
      <c r="AC9" s="32">
        <f t="shared" si="8"/>
        <v>5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11</v>
      </c>
      <c r="AH9" s="26">
        <f>VLOOKUP($A9,'HY Compile'!$1:$1048576,19,0)</f>
        <v>0</v>
      </c>
      <c r="AI9" s="32">
        <f t="shared" si="10"/>
        <v>11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58</v>
      </c>
      <c r="AU9" s="26" t="str">
        <f t="shared" si="12"/>
        <v>4.83 %</v>
      </c>
    </row>
    <row r="10" spans="1:47" x14ac:dyDescent="0.3">
      <c r="A10" s="22">
        <f>DETAILS!A9</f>
        <v>1873</v>
      </c>
      <c r="B10" s="22" t="str">
        <f>DETAILS!B9</f>
        <v>MASIRA AKHTAR</v>
      </c>
      <c r="C10" s="26">
        <f>VLOOKUP($A10,'HY Compile'!$1:$1048576,3,0)</f>
        <v>13</v>
      </c>
      <c r="D10" s="26">
        <f>VLOOKUP($A10,'HY Compile'!$1:$1048576,4,0)</f>
        <v>0</v>
      </c>
      <c r="E10" s="32">
        <f t="shared" si="0"/>
        <v>13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13</v>
      </c>
      <c r="J10" s="26">
        <f>VLOOKUP($A10,'HY Compile'!$1:$1048576,7,0)</f>
        <v>0</v>
      </c>
      <c r="K10" s="32">
        <f t="shared" si="2"/>
        <v>13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16</v>
      </c>
      <c r="P10" s="26">
        <f>VLOOKUP($A10,'HY Compile'!$1:$1048576,10,0)</f>
        <v>0</v>
      </c>
      <c r="Q10" s="32">
        <f t="shared" si="4"/>
        <v>16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17</v>
      </c>
      <c r="V10" s="26">
        <f>VLOOKUP($A10,'HY Compile'!$1:$1048576,13,0)</f>
        <v>0</v>
      </c>
      <c r="W10" s="32">
        <f t="shared" si="6"/>
        <v>17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14</v>
      </c>
      <c r="AB10" s="26">
        <f>VLOOKUP($A10,'HY Compile'!$1:$1048576,16,0)</f>
        <v>0</v>
      </c>
      <c r="AC10" s="32">
        <f t="shared" si="8"/>
        <v>14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17</v>
      </c>
      <c r="AH10" s="26">
        <f>VLOOKUP($A10,'HY Compile'!$1:$1048576,19,0)</f>
        <v>0</v>
      </c>
      <c r="AI10" s="32">
        <f t="shared" si="10"/>
        <v>17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90</v>
      </c>
      <c r="AU10" s="26" t="str">
        <f t="shared" si="12"/>
        <v>7.5 %</v>
      </c>
    </row>
    <row r="11" spans="1:47" x14ac:dyDescent="0.3">
      <c r="A11" s="22">
        <f>DETAILS!A10</f>
        <v>1491</v>
      </c>
      <c r="B11" s="22" t="str">
        <f>DETAILS!B10</f>
        <v>SIDDHARTH</v>
      </c>
      <c r="C11" s="26">
        <f>VLOOKUP($A11,'HY Compile'!$1:$1048576,3,0)</f>
        <v>11</v>
      </c>
      <c r="D11" s="26">
        <f>VLOOKUP($A11,'HY Compile'!$1:$1048576,4,0)</f>
        <v>0</v>
      </c>
      <c r="E11" s="32">
        <f t="shared" si="0"/>
        <v>11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7</v>
      </c>
      <c r="J11" s="26">
        <f>VLOOKUP($A11,'HY Compile'!$1:$1048576,7,0)</f>
        <v>0</v>
      </c>
      <c r="K11" s="32">
        <f t="shared" si="2"/>
        <v>7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11</v>
      </c>
      <c r="P11" s="26">
        <f>VLOOKUP($A11,'HY Compile'!$1:$1048576,10,0)</f>
        <v>0</v>
      </c>
      <c r="Q11" s="32">
        <f t="shared" si="4"/>
        <v>11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16</v>
      </c>
      <c r="V11" s="26">
        <f>VLOOKUP($A11,'HY Compile'!$1:$1048576,13,0)</f>
        <v>0</v>
      </c>
      <c r="W11" s="32">
        <f t="shared" si="6"/>
        <v>16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8</v>
      </c>
      <c r="AB11" s="26">
        <f>VLOOKUP($A11,'HY Compile'!$1:$1048576,16,0)</f>
        <v>0</v>
      </c>
      <c r="AC11" s="32">
        <f t="shared" si="8"/>
        <v>8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15</v>
      </c>
      <c r="AH11" s="26">
        <f>VLOOKUP($A11,'HY Compile'!$1:$1048576,19,0)</f>
        <v>0</v>
      </c>
      <c r="AI11" s="32">
        <f t="shared" si="10"/>
        <v>15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68</v>
      </c>
      <c r="AU11" s="26" t="str">
        <f t="shared" si="12"/>
        <v>5.67 %</v>
      </c>
    </row>
    <row r="12" spans="1:47" x14ac:dyDescent="0.3">
      <c r="A12" s="22">
        <f>DETAILS!A11</f>
        <v>701</v>
      </c>
      <c r="B12" s="22" t="str">
        <f>DETAILS!B11</f>
        <v>YASH SONI</v>
      </c>
      <c r="C12" s="26" t="str">
        <f>VLOOKUP($A12,'HY Compile'!$1:$1048576,3,0)</f>
        <v>AB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 t="str">
        <f>VLOOKUP($A12,'HY Compile'!$1:$1048576,6,0)</f>
        <v>AB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 t="str">
        <f>VLOOKUP($A12,'HY Compile'!$1:$1048576,9,0)</f>
        <v>AB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 t="str">
        <f>VLOOKUP($A12,'HY Compile'!$1:$1048576,12,0)</f>
        <v>AB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 t="str">
        <f>VLOOKUP($A12,'HY Compile'!$1:$1048576,15,0)</f>
        <v>AB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 t="str">
        <f>VLOOKUP($A12,'HY Compile'!$1:$1048576,18,0)</f>
        <v>AB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 t="e">
        <f>DETAILS!#REF!</f>
        <v>#REF!</v>
      </c>
      <c r="B13" s="22" t="e">
        <f>DETAILS!#REF!</f>
        <v>#REF!</v>
      </c>
      <c r="C13" s="26" t="e">
        <f>VLOOKUP($A13,'HY Compile'!$1:$1048576,3,0)</f>
        <v>#REF!</v>
      </c>
      <c r="D13" s="26" t="e">
        <f>VLOOKUP($A13,'HY Compile'!$1:$1048576,4,0)</f>
        <v>#REF!</v>
      </c>
      <c r="E13" s="32" t="e">
        <f t="shared" si="0"/>
        <v>#REF!</v>
      </c>
      <c r="F13" s="26" t="e">
        <f>VLOOKUP($A13,'UT-2'!$1:$1048576,3,0)</f>
        <v>#REF!</v>
      </c>
      <c r="G13" s="26" t="e">
        <f>IFERROR(ROUND(VLOOKUP($A13,ANNUAL!$1:$1048576,3,0)*0.8,0),VLOOKUP($A13,ANNUAL!$1:$1048576,3,0))</f>
        <v>#REF!</v>
      </c>
      <c r="H13" s="32" t="e">
        <f t="shared" si="1"/>
        <v>#REF!</v>
      </c>
      <c r="I13" s="26" t="e">
        <f>VLOOKUP($A13,'HY Compile'!$1:$1048576,6,0)</f>
        <v>#REF!</v>
      </c>
      <c r="J13" s="26" t="e">
        <f>VLOOKUP($A13,'HY Compile'!$1:$1048576,7,0)</f>
        <v>#REF!</v>
      </c>
      <c r="K13" s="32" t="e">
        <f t="shared" si="2"/>
        <v>#REF!</v>
      </c>
      <c r="L13" s="26" t="e">
        <f>VLOOKUP($A13,'UT-2'!$1:$1048576,4,0)</f>
        <v>#REF!</v>
      </c>
      <c r="M13" s="26" t="e">
        <f>IFERROR(ROUND(VLOOKUP($A13,ANNUAL!$1:$1048576,4,0)*0.8,0),VLOOKUP($A13,ANNUAL!$1:$1048576,4,0))</f>
        <v>#REF!</v>
      </c>
      <c r="N13" s="32" t="e">
        <f t="shared" si="3"/>
        <v>#REF!</v>
      </c>
      <c r="O13" s="26" t="e">
        <f>VLOOKUP($A13,'HY Compile'!$1:$1048576,9,0)</f>
        <v>#REF!</v>
      </c>
      <c r="P13" s="26" t="e">
        <f>VLOOKUP($A13,'HY Compile'!$1:$1048576,10,0)</f>
        <v>#REF!</v>
      </c>
      <c r="Q13" s="32" t="e">
        <f t="shared" si="4"/>
        <v>#REF!</v>
      </c>
      <c r="R13" s="26" t="e">
        <f>VLOOKUP($A13,'UT-2'!$1:$1048576,5,0)</f>
        <v>#REF!</v>
      </c>
      <c r="S13" s="26" t="e">
        <f>IFERROR(ROUND(VLOOKUP($A13,ANNUAL!$1:$1048576,5,0)*0.8,0),VLOOKUP($A13,ANNUAL!$1:$1048576,5,0))</f>
        <v>#REF!</v>
      </c>
      <c r="T13" s="32" t="e">
        <f t="shared" si="5"/>
        <v>#REF!</v>
      </c>
      <c r="U13" s="26" t="e">
        <f>VLOOKUP($A13,'HY Compile'!$1:$1048576,12,0)</f>
        <v>#REF!</v>
      </c>
      <c r="V13" s="26" t="e">
        <f>VLOOKUP($A13,'HY Compile'!$1:$1048576,13,0)</f>
        <v>#REF!</v>
      </c>
      <c r="W13" s="32" t="e">
        <f t="shared" si="6"/>
        <v>#REF!</v>
      </c>
      <c r="X13" s="26" t="e">
        <f>VLOOKUP($A13,'UT-2'!$1:$1048576,6,0)</f>
        <v>#REF!</v>
      </c>
      <c r="Y13" s="26" t="e">
        <f>IFERROR(ROUND(VLOOKUP($A13,ANNUAL!$1:$1048576,6,0)*0.8,0),VLOOKUP($A13,ANNUAL!$1:$1048576,6,0))</f>
        <v>#REF!</v>
      </c>
      <c r="Z13" s="32" t="e">
        <f t="shared" si="7"/>
        <v>#REF!</v>
      </c>
      <c r="AA13" s="26" t="e">
        <f>VLOOKUP($A13,'HY Compile'!$1:$1048576,15,0)</f>
        <v>#REF!</v>
      </c>
      <c r="AB13" s="26" t="e">
        <f>VLOOKUP($A13,'HY Compile'!$1:$1048576,16,0)</f>
        <v>#REF!</v>
      </c>
      <c r="AC13" s="32" t="e">
        <f t="shared" si="8"/>
        <v>#REF!</v>
      </c>
      <c r="AD13" s="26" t="e">
        <f>VLOOKUP($A13,'UT-2'!$1:$1048576,7,0)</f>
        <v>#REF!</v>
      </c>
      <c r="AE13" s="26" t="e">
        <f>IFERROR(ROUND(VLOOKUP($A13,ANNUAL!$1:$1048576,7,0)*0.8,0),VLOOKUP($A13,ANNUAL!$1:$1048576,7,0))</f>
        <v>#REF!</v>
      </c>
      <c r="AF13" s="32" t="e">
        <f t="shared" si="9"/>
        <v>#REF!</v>
      </c>
      <c r="AG13" s="26" t="e">
        <f>VLOOKUP($A13,'HY Compile'!$1:$1048576,18,0)</f>
        <v>#REF!</v>
      </c>
      <c r="AH13" s="26" t="e">
        <f>VLOOKUP($A13,'HY Compile'!$1:$1048576,19,0)</f>
        <v>#REF!</v>
      </c>
      <c r="AI13" s="32" t="e">
        <f t="shared" si="10"/>
        <v>#REF!</v>
      </c>
      <c r="AJ13" s="26" t="e">
        <f>VLOOKUP($A13,'UT-2'!$1:$1048576,8,0)</f>
        <v>#REF!</v>
      </c>
      <c r="AK13" s="26" t="e">
        <f>IFERROR(ROUND(VLOOKUP($A13,ANNUAL!$1:$1048576,8,0)*0.8,0),VLOOKUP($A13,ANNUAL!$1:$1048576,8,0))</f>
        <v>#REF!</v>
      </c>
      <c r="AL13" s="32" t="e">
        <f t="shared" si="11"/>
        <v>#REF!</v>
      </c>
      <c r="AM13" s="26" t="e">
        <f>VLOOKUP($A13,ANNUAL!$1:$1048576,9,0)</f>
        <v>#REF!</v>
      </c>
      <c r="AN13" s="26" t="e">
        <f>VLOOKUP($A13,ANNUAL!$1:$1048576,10,0)</f>
        <v>#REF!</v>
      </c>
      <c r="AO13" s="26" t="e">
        <f>VLOOKUP($A13,ANNUAL!$1:$1048576,11,0)</f>
        <v>#REF!</v>
      </c>
      <c r="AP13" s="26" t="e">
        <f>VLOOKUP($A13,ANNUAL!$1:$1048576,12,0)</f>
        <v>#REF!</v>
      </c>
      <c r="AQ13" s="26" t="e">
        <f>VLOOKUP($A13,ANNUAL!$1:$1048576,13,0)</f>
        <v>#REF!</v>
      </c>
      <c r="AR13" s="26" t="e">
        <f>VLOOKUP($A13,ANNUAL!$1:$1048576,14,0)</f>
        <v>#REF!</v>
      </c>
      <c r="AS13" s="31" t="e">
        <f>VLOOKUP($A13,ANNUAL!$1:$1048576,15,0)</f>
        <v>#REF!</v>
      </c>
      <c r="AT13" s="26" t="e">
        <f t="shared" si="13"/>
        <v>#REF!</v>
      </c>
      <c r="AU13" s="26" t="e">
        <f t="shared" si="12"/>
        <v>#REF!</v>
      </c>
    </row>
    <row r="14" spans="1:47" x14ac:dyDescent="0.3">
      <c r="A14" s="22" t="e">
        <f>DETAILS!#REF!</f>
        <v>#REF!</v>
      </c>
      <c r="B14" s="22" t="e">
        <f>DETAILS!#REF!</f>
        <v>#REF!</v>
      </c>
      <c r="C14" s="26" t="e">
        <f>VLOOKUP($A14,'HY Compile'!$1:$1048576,3,0)</f>
        <v>#REF!</v>
      </c>
      <c r="D14" s="26" t="e">
        <f>VLOOKUP($A14,'HY Compile'!$1:$1048576,4,0)</f>
        <v>#REF!</v>
      </c>
      <c r="E14" s="32" t="e">
        <f t="shared" si="0"/>
        <v>#REF!</v>
      </c>
      <c r="F14" s="26" t="e">
        <f>VLOOKUP($A14,'UT-2'!$1:$1048576,3,0)</f>
        <v>#REF!</v>
      </c>
      <c r="G14" s="26" t="e">
        <f>IFERROR(ROUND(VLOOKUP($A14,ANNUAL!$1:$1048576,3,0)*0.8,0),VLOOKUP($A14,ANNUAL!$1:$1048576,3,0))</f>
        <v>#REF!</v>
      </c>
      <c r="H14" s="32" t="e">
        <f t="shared" si="1"/>
        <v>#REF!</v>
      </c>
      <c r="I14" s="26" t="e">
        <f>VLOOKUP($A14,'HY Compile'!$1:$1048576,6,0)</f>
        <v>#REF!</v>
      </c>
      <c r="J14" s="26" t="e">
        <f>VLOOKUP($A14,'HY Compile'!$1:$1048576,7,0)</f>
        <v>#REF!</v>
      </c>
      <c r="K14" s="32" t="e">
        <f t="shared" si="2"/>
        <v>#REF!</v>
      </c>
      <c r="L14" s="26" t="e">
        <f>VLOOKUP($A14,'UT-2'!$1:$1048576,4,0)</f>
        <v>#REF!</v>
      </c>
      <c r="M14" s="26" t="e">
        <f>IFERROR(ROUND(VLOOKUP($A14,ANNUAL!$1:$1048576,4,0)*0.8,0),VLOOKUP($A14,ANNUAL!$1:$1048576,4,0))</f>
        <v>#REF!</v>
      </c>
      <c r="N14" s="32" t="e">
        <f t="shared" si="3"/>
        <v>#REF!</v>
      </c>
      <c r="O14" s="26" t="e">
        <f>VLOOKUP($A14,'HY Compile'!$1:$1048576,9,0)</f>
        <v>#REF!</v>
      </c>
      <c r="P14" s="26" t="e">
        <f>VLOOKUP($A14,'HY Compile'!$1:$1048576,10,0)</f>
        <v>#REF!</v>
      </c>
      <c r="Q14" s="32" t="e">
        <f t="shared" si="4"/>
        <v>#REF!</v>
      </c>
      <c r="R14" s="26" t="e">
        <f>VLOOKUP($A14,'UT-2'!$1:$1048576,5,0)</f>
        <v>#REF!</v>
      </c>
      <c r="S14" s="26" t="e">
        <f>IFERROR(ROUND(VLOOKUP($A14,ANNUAL!$1:$1048576,5,0)*0.8,0),VLOOKUP($A14,ANNUAL!$1:$1048576,5,0))</f>
        <v>#REF!</v>
      </c>
      <c r="T14" s="32" t="e">
        <f t="shared" si="5"/>
        <v>#REF!</v>
      </c>
      <c r="U14" s="26" t="e">
        <f>VLOOKUP($A14,'HY Compile'!$1:$1048576,12,0)</f>
        <v>#REF!</v>
      </c>
      <c r="V14" s="26" t="e">
        <f>VLOOKUP($A14,'HY Compile'!$1:$1048576,13,0)</f>
        <v>#REF!</v>
      </c>
      <c r="W14" s="32" t="e">
        <f t="shared" si="6"/>
        <v>#REF!</v>
      </c>
      <c r="X14" s="26" t="e">
        <f>VLOOKUP($A14,'UT-2'!$1:$1048576,6,0)</f>
        <v>#REF!</v>
      </c>
      <c r="Y14" s="26" t="e">
        <f>IFERROR(ROUND(VLOOKUP($A14,ANNUAL!$1:$1048576,6,0)*0.8,0),VLOOKUP($A14,ANNUAL!$1:$1048576,6,0))</f>
        <v>#REF!</v>
      </c>
      <c r="Z14" s="32" t="e">
        <f t="shared" si="7"/>
        <v>#REF!</v>
      </c>
      <c r="AA14" s="26" t="e">
        <f>VLOOKUP($A14,'HY Compile'!$1:$1048576,15,0)</f>
        <v>#REF!</v>
      </c>
      <c r="AB14" s="26" t="e">
        <f>VLOOKUP($A14,'HY Compile'!$1:$1048576,16,0)</f>
        <v>#REF!</v>
      </c>
      <c r="AC14" s="32" t="e">
        <f t="shared" si="8"/>
        <v>#REF!</v>
      </c>
      <c r="AD14" s="26" t="e">
        <f>VLOOKUP($A14,'UT-2'!$1:$1048576,7,0)</f>
        <v>#REF!</v>
      </c>
      <c r="AE14" s="26" t="e">
        <f>IFERROR(ROUND(VLOOKUP($A14,ANNUAL!$1:$1048576,7,0)*0.8,0),VLOOKUP($A14,ANNUAL!$1:$1048576,7,0))</f>
        <v>#REF!</v>
      </c>
      <c r="AF14" s="32" t="e">
        <f t="shared" si="9"/>
        <v>#REF!</v>
      </c>
      <c r="AG14" s="26" t="e">
        <f>VLOOKUP($A14,'HY Compile'!$1:$1048576,18,0)</f>
        <v>#REF!</v>
      </c>
      <c r="AH14" s="26" t="e">
        <f>VLOOKUP($A14,'HY Compile'!$1:$1048576,19,0)</f>
        <v>#REF!</v>
      </c>
      <c r="AI14" s="32" t="e">
        <f t="shared" si="10"/>
        <v>#REF!</v>
      </c>
      <c r="AJ14" s="26" t="e">
        <f>VLOOKUP($A14,'UT-2'!$1:$1048576,8,0)</f>
        <v>#REF!</v>
      </c>
      <c r="AK14" s="26" t="e">
        <f>IFERROR(ROUND(VLOOKUP($A14,ANNUAL!$1:$1048576,8,0)*0.8,0),VLOOKUP($A14,ANNUAL!$1:$1048576,8,0))</f>
        <v>#REF!</v>
      </c>
      <c r="AL14" s="32" t="e">
        <f t="shared" si="11"/>
        <v>#REF!</v>
      </c>
      <c r="AM14" s="26" t="e">
        <f>VLOOKUP($A14,ANNUAL!$1:$1048576,9,0)</f>
        <v>#REF!</v>
      </c>
      <c r="AN14" s="26" t="e">
        <f>VLOOKUP($A14,ANNUAL!$1:$1048576,10,0)</f>
        <v>#REF!</v>
      </c>
      <c r="AO14" s="26" t="e">
        <f>VLOOKUP($A14,ANNUAL!$1:$1048576,11,0)</f>
        <v>#REF!</v>
      </c>
      <c r="AP14" s="26" t="e">
        <f>VLOOKUP($A14,ANNUAL!$1:$1048576,12,0)</f>
        <v>#REF!</v>
      </c>
      <c r="AQ14" s="26" t="e">
        <f>VLOOKUP($A14,ANNUAL!$1:$1048576,13,0)</f>
        <v>#REF!</v>
      </c>
      <c r="AR14" s="26" t="e">
        <f>VLOOKUP($A14,ANNUAL!$1:$1048576,14,0)</f>
        <v>#REF!</v>
      </c>
      <c r="AS14" s="31" t="e">
        <f>VLOOKUP($A14,ANNUAL!$1:$1048576,15,0)</f>
        <v>#REF!</v>
      </c>
      <c r="AT14" s="26" t="e">
        <f t="shared" si="13"/>
        <v>#REF!</v>
      </c>
      <c r="AU14" s="26" t="e">
        <f t="shared" si="12"/>
        <v>#REF!</v>
      </c>
    </row>
    <row r="15" spans="1:47" x14ac:dyDescent="0.3">
      <c r="A15" s="22" t="e">
        <f>DETAILS!#REF!</f>
        <v>#REF!</v>
      </c>
      <c r="B15" s="22" t="e">
        <f>DETAILS!#REF!</f>
        <v>#REF!</v>
      </c>
      <c r="C15" s="26" t="e">
        <f>VLOOKUP($A15,'HY Compile'!$1:$1048576,3,0)</f>
        <v>#REF!</v>
      </c>
      <c r="D15" s="26" t="e">
        <f>VLOOKUP($A15,'HY Compile'!$1:$1048576,4,0)</f>
        <v>#REF!</v>
      </c>
      <c r="E15" s="32" t="e">
        <f t="shared" si="0"/>
        <v>#REF!</v>
      </c>
      <c r="F15" s="26" t="e">
        <f>VLOOKUP($A15,'UT-2'!$1:$1048576,3,0)</f>
        <v>#REF!</v>
      </c>
      <c r="G15" s="26" t="e">
        <f>IFERROR(ROUND(VLOOKUP($A15,ANNUAL!$1:$1048576,3,0)*0.8,0),VLOOKUP($A15,ANNUAL!$1:$1048576,3,0))</f>
        <v>#REF!</v>
      </c>
      <c r="H15" s="32" t="e">
        <f t="shared" si="1"/>
        <v>#REF!</v>
      </c>
      <c r="I15" s="26" t="e">
        <f>VLOOKUP($A15,'HY Compile'!$1:$1048576,6,0)</f>
        <v>#REF!</v>
      </c>
      <c r="J15" s="26" t="e">
        <f>VLOOKUP($A15,'HY Compile'!$1:$1048576,7,0)</f>
        <v>#REF!</v>
      </c>
      <c r="K15" s="32" t="e">
        <f t="shared" si="2"/>
        <v>#REF!</v>
      </c>
      <c r="L15" s="26" t="e">
        <f>VLOOKUP($A15,'UT-2'!$1:$1048576,4,0)</f>
        <v>#REF!</v>
      </c>
      <c r="M15" s="26" t="e">
        <f>IFERROR(ROUND(VLOOKUP($A15,ANNUAL!$1:$1048576,4,0)*0.8,0),VLOOKUP($A15,ANNUAL!$1:$1048576,4,0))</f>
        <v>#REF!</v>
      </c>
      <c r="N15" s="32" t="e">
        <f t="shared" si="3"/>
        <v>#REF!</v>
      </c>
      <c r="O15" s="26" t="e">
        <f>VLOOKUP($A15,'HY Compile'!$1:$1048576,9,0)</f>
        <v>#REF!</v>
      </c>
      <c r="P15" s="26" t="e">
        <f>VLOOKUP($A15,'HY Compile'!$1:$1048576,10,0)</f>
        <v>#REF!</v>
      </c>
      <c r="Q15" s="32" t="e">
        <f t="shared" si="4"/>
        <v>#REF!</v>
      </c>
      <c r="R15" s="26" t="e">
        <f>VLOOKUP($A15,'UT-2'!$1:$1048576,5,0)</f>
        <v>#REF!</v>
      </c>
      <c r="S15" s="26" t="e">
        <f>IFERROR(ROUND(VLOOKUP($A15,ANNUAL!$1:$1048576,5,0)*0.8,0),VLOOKUP($A15,ANNUAL!$1:$1048576,5,0))</f>
        <v>#REF!</v>
      </c>
      <c r="T15" s="32" t="e">
        <f t="shared" si="5"/>
        <v>#REF!</v>
      </c>
      <c r="U15" s="26" t="e">
        <f>VLOOKUP($A15,'HY Compile'!$1:$1048576,12,0)</f>
        <v>#REF!</v>
      </c>
      <c r="V15" s="26" t="e">
        <f>VLOOKUP($A15,'HY Compile'!$1:$1048576,13,0)</f>
        <v>#REF!</v>
      </c>
      <c r="W15" s="32" t="e">
        <f t="shared" si="6"/>
        <v>#REF!</v>
      </c>
      <c r="X15" s="26" t="e">
        <f>VLOOKUP($A15,'UT-2'!$1:$1048576,6,0)</f>
        <v>#REF!</v>
      </c>
      <c r="Y15" s="26" t="e">
        <f>IFERROR(ROUND(VLOOKUP($A15,ANNUAL!$1:$1048576,6,0)*0.8,0),VLOOKUP($A15,ANNUAL!$1:$1048576,6,0))</f>
        <v>#REF!</v>
      </c>
      <c r="Z15" s="32" t="e">
        <f t="shared" si="7"/>
        <v>#REF!</v>
      </c>
      <c r="AA15" s="26" t="e">
        <f>VLOOKUP($A15,'HY Compile'!$1:$1048576,15,0)</f>
        <v>#REF!</v>
      </c>
      <c r="AB15" s="26" t="e">
        <f>VLOOKUP($A15,'HY Compile'!$1:$1048576,16,0)</f>
        <v>#REF!</v>
      </c>
      <c r="AC15" s="32" t="e">
        <f t="shared" si="8"/>
        <v>#REF!</v>
      </c>
      <c r="AD15" s="26" t="e">
        <f>VLOOKUP($A15,'UT-2'!$1:$1048576,7,0)</f>
        <v>#REF!</v>
      </c>
      <c r="AE15" s="26" t="e">
        <f>IFERROR(ROUND(VLOOKUP($A15,ANNUAL!$1:$1048576,7,0)*0.8,0),VLOOKUP($A15,ANNUAL!$1:$1048576,7,0))</f>
        <v>#REF!</v>
      </c>
      <c r="AF15" s="32" t="e">
        <f t="shared" si="9"/>
        <v>#REF!</v>
      </c>
      <c r="AG15" s="26" t="e">
        <f>VLOOKUP($A15,'HY Compile'!$1:$1048576,18,0)</f>
        <v>#REF!</v>
      </c>
      <c r="AH15" s="26" t="e">
        <f>VLOOKUP($A15,'HY Compile'!$1:$1048576,19,0)</f>
        <v>#REF!</v>
      </c>
      <c r="AI15" s="32" t="e">
        <f t="shared" si="10"/>
        <v>#REF!</v>
      </c>
      <c r="AJ15" s="26" t="e">
        <f>VLOOKUP($A15,'UT-2'!$1:$1048576,8,0)</f>
        <v>#REF!</v>
      </c>
      <c r="AK15" s="26" t="e">
        <f>IFERROR(ROUND(VLOOKUP($A15,ANNUAL!$1:$1048576,8,0)*0.8,0),VLOOKUP($A15,ANNUAL!$1:$1048576,8,0))</f>
        <v>#REF!</v>
      </c>
      <c r="AL15" s="32" t="e">
        <f t="shared" si="11"/>
        <v>#REF!</v>
      </c>
      <c r="AM15" s="26" t="e">
        <f>VLOOKUP($A15,ANNUAL!$1:$1048576,9,0)</f>
        <v>#REF!</v>
      </c>
      <c r="AN15" s="26" t="e">
        <f>VLOOKUP($A15,ANNUAL!$1:$1048576,10,0)</f>
        <v>#REF!</v>
      </c>
      <c r="AO15" s="26" t="e">
        <f>VLOOKUP($A15,ANNUAL!$1:$1048576,11,0)</f>
        <v>#REF!</v>
      </c>
      <c r="AP15" s="26" t="e">
        <f>VLOOKUP($A15,ANNUAL!$1:$1048576,12,0)</f>
        <v>#REF!</v>
      </c>
      <c r="AQ15" s="26" t="e">
        <f>VLOOKUP($A15,ANNUAL!$1:$1048576,13,0)</f>
        <v>#REF!</v>
      </c>
      <c r="AR15" s="26" t="e">
        <f>VLOOKUP($A15,ANNUAL!$1:$1048576,14,0)</f>
        <v>#REF!</v>
      </c>
      <c r="AS15" s="31" t="e">
        <f>VLOOKUP($A15,ANNUAL!$1:$1048576,15,0)</f>
        <v>#REF!</v>
      </c>
      <c r="AT15" s="26" t="e">
        <f t="shared" si="13"/>
        <v>#REF!</v>
      </c>
      <c r="AU15" s="26" t="e">
        <f t="shared" si="12"/>
        <v>#REF!</v>
      </c>
    </row>
    <row r="16" spans="1:47" x14ac:dyDescent="0.3">
      <c r="A16" s="22" t="e">
        <f>DETAILS!#REF!</f>
        <v>#REF!</v>
      </c>
      <c r="B16" s="22" t="e">
        <f>DETAILS!#REF!</f>
        <v>#REF!</v>
      </c>
      <c r="C16" s="26" t="e">
        <f>VLOOKUP($A16,'HY Compile'!$1:$1048576,3,0)</f>
        <v>#REF!</v>
      </c>
      <c r="D16" s="26" t="e">
        <f>VLOOKUP($A16,'HY Compile'!$1:$1048576,4,0)</f>
        <v>#REF!</v>
      </c>
      <c r="E16" s="32" t="e">
        <f t="shared" si="0"/>
        <v>#REF!</v>
      </c>
      <c r="F16" s="26" t="e">
        <f>VLOOKUP($A16,'UT-2'!$1:$1048576,3,0)</f>
        <v>#REF!</v>
      </c>
      <c r="G16" s="26" t="e">
        <f>IFERROR(ROUND(VLOOKUP($A16,ANNUAL!$1:$1048576,3,0)*0.8,0),VLOOKUP($A16,ANNUAL!$1:$1048576,3,0))</f>
        <v>#REF!</v>
      </c>
      <c r="H16" s="32" t="e">
        <f t="shared" si="1"/>
        <v>#REF!</v>
      </c>
      <c r="I16" s="26" t="e">
        <f>VLOOKUP($A16,'HY Compile'!$1:$1048576,6,0)</f>
        <v>#REF!</v>
      </c>
      <c r="J16" s="26" t="e">
        <f>VLOOKUP($A16,'HY Compile'!$1:$1048576,7,0)</f>
        <v>#REF!</v>
      </c>
      <c r="K16" s="32" t="e">
        <f t="shared" si="2"/>
        <v>#REF!</v>
      </c>
      <c r="L16" s="26" t="e">
        <f>VLOOKUP($A16,'UT-2'!$1:$1048576,4,0)</f>
        <v>#REF!</v>
      </c>
      <c r="M16" s="26" t="e">
        <f>IFERROR(ROUND(VLOOKUP($A16,ANNUAL!$1:$1048576,4,0)*0.8,0),VLOOKUP($A16,ANNUAL!$1:$1048576,4,0))</f>
        <v>#REF!</v>
      </c>
      <c r="N16" s="32" t="e">
        <f t="shared" si="3"/>
        <v>#REF!</v>
      </c>
      <c r="O16" s="26" t="e">
        <f>VLOOKUP($A16,'HY Compile'!$1:$1048576,9,0)</f>
        <v>#REF!</v>
      </c>
      <c r="P16" s="26" t="e">
        <f>VLOOKUP($A16,'HY Compile'!$1:$1048576,10,0)</f>
        <v>#REF!</v>
      </c>
      <c r="Q16" s="32" t="e">
        <f t="shared" si="4"/>
        <v>#REF!</v>
      </c>
      <c r="R16" s="26" t="e">
        <f>VLOOKUP($A16,'UT-2'!$1:$1048576,5,0)</f>
        <v>#REF!</v>
      </c>
      <c r="S16" s="26" t="e">
        <f>IFERROR(ROUND(VLOOKUP($A16,ANNUAL!$1:$1048576,5,0)*0.8,0),VLOOKUP($A16,ANNUAL!$1:$1048576,5,0))</f>
        <v>#REF!</v>
      </c>
      <c r="T16" s="32" t="e">
        <f t="shared" si="5"/>
        <v>#REF!</v>
      </c>
      <c r="U16" s="26" t="e">
        <f>VLOOKUP($A16,'HY Compile'!$1:$1048576,12,0)</f>
        <v>#REF!</v>
      </c>
      <c r="V16" s="26" t="e">
        <f>VLOOKUP($A16,'HY Compile'!$1:$1048576,13,0)</f>
        <v>#REF!</v>
      </c>
      <c r="W16" s="32" t="e">
        <f t="shared" si="6"/>
        <v>#REF!</v>
      </c>
      <c r="X16" s="26" t="e">
        <f>VLOOKUP($A16,'UT-2'!$1:$1048576,6,0)</f>
        <v>#REF!</v>
      </c>
      <c r="Y16" s="26" t="e">
        <f>IFERROR(ROUND(VLOOKUP($A16,ANNUAL!$1:$1048576,6,0)*0.8,0),VLOOKUP($A16,ANNUAL!$1:$1048576,6,0))</f>
        <v>#REF!</v>
      </c>
      <c r="Z16" s="32" t="e">
        <f t="shared" si="7"/>
        <v>#REF!</v>
      </c>
      <c r="AA16" s="26" t="e">
        <f>VLOOKUP($A16,'HY Compile'!$1:$1048576,15,0)</f>
        <v>#REF!</v>
      </c>
      <c r="AB16" s="26" t="e">
        <f>VLOOKUP($A16,'HY Compile'!$1:$1048576,16,0)</f>
        <v>#REF!</v>
      </c>
      <c r="AC16" s="32" t="e">
        <f t="shared" si="8"/>
        <v>#REF!</v>
      </c>
      <c r="AD16" s="26" t="e">
        <f>VLOOKUP($A16,'UT-2'!$1:$1048576,7,0)</f>
        <v>#REF!</v>
      </c>
      <c r="AE16" s="26" t="e">
        <f>IFERROR(ROUND(VLOOKUP($A16,ANNUAL!$1:$1048576,7,0)*0.8,0),VLOOKUP($A16,ANNUAL!$1:$1048576,7,0))</f>
        <v>#REF!</v>
      </c>
      <c r="AF16" s="32" t="e">
        <f t="shared" si="9"/>
        <v>#REF!</v>
      </c>
      <c r="AG16" s="26" t="e">
        <f>VLOOKUP($A16,'HY Compile'!$1:$1048576,18,0)</f>
        <v>#REF!</v>
      </c>
      <c r="AH16" s="26" t="e">
        <f>VLOOKUP($A16,'HY Compile'!$1:$1048576,19,0)</f>
        <v>#REF!</v>
      </c>
      <c r="AI16" s="32" t="e">
        <f t="shared" si="10"/>
        <v>#REF!</v>
      </c>
      <c r="AJ16" s="26" t="e">
        <f>VLOOKUP($A16,'UT-2'!$1:$1048576,8,0)</f>
        <v>#REF!</v>
      </c>
      <c r="AK16" s="26" t="e">
        <f>IFERROR(ROUND(VLOOKUP($A16,ANNUAL!$1:$1048576,8,0)*0.8,0),VLOOKUP($A16,ANNUAL!$1:$1048576,8,0))</f>
        <v>#REF!</v>
      </c>
      <c r="AL16" s="32" t="e">
        <f t="shared" si="11"/>
        <v>#REF!</v>
      </c>
      <c r="AM16" s="26" t="e">
        <f>VLOOKUP($A16,ANNUAL!$1:$1048576,9,0)</f>
        <v>#REF!</v>
      </c>
      <c r="AN16" s="26" t="e">
        <f>VLOOKUP($A16,ANNUAL!$1:$1048576,10,0)</f>
        <v>#REF!</v>
      </c>
      <c r="AO16" s="26" t="e">
        <f>VLOOKUP($A16,ANNUAL!$1:$1048576,11,0)</f>
        <v>#REF!</v>
      </c>
      <c r="AP16" s="26" t="e">
        <f>VLOOKUP($A16,ANNUAL!$1:$1048576,12,0)</f>
        <v>#REF!</v>
      </c>
      <c r="AQ16" s="26" t="e">
        <f>VLOOKUP($A16,ANNUAL!$1:$1048576,13,0)</f>
        <v>#REF!</v>
      </c>
      <c r="AR16" s="26" t="e">
        <f>VLOOKUP($A16,ANNUAL!$1:$1048576,14,0)</f>
        <v>#REF!</v>
      </c>
      <c r="AS16" s="31" t="e">
        <f>VLOOKUP($A16,ANNUAL!$1:$1048576,15,0)</f>
        <v>#REF!</v>
      </c>
      <c r="AT16" s="26" t="e">
        <f t="shared" si="13"/>
        <v>#REF!</v>
      </c>
      <c r="AU16" s="26" t="e">
        <f t="shared" si="12"/>
        <v>#REF!</v>
      </c>
    </row>
    <row r="17" spans="1:47" x14ac:dyDescent="0.3">
      <c r="A17" s="22" t="e">
        <f>DETAILS!#REF!</f>
        <v>#REF!</v>
      </c>
      <c r="B17" s="22" t="e">
        <f>DETAILS!#REF!</f>
        <v>#REF!</v>
      </c>
      <c r="C17" s="26" t="e">
        <f>VLOOKUP($A17,'HY Compile'!$1:$1048576,3,0)</f>
        <v>#REF!</v>
      </c>
      <c r="D17" s="26" t="e">
        <f>VLOOKUP($A17,'HY Compile'!$1:$1048576,4,0)</f>
        <v>#REF!</v>
      </c>
      <c r="E17" s="32" t="e">
        <f t="shared" si="0"/>
        <v>#REF!</v>
      </c>
      <c r="F17" s="26" t="e">
        <f>VLOOKUP($A17,'UT-2'!$1:$1048576,3,0)</f>
        <v>#REF!</v>
      </c>
      <c r="G17" s="26" t="e">
        <f>IFERROR(ROUND(VLOOKUP($A17,ANNUAL!$1:$1048576,3,0)*0.8,0),VLOOKUP($A17,ANNUAL!$1:$1048576,3,0))</f>
        <v>#REF!</v>
      </c>
      <c r="H17" s="32" t="e">
        <f t="shared" si="1"/>
        <v>#REF!</v>
      </c>
      <c r="I17" s="26" t="e">
        <f>VLOOKUP($A17,'HY Compile'!$1:$1048576,6,0)</f>
        <v>#REF!</v>
      </c>
      <c r="J17" s="26" t="e">
        <f>VLOOKUP($A17,'HY Compile'!$1:$1048576,7,0)</f>
        <v>#REF!</v>
      </c>
      <c r="K17" s="32" t="e">
        <f t="shared" si="2"/>
        <v>#REF!</v>
      </c>
      <c r="L17" s="26" t="e">
        <f>VLOOKUP($A17,'UT-2'!$1:$1048576,4,0)</f>
        <v>#REF!</v>
      </c>
      <c r="M17" s="26" t="e">
        <f>IFERROR(ROUND(VLOOKUP($A17,ANNUAL!$1:$1048576,4,0)*0.8,0),VLOOKUP($A17,ANNUAL!$1:$1048576,4,0))</f>
        <v>#REF!</v>
      </c>
      <c r="N17" s="32" t="e">
        <f t="shared" si="3"/>
        <v>#REF!</v>
      </c>
      <c r="O17" s="26" t="e">
        <f>VLOOKUP($A17,'HY Compile'!$1:$1048576,9,0)</f>
        <v>#REF!</v>
      </c>
      <c r="P17" s="26" t="e">
        <f>VLOOKUP($A17,'HY Compile'!$1:$1048576,10,0)</f>
        <v>#REF!</v>
      </c>
      <c r="Q17" s="32" t="e">
        <f t="shared" si="4"/>
        <v>#REF!</v>
      </c>
      <c r="R17" s="26" t="e">
        <f>VLOOKUP($A17,'UT-2'!$1:$1048576,5,0)</f>
        <v>#REF!</v>
      </c>
      <c r="S17" s="26" t="e">
        <f>IFERROR(ROUND(VLOOKUP($A17,ANNUAL!$1:$1048576,5,0)*0.8,0),VLOOKUP($A17,ANNUAL!$1:$1048576,5,0))</f>
        <v>#REF!</v>
      </c>
      <c r="T17" s="32" t="e">
        <f t="shared" si="5"/>
        <v>#REF!</v>
      </c>
      <c r="U17" s="26" t="e">
        <f>VLOOKUP($A17,'HY Compile'!$1:$1048576,12,0)</f>
        <v>#REF!</v>
      </c>
      <c r="V17" s="26" t="e">
        <f>VLOOKUP($A17,'HY Compile'!$1:$1048576,13,0)</f>
        <v>#REF!</v>
      </c>
      <c r="W17" s="32" t="e">
        <f t="shared" si="6"/>
        <v>#REF!</v>
      </c>
      <c r="X17" s="26" t="e">
        <f>VLOOKUP($A17,'UT-2'!$1:$1048576,6,0)</f>
        <v>#REF!</v>
      </c>
      <c r="Y17" s="26" t="e">
        <f>IFERROR(ROUND(VLOOKUP($A17,ANNUAL!$1:$1048576,6,0)*0.8,0),VLOOKUP($A17,ANNUAL!$1:$1048576,6,0))</f>
        <v>#REF!</v>
      </c>
      <c r="Z17" s="32" t="e">
        <f t="shared" si="7"/>
        <v>#REF!</v>
      </c>
      <c r="AA17" s="26" t="e">
        <f>VLOOKUP($A17,'HY Compile'!$1:$1048576,15,0)</f>
        <v>#REF!</v>
      </c>
      <c r="AB17" s="26" t="e">
        <f>VLOOKUP($A17,'HY Compile'!$1:$1048576,16,0)</f>
        <v>#REF!</v>
      </c>
      <c r="AC17" s="32" t="e">
        <f t="shared" si="8"/>
        <v>#REF!</v>
      </c>
      <c r="AD17" s="26" t="e">
        <f>VLOOKUP($A17,'UT-2'!$1:$1048576,7,0)</f>
        <v>#REF!</v>
      </c>
      <c r="AE17" s="26" t="e">
        <f>IFERROR(ROUND(VLOOKUP($A17,ANNUAL!$1:$1048576,7,0)*0.8,0),VLOOKUP($A17,ANNUAL!$1:$1048576,7,0))</f>
        <v>#REF!</v>
      </c>
      <c r="AF17" s="32" t="e">
        <f t="shared" si="9"/>
        <v>#REF!</v>
      </c>
      <c r="AG17" s="26" t="e">
        <f>VLOOKUP($A17,'HY Compile'!$1:$1048576,18,0)</f>
        <v>#REF!</v>
      </c>
      <c r="AH17" s="26" t="e">
        <f>VLOOKUP($A17,'HY Compile'!$1:$1048576,19,0)</f>
        <v>#REF!</v>
      </c>
      <c r="AI17" s="32" t="e">
        <f t="shared" si="10"/>
        <v>#REF!</v>
      </c>
      <c r="AJ17" s="26" t="e">
        <f>VLOOKUP($A17,'UT-2'!$1:$1048576,8,0)</f>
        <v>#REF!</v>
      </c>
      <c r="AK17" s="26" t="e">
        <f>IFERROR(ROUND(VLOOKUP($A17,ANNUAL!$1:$1048576,8,0)*0.8,0),VLOOKUP($A17,ANNUAL!$1:$1048576,8,0))</f>
        <v>#REF!</v>
      </c>
      <c r="AL17" s="32" t="e">
        <f t="shared" si="11"/>
        <v>#REF!</v>
      </c>
      <c r="AM17" s="26" t="e">
        <f>VLOOKUP($A17,ANNUAL!$1:$1048576,9,0)</f>
        <v>#REF!</v>
      </c>
      <c r="AN17" s="26" t="e">
        <f>VLOOKUP($A17,ANNUAL!$1:$1048576,10,0)</f>
        <v>#REF!</v>
      </c>
      <c r="AO17" s="26" t="e">
        <f>VLOOKUP($A17,ANNUAL!$1:$1048576,11,0)</f>
        <v>#REF!</v>
      </c>
      <c r="AP17" s="26" t="e">
        <f>VLOOKUP($A17,ANNUAL!$1:$1048576,12,0)</f>
        <v>#REF!</v>
      </c>
      <c r="AQ17" s="26" t="e">
        <f>VLOOKUP($A17,ANNUAL!$1:$1048576,13,0)</f>
        <v>#REF!</v>
      </c>
      <c r="AR17" s="26" t="e">
        <f>VLOOKUP($A17,ANNUAL!$1:$1048576,14,0)</f>
        <v>#REF!</v>
      </c>
      <c r="AS17" s="31" t="e">
        <f>VLOOKUP($A17,ANNUAL!$1:$1048576,15,0)</f>
        <v>#REF!</v>
      </c>
      <c r="AT17" s="26" t="e">
        <f t="shared" si="13"/>
        <v>#REF!</v>
      </c>
      <c r="AU17" s="26" t="e">
        <f t="shared" si="12"/>
        <v>#REF!</v>
      </c>
    </row>
    <row r="18" spans="1:47" x14ac:dyDescent="0.3">
      <c r="A18" s="22" t="e">
        <f>DETAILS!#REF!</f>
        <v>#REF!</v>
      </c>
      <c r="B18" s="22" t="e">
        <f>DETAILS!#REF!</f>
        <v>#REF!</v>
      </c>
      <c r="C18" s="26" t="e">
        <f>VLOOKUP($A18,'HY Compile'!$1:$1048576,3,0)</f>
        <v>#REF!</v>
      </c>
      <c r="D18" s="26" t="e">
        <f>VLOOKUP($A18,'HY Compile'!$1:$1048576,4,0)</f>
        <v>#REF!</v>
      </c>
      <c r="E18" s="32" t="e">
        <f t="shared" si="0"/>
        <v>#REF!</v>
      </c>
      <c r="F18" s="26" t="e">
        <f>VLOOKUP($A18,'UT-2'!$1:$1048576,3,0)</f>
        <v>#REF!</v>
      </c>
      <c r="G18" s="26" t="e">
        <f>IFERROR(ROUND(VLOOKUP($A18,ANNUAL!$1:$1048576,3,0)*0.8,0),VLOOKUP($A18,ANNUAL!$1:$1048576,3,0))</f>
        <v>#REF!</v>
      </c>
      <c r="H18" s="32" t="e">
        <f t="shared" si="1"/>
        <v>#REF!</v>
      </c>
      <c r="I18" s="26" t="e">
        <f>VLOOKUP($A18,'HY Compile'!$1:$1048576,6,0)</f>
        <v>#REF!</v>
      </c>
      <c r="J18" s="26" t="e">
        <f>VLOOKUP($A18,'HY Compile'!$1:$1048576,7,0)</f>
        <v>#REF!</v>
      </c>
      <c r="K18" s="32" t="e">
        <f t="shared" si="2"/>
        <v>#REF!</v>
      </c>
      <c r="L18" s="26" t="e">
        <f>VLOOKUP($A18,'UT-2'!$1:$1048576,4,0)</f>
        <v>#REF!</v>
      </c>
      <c r="M18" s="26" t="e">
        <f>IFERROR(ROUND(VLOOKUP($A18,ANNUAL!$1:$1048576,4,0)*0.8,0),VLOOKUP($A18,ANNUAL!$1:$1048576,4,0))</f>
        <v>#REF!</v>
      </c>
      <c r="N18" s="32" t="e">
        <f t="shared" si="3"/>
        <v>#REF!</v>
      </c>
      <c r="O18" s="26" t="e">
        <f>VLOOKUP($A18,'HY Compile'!$1:$1048576,9,0)</f>
        <v>#REF!</v>
      </c>
      <c r="P18" s="26" t="e">
        <f>VLOOKUP($A18,'HY Compile'!$1:$1048576,10,0)</f>
        <v>#REF!</v>
      </c>
      <c r="Q18" s="32" t="e">
        <f t="shared" si="4"/>
        <v>#REF!</v>
      </c>
      <c r="R18" s="26" t="e">
        <f>VLOOKUP($A18,'UT-2'!$1:$1048576,5,0)</f>
        <v>#REF!</v>
      </c>
      <c r="S18" s="26" t="e">
        <f>IFERROR(ROUND(VLOOKUP($A18,ANNUAL!$1:$1048576,5,0)*0.8,0),VLOOKUP($A18,ANNUAL!$1:$1048576,5,0))</f>
        <v>#REF!</v>
      </c>
      <c r="T18" s="32" t="e">
        <f t="shared" si="5"/>
        <v>#REF!</v>
      </c>
      <c r="U18" s="26" t="e">
        <f>VLOOKUP($A18,'HY Compile'!$1:$1048576,12,0)</f>
        <v>#REF!</v>
      </c>
      <c r="V18" s="26" t="e">
        <f>VLOOKUP($A18,'HY Compile'!$1:$1048576,13,0)</f>
        <v>#REF!</v>
      </c>
      <c r="W18" s="32" t="e">
        <f t="shared" si="6"/>
        <v>#REF!</v>
      </c>
      <c r="X18" s="26" t="e">
        <f>VLOOKUP($A18,'UT-2'!$1:$1048576,6,0)</f>
        <v>#REF!</v>
      </c>
      <c r="Y18" s="26" t="e">
        <f>IFERROR(ROUND(VLOOKUP($A18,ANNUAL!$1:$1048576,6,0)*0.8,0),VLOOKUP($A18,ANNUAL!$1:$1048576,6,0))</f>
        <v>#REF!</v>
      </c>
      <c r="Z18" s="32" t="e">
        <f t="shared" si="7"/>
        <v>#REF!</v>
      </c>
      <c r="AA18" s="26" t="e">
        <f>VLOOKUP($A18,'HY Compile'!$1:$1048576,15,0)</f>
        <v>#REF!</v>
      </c>
      <c r="AB18" s="26" t="e">
        <f>VLOOKUP($A18,'HY Compile'!$1:$1048576,16,0)</f>
        <v>#REF!</v>
      </c>
      <c r="AC18" s="32" t="e">
        <f t="shared" si="8"/>
        <v>#REF!</v>
      </c>
      <c r="AD18" s="26" t="e">
        <f>VLOOKUP($A18,'UT-2'!$1:$1048576,7,0)</f>
        <v>#REF!</v>
      </c>
      <c r="AE18" s="26" t="e">
        <f>IFERROR(ROUND(VLOOKUP($A18,ANNUAL!$1:$1048576,7,0)*0.8,0),VLOOKUP($A18,ANNUAL!$1:$1048576,7,0))</f>
        <v>#REF!</v>
      </c>
      <c r="AF18" s="32" t="e">
        <f t="shared" si="9"/>
        <v>#REF!</v>
      </c>
      <c r="AG18" s="26" t="e">
        <f>VLOOKUP($A18,'HY Compile'!$1:$1048576,18,0)</f>
        <v>#REF!</v>
      </c>
      <c r="AH18" s="26" t="e">
        <f>VLOOKUP($A18,'HY Compile'!$1:$1048576,19,0)</f>
        <v>#REF!</v>
      </c>
      <c r="AI18" s="32" t="e">
        <f t="shared" si="10"/>
        <v>#REF!</v>
      </c>
      <c r="AJ18" s="26" t="e">
        <f>VLOOKUP($A18,'UT-2'!$1:$1048576,8,0)</f>
        <v>#REF!</v>
      </c>
      <c r="AK18" s="26" t="e">
        <f>IFERROR(ROUND(VLOOKUP($A18,ANNUAL!$1:$1048576,8,0)*0.8,0),VLOOKUP($A18,ANNUAL!$1:$1048576,8,0))</f>
        <v>#REF!</v>
      </c>
      <c r="AL18" s="32" t="e">
        <f t="shared" si="11"/>
        <v>#REF!</v>
      </c>
      <c r="AM18" s="26" t="e">
        <f>VLOOKUP($A18,ANNUAL!$1:$1048576,9,0)</f>
        <v>#REF!</v>
      </c>
      <c r="AN18" s="26" t="e">
        <f>VLOOKUP($A18,ANNUAL!$1:$1048576,10,0)</f>
        <v>#REF!</v>
      </c>
      <c r="AO18" s="26" t="e">
        <f>VLOOKUP($A18,ANNUAL!$1:$1048576,11,0)</f>
        <v>#REF!</v>
      </c>
      <c r="AP18" s="26" t="e">
        <f>VLOOKUP($A18,ANNUAL!$1:$1048576,12,0)</f>
        <v>#REF!</v>
      </c>
      <c r="AQ18" s="26" t="e">
        <f>VLOOKUP($A18,ANNUAL!$1:$1048576,13,0)</f>
        <v>#REF!</v>
      </c>
      <c r="AR18" s="26" t="e">
        <f>VLOOKUP($A18,ANNUAL!$1:$1048576,14,0)</f>
        <v>#REF!</v>
      </c>
      <c r="AS18" s="31" t="e">
        <f>VLOOKUP($A18,ANNUAL!$1:$1048576,15,0)</f>
        <v>#REF!</v>
      </c>
      <c r="AT18" s="26" t="e">
        <f t="shared" si="13"/>
        <v>#REF!</v>
      </c>
      <c r="AU18" s="26" t="e">
        <f t="shared" si="12"/>
        <v>#REF!</v>
      </c>
    </row>
    <row r="19" spans="1:47" x14ac:dyDescent="0.3">
      <c r="A19" s="22" t="e">
        <f>DETAILS!#REF!</f>
        <v>#REF!</v>
      </c>
      <c r="B19" s="22" t="e">
        <f>DETAILS!#REF!</f>
        <v>#REF!</v>
      </c>
      <c r="C19" s="26" t="e">
        <f>VLOOKUP($A19,'HY Compile'!$1:$1048576,3,0)</f>
        <v>#REF!</v>
      </c>
      <c r="D19" s="26" t="e">
        <f>VLOOKUP($A19,'HY Compile'!$1:$1048576,4,0)</f>
        <v>#REF!</v>
      </c>
      <c r="E19" s="32" t="e">
        <f t="shared" si="0"/>
        <v>#REF!</v>
      </c>
      <c r="F19" s="26" t="e">
        <f>VLOOKUP($A19,'UT-2'!$1:$1048576,3,0)</f>
        <v>#REF!</v>
      </c>
      <c r="G19" s="26" t="e">
        <f>IFERROR(ROUND(VLOOKUP($A19,ANNUAL!$1:$1048576,3,0)*0.8,0),VLOOKUP($A19,ANNUAL!$1:$1048576,3,0))</f>
        <v>#REF!</v>
      </c>
      <c r="H19" s="32" t="e">
        <f t="shared" si="1"/>
        <v>#REF!</v>
      </c>
      <c r="I19" s="26" t="e">
        <f>VLOOKUP($A19,'HY Compile'!$1:$1048576,6,0)</f>
        <v>#REF!</v>
      </c>
      <c r="J19" s="26" t="e">
        <f>VLOOKUP($A19,'HY Compile'!$1:$1048576,7,0)</f>
        <v>#REF!</v>
      </c>
      <c r="K19" s="32" t="e">
        <f t="shared" si="2"/>
        <v>#REF!</v>
      </c>
      <c r="L19" s="26" t="e">
        <f>VLOOKUP($A19,'UT-2'!$1:$1048576,4,0)</f>
        <v>#REF!</v>
      </c>
      <c r="M19" s="26" t="e">
        <f>IFERROR(ROUND(VLOOKUP($A19,ANNUAL!$1:$1048576,4,0)*0.8,0),VLOOKUP($A19,ANNUAL!$1:$1048576,4,0))</f>
        <v>#REF!</v>
      </c>
      <c r="N19" s="32" t="e">
        <f t="shared" si="3"/>
        <v>#REF!</v>
      </c>
      <c r="O19" s="26" t="e">
        <f>VLOOKUP($A19,'HY Compile'!$1:$1048576,9,0)</f>
        <v>#REF!</v>
      </c>
      <c r="P19" s="26" t="e">
        <f>VLOOKUP($A19,'HY Compile'!$1:$1048576,10,0)</f>
        <v>#REF!</v>
      </c>
      <c r="Q19" s="32" t="e">
        <f t="shared" si="4"/>
        <v>#REF!</v>
      </c>
      <c r="R19" s="26" t="e">
        <f>VLOOKUP($A19,'UT-2'!$1:$1048576,5,0)</f>
        <v>#REF!</v>
      </c>
      <c r="S19" s="26" t="e">
        <f>IFERROR(ROUND(VLOOKUP($A19,ANNUAL!$1:$1048576,5,0)*0.8,0),VLOOKUP($A19,ANNUAL!$1:$1048576,5,0))</f>
        <v>#REF!</v>
      </c>
      <c r="T19" s="32" t="e">
        <f t="shared" si="5"/>
        <v>#REF!</v>
      </c>
      <c r="U19" s="26" t="e">
        <f>VLOOKUP($A19,'HY Compile'!$1:$1048576,12,0)</f>
        <v>#REF!</v>
      </c>
      <c r="V19" s="26" t="e">
        <f>VLOOKUP($A19,'HY Compile'!$1:$1048576,13,0)</f>
        <v>#REF!</v>
      </c>
      <c r="W19" s="32" t="e">
        <f t="shared" si="6"/>
        <v>#REF!</v>
      </c>
      <c r="X19" s="26" t="e">
        <f>VLOOKUP($A19,'UT-2'!$1:$1048576,6,0)</f>
        <v>#REF!</v>
      </c>
      <c r="Y19" s="26" t="e">
        <f>IFERROR(ROUND(VLOOKUP($A19,ANNUAL!$1:$1048576,6,0)*0.8,0),VLOOKUP($A19,ANNUAL!$1:$1048576,6,0))</f>
        <v>#REF!</v>
      </c>
      <c r="Z19" s="32" t="e">
        <f t="shared" si="7"/>
        <v>#REF!</v>
      </c>
      <c r="AA19" s="26" t="e">
        <f>VLOOKUP($A19,'HY Compile'!$1:$1048576,15,0)</f>
        <v>#REF!</v>
      </c>
      <c r="AB19" s="26" t="e">
        <f>VLOOKUP($A19,'HY Compile'!$1:$1048576,16,0)</f>
        <v>#REF!</v>
      </c>
      <c r="AC19" s="32" t="e">
        <f t="shared" si="8"/>
        <v>#REF!</v>
      </c>
      <c r="AD19" s="26" t="e">
        <f>VLOOKUP($A19,'UT-2'!$1:$1048576,7,0)</f>
        <v>#REF!</v>
      </c>
      <c r="AE19" s="26" t="e">
        <f>IFERROR(ROUND(VLOOKUP($A19,ANNUAL!$1:$1048576,7,0)*0.8,0),VLOOKUP($A19,ANNUAL!$1:$1048576,7,0))</f>
        <v>#REF!</v>
      </c>
      <c r="AF19" s="32" t="e">
        <f t="shared" si="9"/>
        <v>#REF!</v>
      </c>
      <c r="AG19" s="26" t="e">
        <f>VLOOKUP($A19,'HY Compile'!$1:$1048576,18,0)</f>
        <v>#REF!</v>
      </c>
      <c r="AH19" s="26" t="e">
        <f>VLOOKUP($A19,'HY Compile'!$1:$1048576,19,0)</f>
        <v>#REF!</v>
      </c>
      <c r="AI19" s="32" t="e">
        <f t="shared" si="10"/>
        <v>#REF!</v>
      </c>
      <c r="AJ19" s="26" t="e">
        <f>VLOOKUP($A19,'UT-2'!$1:$1048576,8,0)</f>
        <v>#REF!</v>
      </c>
      <c r="AK19" s="26" t="e">
        <f>IFERROR(ROUND(VLOOKUP($A19,ANNUAL!$1:$1048576,8,0)*0.8,0),VLOOKUP($A19,ANNUAL!$1:$1048576,8,0))</f>
        <v>#REF!</v>
      </c>
      <c r="AL19" s="32" t="e">
        <f t="shared" si="11"/>
        <v>#REF!</v>
      </c>
      <c r="AM19" s="26" t="e">
        <f>VLOOKUP($A19,ANNUAL!$1:$1048576,9,0)</f>
        <v>#REF!</v>
      </c>
      <c r="AN19" s="26" t="e">
        <f>VLOOKUP($A19,ANNUAL!$1:$1048576,10,0)</f>
        <v>#REF!</v>
      </c>
      <c r="AO19" s="26" t="e">
        <f>VLOOKUP($A19,ANNUAL!$1:$1048576,11,0)</f>
        <v>#REF!</v>
      </c>
      <c r="AP19" s="26" t="e">
        <f>VLOOKUP($A19,ANNUAL!$1:$1048576,12,0)</f>
        <v>#REF!</v>
      </c>
      <c r="AQ19" s="26" t="e">
        <f>VLOOKUP($A19,ANNUAL!$1:$1048576,13,0)</f>
        <v>#REF!</v>
      </c>
      <c r="AR19" s="26" t="e">
        <f>VLOOKUP($A19,ANNUAL!$1:$1048576,14,0)</f>
        <v>#REF!</v>
      </c>
      <c r="AS19" s="31" t="e">
        <f>VLOOKUP($A19,ANNUAL!$1:$1048576,15,0)</f>
        <v>#REF!</v>
      </c>
      <c r="AT19" s="26" t="e">
        <f t="shared" si="13"/>
        <v>#REF!</v>
      </c>
      <c r="AU19" s="26" t="e">
        <f t="shared" si="12"/>
        <v>#REF!</v>
      </c>
    </row>
    <row r="20" spans="1:47" x14ac:dyDescent="0.3">
      <c r="A20" s="22" t="e">
        <f>DETAILS!#REF!</f>
        <v>#REF!</v>
      </c>
      <c r="B20" s="22" t="e">
        <f>DETAILS!#REF!</f>
        <v>#REF!</v>
      </c>
      <c r="C20" s="26" t="e">
        <f>VLOOKUP($A20,'HY Compile'!$1:$1048576,3,0)</f>
        <v>#REF!</v>
      </c>
      <c r="D20" s="26" t="e">
        <f>VLOOKUP($A20,'HY Compile'!$1:$1048576,4,0)</f>
        <v>#REF!</v>
      </c>
      <c r="E20" s="32" t="e">
        <f t="shared" si="0"/>
        <v>#REF!</v>
      </c>
      <c r="F20" s="26" t="e">
        <f>VLOOKUP($A20,'UT-2'!$1:$1048576,3,0)</f>
        <v>#REF!</v>
      </c>
      <c r="G20" s="26" t="e">
        <f>IFERROR(ROUND(VLOOKUP($A20,ANNUAL!$1:$1048576,3,0)*0.8,0),VLOOKUP($A20,ANNUAL!$1:$1048576,3,0))</f>
        <v>#REF!</v>
      </c>
      <c r="H20" s="32" t="e">
        <f t="shared" si="1"/>
        <v>#REF!</v>
      </c>
      <c r="I20" s="26" t="e">
        <f>VLOOKUP($A20,'HY Compile'!$1:$1048576,6,0)</f>
        <v>#REF!</v>
      </c>
      <c r="J20" s="26" t="e">
        <f>VLOOKUP($A20,'HY Compile'!$1:$1048576,7,0)</f>
        <v>#REF!</v>
      </c>
      <c r="K20" s="32" t="e">
        <f t="shared" si="2"/>
        <v>#REF!</v>
      </c>
      <c r="L20" s="26" t="e">
        <f>VLOOKUP($A20,'UT-2'!$1:$1048576,4,0)</f>
        <v>#REF!</v>
      </c>
      <c r="M20" s="26" t="e">
        <f>IFERROR(ROUND(VLOOKUP($A20,ANNUAL!$1:$1048576,4,0)*0.8,0),VLOOKUP($A20,ANNUAL!$1:$1048576,4,0))</f>
        <v>#REF!</v>
      </c>
      <c r="N20" s="32" t="e">
        <f t="shared" si="3"/>
        <v>#REF!</v>
      </c>
      <c r="O20" s="26" t="e">
        <f>VLOOKUP($A20,'HY Compile'!$1:$1048576,9,0)</f>
        <v>#REF!</v>
      </c>
      <c r="P20" s="26" t="e">
        <f>VLOOKUP($A20,'HY Compile'!$1:$1048576,10,0)</f>
        <v>#REF!</v>
      </c>
      <c r="Q20" s="32" t="e">
        <f t="shared" si="4"/>
        <v>#REF!</v>
      </c>
      <c r="R20" s="26" t="e">
        <f>VLOOKUP($A20,'UT-2'!$1:$1048576,5,0)</f>
        <v>#REF!</v>
      </c>
      <c r="S20" s="26" t="e">
        <f>IFERROR(ROUND(VLOOKUP($A20,ANNUAL!$1:$1048576,5,0)*0.8,0),VLOOKUP($A20,ANNUAL!$1:$1048576,5,0))</f>
        <v>#REF!</v>
      </c>
      <c r="T20" s="32" t="e">
        <f t="shared" si="5"/>
        <v>#REF!</v>
      </c>
      <c r="U20" s="26" t="e">
        <f>VLOOKUP($A20,'HY Compile'!$1:$1048576,12,0)</f>
        <v>#REF!</v>
      </c>
      <c r="V20" s="26" t="e">
        <f>VLOOKUP($A20,'HY Compile'!$1:$1048576,13,0)</f>
        <v>#REF!</v>
      </c>
      <c r="W20" s="32" t="e">
        <f t="shared" si="6"/>
        <v>#REF!</v>
      </c>
      <c r="X20" s="26" t="e">
        <f>VLOOKUP($A20,'UT-2'!$1:$1048576,6,0)</f>
        <v>#REF!</v>
      </c>
      <c r="Y20" s="26" t="e">
        <f>IFERROR(ROUND(VLOOKUP($A20,ANNUAL!$1:$1048576,6,0)*0.8,0),VLOOKUP($A20,ANNUAL!$1:$1048576,6,0))</f>
        <v>#REF!</v>
      </c>
      <c r="Z20" s="32" t="e">
        <f t="shared" si="7"/>
        <v>#REF!</v>
      </c>
      <c r="AA20" s="26" t="e">
        <f>VLOOKUP($A20,'HY Compile'!$1:$1048576,15,0)</f>
        <v>#REF!</v>
      </c>
      <c r="AB20" s="26" t="e">
        <f>VLOOKUP($A20,'HY Compile'!$1:$1048576,16,0)</f>
        <v>#REF!</v>
      </c>
      <c r="AC20" s="32" t="e">
        <f t="shared" si="8"/>
        <v>#REF!</v>
      </c>
      <c r="AD20" s="26" t="e">
        <f>VLOOKUP($A20,'UT-2'!$1:$1048576,7,0)</f>
        <v>#REF!</v>
      </c>
      <c r="AE20" s="26" t="e">
        <f>IFERROR(ROUND(VLOOKUP($A20,ANNUAL!$1:$1048576,7,0)*0.8,0),VLOOKUP($A20,ANNUAL!$1:$1048576,7,0))</f>
        <v>#REF!</v>
      </c>
      <c r="AF20" s="32" t="e">
        <f t="shared" si="9"/>
        <v>#REF!</v>
      </c>
      <c r="AG20" s="26" t="e">
        <f>VLOOKUP($A20,'HY Compile'!$1:$1048576,18,0)</f>
        <v>#REF!</v>
      </c>
      <c r="AH20" s="26" t="e">
        <f>VLOOKUP($A20,'HY Compile'!$1:$1048576,19,0)</f>
        <v>#REF!</v>
      </c>
      <c r="AI20" s="32" t="e">
        <f t="shared" si="10"/>
        <v>#REF!</v>
      </c>
      <c r="AJ20" s="26" t="e">
        <f>VLOOKUP($A20,'UT-2'!$1:$1048576,8,0)</f>
        <v>#REF!</v>
      </c>
      <c r="AK20" s="26" t="e">
        <f>IFERROR(ROUND(VLOOKUP($A20,ANNUAL!$1:$1048576,8,0)*0.8,0),VLOOKUP($A20,ANNUAL!$1:$1048576,8,0))</f>
        <v>#REF!</v>
      </c>
      <c r="AL20" s="32" t="e">
        <f t="shared" si="11"/>
        <v>#REF!</v>
      </c>
      <c r="AM20" s="26" t="e">
        <f>VLOOKUP($A20,ANNUAL!$1:$1048576,9,0)</f>
        <v>#REF!</v>
      </c>
      <c r="AN20" s="26" t="e">
        <f>VLOOKUP($A20,ANNUAL!$1:$1048576,10,0)</f>
        <v>#REF!</v>
      </c>
      <c r="AO20" s="26" t="e">
        <f>VLOOKUP($A20,ANNUAL!$1:$1048576,11,0)</f>
        <v>#REF!</v>
      </c>
      <c r="AP20" s="26" t="e">
        <f>VLOOKUP($A20,ANNUAL!$1:$1048576,12,0)</f>
        <v>#REF!</v>
      </c>
      <c r="AQ20" s="26" t="e">
        <f>VLOOKUP($A20,ANNUAL!$1:$1048576,13,0)</f>
        <v>#REF!</v>
      </c>
      <c r="AR20" s="26" t="e">
        <f>VLOOKUP($A20,ANNUAL!$1:$1048576,14,0)</f>
        <v>#REF!</v>
      </c>
      <c r="AS20" s="31" t="e">
        <f>VLOOKUP($A20,ANNUAL!$1:$1048576,15,0)</f>
        <v>#REF!</v>
      </c>
      <c r="AT20" s="26" t="e">
        <f t="shared" si="13"/>
        <v>#REF!</v>
      </c>
      <c r="AU20" s="26" t="e">
        <f t="shared" si="12"/>
        <v>#REF!</v>
      </c>
    </row>
    <row r="21" spans="1:47" x14ac:dyDescent="0.3">
      <c r="A21" s="22" t="e">
        <f>DETAILS!#REF!</f>
        <v>#REF!</v>
      </c>
      <c r="B21" s="22" t="e">
        <f>DETAILS!#REF!</f>
        <v>#REF!</v>
      </c>
      <c r="C21" s="26" t="e">
        <f>VLOOKUP($A21,'HY Compile'!$1:$1048576,3,0)</f>
        <v>#REF!</v>
      </c>
      <c r="D21" s="26" t="e">
        <f>VLOOKUP($A21,'HY Compile'!$1:$1048576,4,0)</f>
        <v>#REF!</v>
      </c>
      <c r="E21" s="32" t="e">
        <f t="shared" si="0"/>
        <v>#REF!</v>
      </c>
      <c r="F21" s="26" t="e">
        <f>VLOOKUP($A21,'UT-2'!$1:$1048576,3,0)</f>
        <v>#REF!</v>
      </c>
      <c r="G21" s="26" t="e">
        <f>IFERROR(ROUND(VLOOKUP($A21,ANNUAL!$1:$1048576,3,0)*0.8,0),VLOOKUP($A21,ANNUAL!$1:$1048576,3,0))</f>
        <v>#REF!</v>
      </c>
      <c r="H21" s="32" t="e">
        <f t="shared" si="1"/>
        <v>#REF!</v>
      </c>
      <c r="I21" s="26" t="e">
        <f>VLOOKUP($A21,'HY Compile'!$1:$1048576,6,0)</f>
        <v>#REF!</v>
      </c>
      <c r="J21" s="26" t="e">
        <f>VLOOKUP($A21,'HY Compile'!$1:$1048576,7,0)</f>
        <v>#REF!</v>
      </c>
      <c r="K21" s="32" t="e">
        <f t="shared" si="2"/>
        <v>#REF!</v>
      </c>
      <c r="L21" s="26" t="e">
        <f>VLOOKUP($A21,'UT-2'!$1:$1048576,4,0)</f>
        <v>#REF!</v>
      </c>
      <c r="M21" s="26" t="e">
        <f>IFERROR(ROUND(VLOOKUP($A21,ANNUAL!$1:$1048576,4,0)*0.8,0),VLOOKUP($A21,ANNUAL!$1:$1048576,4,0))</f>
        <v>#REF!</v>
      </c>
      <c r="N21" s="32" t="e">
        <f t="shared" si="3"/>
        <v>#REF!</v>
      </c>
      <c r="O21" s="26" t="e">
        <f>VLOOKUP($A21,'HY Compile'!$1:$1048576,9,0)</f>
        <v>#REF!</v>
      </c>
      <c r="P21" s="26" t="e">
        <f>VLOOKUP($A21,'HY Compile'!$1:$1048576,10,0)</f>
        <v>#REF!</v>
      </c>
      <c r="Q21" s="32" t="e">
        <f t="shared" si="4"/>
        <v>#REF!</v>
      </c>
      <c r="R21" s="26" t="e">
        <f>VLOOKUP($A21,'UT-2'!$1:$1048576,5,0)</f>
        <v>#REF!</v>
      </c>
      <c r="S21" s="26" t="e">
        <f>IFERROR(ROUND(VLOOKUP($A21,ANNUAL!$1:$1048576,5,0)*0.8,0),VLOOKUP($A21,ANNUAL!$1:$1048576,5,0))</f>
        <v>#REF!</v>
      </c>
      <c r="T21" s="32" t="e">
        <f t="shared" si="5"/>
        <v>#REF!</v>
      </c>
      <c r="U21" s="26" t="e">
        <f>VLOOKUP($A21,'HY Compile'!$1:$1048576,12,0)</f>
        <v>#REF!</v>
      </c>
      <c r="V21" s="26" t="e">
        <f>VLOOKUP($A21,'HY Compile'!$1:$1048576,13,0)</f>
        <v>#REF!</v>
      </c>
      <c r="W21" s="32" t="e">
        <f t="shared" si="6"/>
        <v>#REF!</v>
      </c>
      <c r="X21" s="26" t="e">
        <f>VLOOKUP($A21,'UT-2'!$1:$1048576,6,0)</f>
        <v>#REF!</v>
      </c>
      <c r="Y21" s="26" t="e">
        <f>IFERROR(ROUND(VLOOKUP($A21,ANNUAL!$1:$1048576,6,0)*0.8,0),VLOOKUP($A21,ANNUAL!$1:$1048576,6,0))</f>
        <v>#REF!</v>
      </c>
      <c r="Z21" s="32" t="e">
        <f t="shared" si="7"/>
        <v>#REF!</v>
      </c>
      <c r="AA21" s="26" t="e">
        <f>VLOOKUP($A21,'HY Compile'!$1:$1048576,15,0)</f>
        <v>#REF!</v>
      </c>
      <c r="AB21" s="26" t="e">
        <f>VLOOKUP($A21,'HY Compile'!$1:$1048576,16,0)</f>
        <v>#REF!</v>
      </c>
      <c r="AC21" s="32" t="e">
        <f t="shared" si="8"/>
        <v>#REF!</v>
      </c>
      <c r="AD21" s="26" t="e">
        <f>VLOOKUP($A21,'UT-2'!$1:$1048576,7,0)</f>
        <v>#REF!</v>
      </c>
      <c r="AE21" s="26" t="e">
        <f>IFERROR(ROUND(VLOOKUP($A21,ANNUAL!$1:$1048576,7,0)*0.8,0),VLOOKUP($A21,ANNUAL!$1:$1048576,7,0))</f>
        <v>#REF!</v>
      </c>
      <c r="AF21" s="32" t="e">
        <f t="shared" si="9"/>
        <v>#REF!</v>
      </c>
      <c r="AG21" s="26" t="e">
        <f>VLOOKUP($A21,'HY Compile'!$1:$1048576,18,0)</f>
        <v>#REF!</v>
      </c>
      <c r="AH21" s="26" t="e">
        <f>VLOOKUP($A21,'HY Compile'!$1:$1048576,19,0)</f>
        <v>#REF!</v>
      </c>
      <c r="AI21" s="32" t="e">
        <f t="shared" si="10"/>
        <v>#REF!</v>
      </c>
      <c r="AJ21" s="26" t="e">
        <f>VLOOKUP($A21,'UT-2'!$1:$1048576,8,0)</f>
        <v>#REF!</v>
      </c>
      <c r="AK21" s="26" t="e">
        <f>IFERROR(ROUND(VLOOKUP($A21,ANNUAL!$1:$1048576,8,0)*0.8,0),VLOOKUP($A21,ANNUAL!$1:$1048576,8,0))</f>
        <v>#REF!</v>
      </c>
      <c r="AL21" s="32" t="e">
        <f t="shared" si="11"/>
        <v>#REF!</v>
      </c>
      <c r="AM21" s="26" t="e">
        <f>VLOOKUP($A21,ANNUAL!$1:$1048576,9,0)</f>
        <v>#REF!</v>
      </c>
      <c r="AN21" s="26" t="e">
        <f>VLOOKUP($A21,ANNUAL!$1:$1048576,10,0)</f>
        <v>#REF!</v>
      </c>
      <c r="AO21" s="26" t="e">
        <f>VLOOKUP($A21,ANNUAL!$1:$1048576,11,0)</f>
        <v>#REF!</v>
      </c>
      <c r="AP21" s="26" t="e">
        <f>VLOOKUP($A21,ANNUAL!$1:$1048576,12,0)</f>
        <v>#REF!</v>
      </c>
      <c r="AQ21" s="26" t="e">
        <f>VLOOKUP($A21,ANNUAL!$1:$1048576,13,0)</f>
        <v>#REF!</v>
      </c>
      <c r="AR21" s="26" t="e">
        <f>VLOOKUP($A21,ANNUAL!$1:$1048576,14,0)</f>
        <v>#REF!</v>
      </c>
      <c r="AS21" s="31" t="e">
        <f>VLOOKUP($A21,ANNUAL!$1:$1048576,15,0)</f>
        <v>#REF!</v>
      </c>
      <c r="AT21" s="26" t="e">
        <f t="shared" si="13"/>
        <v>#REF!</v>
      </c>
      <c r="AU21" s="26" t="e">
        <f t="shared" si="12"/>
        <v>#REF!</v>
      </c>
    </row>
    <row r="22" spans="1:47" x14ac:dyDescent="0.3">
      <c r="A22" s="22" t="e">
        <f>DETAILS!#REF!</f>
        <v>#REF!</v>
      </c>
      <c r="B22" s="22" t="e">
        <f>DETAILS!#REF!</f>
        <v>#REF!</v>
      </c>
      <c r="C22" s="26" t="e">
        <f>VLOOKUP($A22,'HY Compile'!$1:$1048576,3,0)</f>
        <v>#REF!</v>
      </c>
      <c r="D22" s="26" t="e">
        <f>VLOOKUP($A22,'HY Compile'!$1:$1048576,4,0)</f>
        <v>#REF!</v>
      </c>
      <c r="E22" s="32" t="e">
        <f t="shared" si="0"/>
        <v>#REF!</v>
      </c>
      <c r="F22" s="26" t="e">
        <f>VLOOKUP($A22,'UT-2'!$1:$1048576,3,0)</f>
        <v>#REF!</v>
      </c>
      <c r="G22" s="26" t="e">
        <f>IFERROR(ROUND(VLOOKUP($A22,ANNUAL!$1:$1048576,3,0)*0.8,0),VLOOKUP($A22,ANNUAL!$1:$1048576,3,0))</f>
        <v>#REF!</v>
      </c>
      <c r="H22" s="32" t="e">
        <f t="shared" si="1"/>
        <v>#REF!</v>
      </c>
      <c r="I22" s="26" t="e">
        <f>VLOOKUP($A22,'HY Compile'!$1:$1048576,6,0)</f>
        <v>#REF!</v>
      </c>
      <c r="J22" s="26" t="e">
        <f>VLOOKUP($A22,'HY Compile'!$1:$1048576,7,0)</f>
        <v>#REF!</v>
      </c>
      <c r="K22" s="32" t="e">
        <f t="shared" si="2"/>
        <v>#REF!</v>
      </c>
      <c r="L22" s="26" t="e">
        <f>VLOOKUP($A22,'UT-2'!$1:$1048576,4,0)</f>
        <v>#REF!</v>
      </c>
      <c r="M22" s="26" t="e">
        <f>IFERROR(ROUND(VLOOKUP($A22,ANNUAL!$1:$1048576,4,0)*0.8,0),VLOOKUP($A22,ANNUAL!$1:$1048576,4,0))</f>
        <v>#REF!</v>
      </c>
      <c r="N22" s="32" t="e">
        <f t="shared" si="3"/>
        <v>#REF!</v>
      </c>
      <c r="O22" s="26" t="e">
        <f>VLOOKUP($A22,'HY Compile'!$1:$1048576,9,0)</f>
        <v>#REF!</v>
      </c>
      <c r="P22" s="26" t="e">
        <f>VLOOKUP($A22,'HY Compile'!$1:$1048576,10,0)</f>
        <v>#REF!</v>
      </c>
      <c r="Q22" s="32" t="e">
        <f t="shared" si="4"/>
        <v>#REF!</v>
      </c>
      <c r="R22" s="26" t="e">
        <f>VLOOKUP($A22,'UT-2'!$1:$1048576,5,0)</f>
        <v>#REF!</v>
      </c>
      <c r="S22" s="26" t="e">
        <f>IFERROR(ROUND(VLOOKUP($A22,ANNUAL!$1:$1048576,5,0)*0.8,0),VLOOKUP($A22,ANNUAL!$1:$1048576,5,0))</f>
        <v>#REF!</v>
      </c>
      <c r="T22" s="32" t="e">
        <f t="shared" si="5"/>
        <v>#REF!</v>
      </c>
      <c r="U22" s="26" t="e">
        <f>VLOOKUP($A22,'HY Compile'!$1:$1048576,12,0)</f>
        <v>#REF!</v>
      </c>
      <c r="V22" s="26" t="e">
        <f>VLOOKUP($A22,'HY Compile'!$1:$1048576,13,0)</f>
        <v>#REF!</v>
      </c>
      <c r="W22" s="32" t="e">
        <f t="shared" si="6"/>
        <v>#REF!</v>
      </c>
      <c r="X22" s="26" t="e">
        <f>VLOOKUP($A22,'UT-2'!$1:$1048576,6,0)</f>
        <v>#REF!</v>
      </c>
      <c r="Y22" s="26" t="e">
        <f>IFERROR(ROUND(VLOOKUP($A22,ANNUAL!$1:$1048576,6,0)*0.8,0),VLOOKUP($A22,ANNUAL!$1:$1048576,6,0))</f>
        <v>#REF!</v>
      </c>
      <c r="Z22" s="32" t="e">
        <f t="shared" si="7"/>
        <v>#REF!</v>
      </c>
      <c r="AA22" s="26" t="e">
        <f>VLOOKUP($A22,'HY Compile'!$1:$1048576,15,0)</f>
        <v>#REF!</v>
      </c>
      <c r="AB22" s="26" t="e">
        <f>VLOOKUP($A22,'HY Compile'!$1:$1048576,16,0)</f>
        <v>#REF!</v>
      </c>
      <c r="AC22" s="32" t="e">
        <f t="shared" si="8"/>
        <v>#REF!</v>
      </c>
      <c r="AD22" s="26" t="e">
        <f>VLOOKUP($A22,'UT-2'!$1:$1048576,7,0)</f>
        <v>#REF!</v>
      </c>
      <c r="AE22" s="26" t="e">
        <f>IFERROR(ROUND(VLOOKUP($A22,ANNUAL!$1:$1048576,7,0)*0.8,0),VLOOKUP($A22,ANNUAL!$1:$1048576,7,0))</f>
        <v>#REF!</v>
      </c>
      <c r="AF22" s="32" t="e">
        <f t="shared" si="9"/>
        <v>#REF!</v>
      </c>
      <c r="AG22" s="26" t="e">
        <f>VLOOKUP($A22,'HY Compile'!$1:$1048576,18,0)</f>
        <v>#REF!</v>
      </c>
      <c r="AH22" s="26" t="e">
        <f>VLOOKUP($A22,'HY Compile'!$1:$1048576,19,0)</f>
        <v>#REF!</v>
      </c>
      <c r="AI22" s="32" t="e">
        <f t="shared" si="10"/>
        <v>#REF!</v>
      </c>
      <c r="AJ22" s="26" t="e">
        <f>VLOOKUP($A22,'UT-2'!$1:$1048576,8,0)</f>
        <v>#REF!</v>
      </c>
      <c r="AK22" s="26" t="e">
        <f>IFERROR(ROUND(VLOOKUP($A22,ANNUAL!$1:$1048576,8,0)*0.8,0),VLOOKUP($A22,ANNUAL!$1:$1048576,8,0))</f>
        <v>#REF!</v>
      </c>
      <c r="AL22" s="32" t="e">
        <f t="shared" si="11"/>
        <v>#REF!</v>
      </c>
      <c r="AM22" s="26" t="e">
        <f>VLOOKUP($A22,ANNUAL!$1:$1048576,9,0)</f>
        <v>#REF!</v>
      </c>
      <c r="AN22" s="26" t="e">
        <f>VLOOKUP($A22,ANNUAL!$1:$1048576,10,0)</f>
        <v>#REF!</v>
      </c>
      <c r="AO22" s="26" t="e">
        <f>VLOOKUP($A22,ANNUAL!$1:$1048576,11,0)</f>
        <v>#REF!</v>
      </c>
      <c r="AP22" s="26" t="e">
        <f>VLOOKUP($A22,ANNUAL!$1:$1048576,12,0)</f>
        <v>#REF!</v>
      </c>
      <c r="AQ22" s="26" t="e">
        <f>VLOOKUP($A22,ANNUAL!$1:$1048576,13,0)</f>
        <v>#REF!</v>
      </c>
      <c r="AR22" s="26" t="e">
        <f>VLOOKUP($A22,ANNUAL!$1:$1048576,14,0)</f>
        <v>#REF!</v>
      </c>
      <c r="AS22" s="31" t="e">
        <f>VLOOKUP($A22,ANNUAL!$1:$1048576,15,0)</f>
        <v>#REF!</v>
      </c>
      <c r="AT22" s="26" t="e">
        <f t="shared" si="13"/>
        <v>#REF!</v>
      </c>
      <c r="AU22" s="26" t="e">
        <f t="shared" si="12"/>
        <v>#REF!</v>
      </c>
    </row>
    <row r="23" spans="1:47" x14ac:dyDescent="0.3">
      <c r="A23" s="22" t="e">
        <f>DETAILS!#REF!</f>
        <v>#REF!</v>
      </c>
      <c r="B23" s="22" t="e">
        <f>DETAILS!#REF!</f>
        <v>#REF!</v>
      </c>
      <c r="C23" s="26" t="e">
        <f>VLOOKUP($A23,'HY Compile'!$1:$1048576,3,0)</f>
        <v>#REF!</v>
      </c>
      <c r="D23" s="26" t="e">
        <f>VLOOKUP($A23,'HY Compile'!$1:$1048576,4,0)</f>
        <v>#REF!</v>
      </c>
      <c r="E23" s="32" t="e">
        <f t="shared" si="0"/>
        <v>#REF!</v>
      </c>
      <c r="F23" s="26" t="e">
        <f>VLOOKUP($A23,'UT-2'!$1:$1048576,3,0)</f>
        <v>#REF!</v>
      </c>
      <c r="G23" s="26" t="e">
        <f>IFERROR(ROUND(VLOOKUP($A23,ANNUAL!$1:$1048576,3,0)*0.8,0),VLOOKUP($A23,ANNUAL!$1:$1048576,3,0))</f>
        <v>#REF!</v>
      </c>
      <c r="H23" s="32" t="e">
        <f t="shared" si="1"/>
        <v>#REF!</v>
      </c>
      <c r="I23" s="26" t="e">
        <f>VLOOKUP($A23,'HY Compile'!$1:$1048576,6,0)</f>
        <v>#REF!</v>
      </c>
      <c r="J23" s="26" t="e">
        <f>VLOOKUP($A23,'HY Compile'!$1:$1048576,7,0)</f>
        <v>#REF!</v>
      </c>
      <c r="K23" s="32" t="e">
        <f t="shared" si="2"/>
        <v>#REF!</v>
      </c>
      <c r="L23" s="26" t="e">
        <f>VLOOKUP($A23,'UT-2'!$1:$1048576,4,0)</f>
        <v>#REF!</v>
      </c>
      <c r="M23" s="26" t="e">
        <f>IFERROR(ROUND(VLOOKUP($A23,ANNUAL!$1:$1048576,4,0)*0.8,0),VLOOKUP($A23,ANNUAL!$1:$1048576,4,0))</f>
        <v>#REF!</v>
      </c>
      <c r="N23" s="32" t="e">
        <f t="shared" si="3"/>
        <v>#REF!</v>
      </c>
      <c r="O23" s="26" t="e">
        <f>VLOOKUP($A23,'HY Compile'!$1:$1048576,9,0)</f>
        <v>#REF!</v>
      </c>
      <c r="P23" s="26" t="e">
        <f>VLOOKUP($A23,'HY Compile'!$1:$1048576,10,0)</f>
        <v>#REF!</v>
      </c>
      <c r="Q23" s="32" t="e">
        <f t="shared" si="4"/>
        <v>#REF!</v>
      </c>
      <c r="R23" s="26" t="e">
        <f>VLOOKUP($A23,'UT-2'!$1:$1048576,5,0)</f>
        <v>#REF!</v>
      </c>
      <c r="S23" s="26" t="e">
        <f>IFERROR(ROUND(VLOOKUP($A23,ANNUAL!$1:$1048576,5,0)*0.8,0),VLOOKUP($A23,ANNUAL!$1:$1048576,5,0))</f>
        <v>#REF!</v>
      </c>
      <c r="T23" s="32" t="e">
        <f t="shared" si="5"/>
        <v>#REF!</v>
      </c>
      <c r="U23" s="26" t="e">
        <f>VLOOKUP($A23,'HY Compile'!$1:$1048576,12,0)</f>
        <v>#REF!</v>
      </c>
      <c r="V23" s="26" t="e">
        <f>VLOOKUP($A23,'HY Compile'!$1:$1048576,13,0)</f>
        <v>#REF!</v>
      </c>
      <c r="W23" s="32" t="e">
        <f t="shared" si="6"/>
        <v>#REF!</v>
      </c>
      <c r="X23" s="26" t="e">
        <f>VLOOKUP($A23,'UT-2'!$1:$1048576,6,0)</f>
        <v>#REF!</v>
      </c>
      <c r="Y23" s="26" t="e">
        <f>IFERROR(ROUND(VLOOKUP($A23,ANNUAL!$1:$1048576,6,0)*0.8,0),VLOOKUP($A23,ANNUAL!$1:$1048576,6,0))</f>
        <v>#REF!</v>
      </c>
      <c r="Z23" s="32" t="e">
        <f t="shared" si="7"/>
        <v>#REF!</v>
      </c>
      <c r="AA23" s="26" t="e">
        <f>VLOOKUP($A23,'HY Compile'!$1:$1048576,15,0)</f>
        <v>#REF!</v>
      </c>
      <c r="AB23" s="26" t="e">
        <f>VLOOKUP($A23,'HY Compile'!$1:$1048576,16,0)</f>
        <v>#REF!</v>
      </c>
      <c r="AC23" s="32" t="e">
        <f t="shared" si="8"/>
        <v>#REF!</v>
      </c>
      <c r="AD23" s="26" t="e">
        <f>VLOOKUP($A23,'UT-2'!$1:$1048576,7,0)</f>
        <v>#REF!</v>
      </c>
      <c r="AE23" s="26" t="e">
        <f>IFERROR(ROUND(VLOOKUP($A23,ANNUAL!$1:$1048576,7,0)*0.8,0),VLOOKUP($A23,ANNUAL!$1:$1048576,7,0))</f>
        <v>#REF!</v>
      </c>
      <c r="AF23" s="32" t="e">
        <f t="shared" si="9"/>
        <v>#REF!</v>
      </c>
      <c r="AG23" s="26" t="e">
        <f>VLOOKUP($A23,'HY Compile'!$1:$1048576,18,0)</f>
        <v>#REF!</v>
      </c>
      <c r="AH23" s="26" t="e">
        <f>VLOOKUP($A23,'HY Compile'!$1:$1048576,19,0)</f>
        <v>#REF!</v>
      </c>
      <c r="AI23" s="32" t="e">
        <f t="shared" si="10"/>
        <v>#REF!</v>
      </c>
      <c r="AJ23" s="26" t="e">
        <f>VLOOKUP($A23,'UT-2'!$1:$1048576,8,0)</f>
        <v>#REF!</v>
      </c>
      <c r="AK23" s="26" t="e">
        <f>IFERROR(ROUND(VLOOKUP($A23,ANNUAL!$1:$1048576,8,0)*0.8,0),VLOOKUP($A23,ANNUAL!$1:$1048576,8,0))</f>
        <v>#REF!</v>
      </c>
      <c r="AL23" s="32" t="e">
        <f t="shared" si="11"/>
        <v>#REF!</v>
      </c>
      <c r="AM23" s="26" t="e">
        <f>VLOOKUP($A23,ANNUAL!$1:$1048576,9,0)</f>
        <v>#REF!</v>
      </c>
      <c r="AN23" s="26" t="e">
        <f>VLOOKUP($A23,ANNUAL!$1:$1048576,10,0)</f>
        <v>#REF!</v>
      </c>
      <c r="AO23" s="26" t="e">
        <f>VLOOKUP($A23,ANNUAL!$1:$1048576,11,0)</f>
        <v>#REF!</v>
      </c>
      <c r="AP23" s="26" t="e">
        <f>VLOOKUP($A23,ANNUAL!$1:$1048576,12,0)</f>
        <v>#REF!</v>
      </c>
      <c r="AQ23" s="26" t="e">
        <f>VLOOKUP($A23,ANNUAL!$1:$1048576,13,0)</f>
        <v>#REF!</v>
      </c>
      <c r="AR23" s="26" t="e">
        <f>VLOOKUP($A23,ANNUAL!$1:$1048576,14,0)</f>
        <v>#REF!</v>
      </c>
      <c r="AS23" s="31" t="e">
        <f>VLOOKUP($A23,ANNUAL!$1:$1048576,15,0)</f>
        <v>#REF!</v>
      </c>
      <c r="AT23" s="26" t="e">
        <f t="shared" si="13"/>
        <v>#REF!</v>
      </c>
      <c r="AU23" s="26" t="e">
        <f t="shared" si="12"/>
        <v>#REF!</v>
      </c>
    </row>
    <row r="24" spans="1:47" x14ac:dyDescent="0.3">
      <c r="A24" s="22" t="e">
        <f>DETAILS!#REF!</f>
        <v>#REF!</v>
      </c>
      <c r="B24" s="22" t="e">
        <f>DETAILS!#REF!</f>
        <v>#REF!</v>
      </c>
      <c r="C24" s="26" t="e">
        <f>VLOOKUP($A24,'HY Compile'!$1:$1048576,3,0)</f>
        <v>#REF!</v>
      </c>
      <c r="D24" s="26" t="e">
        <f>VLOOKUP($A24,'HY Compile'!$1:$1048576,4,0)</f>
        <v>#REF!</v>
      </c>
      <c r="E24" s="32" t="e">
        <f t="shared" si="0"/>
        <v>#REF!</v>
      </c>
      <c r="F24" s="26" t="e">
        <f>VLOOKUP($A24,'UT-2'!$1:$1048576,3,0)</f>
        <v>#REF!</v>
      </c>
      <c r="G24" s="26" t="e">
        <f>IFERROR(ROUND(VLOOKUP($A24,ANNUAL!$1:$1048576,3,0)*0.8,0),VLOOKUP($A24,ANNUAL!$1:$1048576,3,0))</f>
        <v>#REF!</v>
      </c>
      <c r="H24" s="32" t="e">
        <f t="shared" si="1"/>
        <v>#REF!</v>
      </c>
      <c r="I24" s="26" t="e">
        <f>VLOOKUP($A24,'HY Compile'!$1:$1048576,6,0)</f>
        <v>#REF!</v>
      </c>
      <c r="J24" s="26" t="e">
        <f>VLOOKUP($A24,'HY Compile'!$1:$1048576,7,0)</f>
        <v>#REF!</v>
      </c>
      <c r="K24" s="32" t="e">
        <f t="shared" si="2"/>
        <v>#REF!</v>
      </c>
      <c r="L24" s="26" t="e">
        <f>VLOOKUP($A24,'UT-2'!$1:$1048576,4,0)</f>
        <v>#REF!</v>
      </c>
      <c r="M24" s="26" t="e">
        <f>IFERROR(ROUND(VLOOKUP($A24,ANNUAL!$1:$1048576,4,0)*0.8,0),VLOOKUP($A24,ANNUAL!$1:$1048576,4,0))</f>
        <v>#REF!</v>
      </c>
      <c r="N24" s="32" t="e">
        <f t="shared" si="3"/>
        <v>#REF!</v>
      </c>
      <c r="O24" s="26" t="e">
        <f>VLOOKUP($A24,'HY Compile'!$1:$1048576,9,0)</f>
        <v>#REF!</v>
      </c>
      <c r="P24" s="26" t="e">
        <f>VLOOKUP($A24,'HY Compile'!$1:$1048576,10,0)</f>
        <v>#REF!</v>
      </c>
      <c r="Q24" s="32" t="e">
        <f t="shared" si="4"/>
        <v>#REF!</v>
      </c>
      <c r="R24" s="26" t="e">
        <f>VLOOKUP($A24,'UT-2'!$1:$1048576,5,0)</f>
        <v>#REF!</v>
      </c>
      <c r="S24" s="26" t="e">
        <f>IFERROR(ROUND(VLOOKUP($A24,ANNUAL!$1:$1048576,5,0)*0.8,0),VLOOKUP($A24,ANNUAL!$1:$1048576,5,0))</f>
        <v>#REF!</v>
      </c>
      <c r="T24" s="32" t="e">
        <f t="shared" si="5"/>
        <v>#REF!</v>
      </c>
      <c r="U24" s="26" t="e">
        <f>VLOOKUP($A24,'HY Compile'!$1:$1048576,12,0)</f>
        <v>#REF!</v>
      </c>
      <c r="V24" s="26" t="e">
        <f>VLOOKUP($A24,'HY Compile'!$1:$1048576,13,0)</f>
        <v>#REF!</v>
      </c>
      <c r="W24" s="32" t="e">
        <f t="shared" si="6"/>
        <v>#REF!</v>
      </c>
      <c r="X24" s="26" t="e">
        <f>VLOOKUP($A24,'UT-2'!$1:$1048576,6,0)</f>
        <v>#REF!</v>
      </c>
      <c r="Y24" s="26" t="e">
        <f>IFERROR(ROUND(VLOOKUP($A24,ANNUAL!$1:$1048576,6,0)*0.8,0),VLOOKUP($A24,ANNUAL!$1:$1048576,6,0))</f>
        <v>#REF!</v>
      </c>
      <c r="Z24" s="32" t="e">
        <f t="shared" si="7"/>
        <v>#REF!</v>
      </c>
      <c r="AA24" s="26" t="e">
        <f>VLOOKUP($A24,'HY Compile'!$1:$1048576,15,0)</f>
        <v>#REF!</v>
      </c>
      <c r="AB24" s="26" t="e">
        <f>VLOOKUP($A24,'HY Compile'!$1:$1048576,16,0)</f>
        <v>#REF!</v>
      </c>
      <c r="AC24" s="32" t="e">
        <f t="shared" si="8"/>
        <v>#REF!</v>
      </c>
      <c r="AD24" s="26" t="e">
        <f>VLOOKUP($A24,'UT-2'!$1:$1048576,7,0)</f>
        <v>#REF!</v>
      </c>
      <c r="AE24" s="26" t="e">
        <f>IFERROR(ROUND(VLOOKUP($A24,ANNUAL!$1:$1048576,7,0)*0.8,0),VLOOKUP($A24,ANNUAL!$1:$1048576,7,0))</f>
        <v>#REF!</v>
      </c>
      <c r="AF24" s="32" t="e">
        <f t="shared" si="9"/>
        <v>#REF!</v>
      </c>
      <c r="AG24" s="26" t="e">
        <f>VLOOKUP($A24,'HY Compile'!$1:$1048576,18,0)</f>
        <v>#REF!</v>
      </c>
      <c r="AH24" s="26" t="e">
        <f>VLOOKUP($A24,'HY Compile'!$1:$1048576,19,0)</f>
        <v>#REF!</v>
      </c>
      <c r="AI24" s="32" t="e">
        <f t="shared" si="10"/>
        <v>#REF!</v>
      </c>
      <c r="AJ24" s="26" t="e">
        <f>VLOOKUP($A24,'UT-2'!$1:$1048576,8,0)</f>
        <v>#REF!</v>
      </c>
      <c r="AK24" s="26" t="e">
        <f>IFERROR(ROUND(VLOOKUP($A24,ANNUAL!$1:$1048576,8,0)*0.8,0),VLOOKUP($A24,ANNUAL!$1:$1048576,8,0))</f>
        <v>#REF!</v>
      </c>
      <c r="AL24" s="32" t="e">
        <f t="shared" si="11"/>
        <v>#REF!</v>
      </c>
      <c r="AM24" s="26" t="e">
        <f>VLOOKUP($A24,ANNUAL!$1:$1048576,9,0)</f>
        <v>#REF!</v>
      </c>
      <c r="AN24" s="26" t="e">
        <f>VLOOKUP($A24,ANNUAL!$1:$1048576,10,0)</f>
        <v>#REF!</v>
      </c>
      <c r="AO24" s="26" t="e">
        <f>VLOOKUP($A24,ANNUAL!$1:$1048576,11,0)</f>
        <v>#REF!</v>
      </c>
      <c r="AP24" s="26" t="e">
        <f>VLOOKUP($A24,ANNUAL!$1:$1048576,12,0)</f>
        <v>#REF!</v>
      </c>
      <c r="AQ24" s="26" t="e">
        <f>VLOOKUP($A24,ANNUAL!$1:$1048576,13,0)</f>
        <v>#REF!</v>
      </c>
      <c r="AR24" s="26" t="e">
        <f>VLOOKUP($A24,ANNUAL!$1:$1048576,14,0)</f>
        <v>#REF!</v>
      </c>
      <c r="AS24" s="31" t="e">
        <f>VLOOKUP($A24,ANNUAL!$1:$1048576,15,0)</f>
        <v>#REF!</v>
      </c>
      <c r="AT24" s="26" t="e">
        <f t="shared" si="13"/>
        <v>#REF!</v>
      </c>
      <c r="AU24" s="26" t="e">
        <f t="shared" si="12"/>
        <v>#REF!</v>
      </c>
    </row>
    <row r="25" spans="1:47" x14ac:dyDescent="0.3">
      <c r="A25" s="22" t="e">
        <f>DETAILS!#REF!</f>
        <v>#REF!</v>
      </c>
      <c r="B25" s="22" t="e">
        <f>DETAILS!#REF!</f>
        <v>#REF!</v>
      </c>
      <c r="C25" s="26" t="e">
        <f>VLOOKUP($A25,'HY Compile'!$1:$1048576,3,0)</f>
        <v>#REF!</v>
      </c>
      <c r="D25" s="26" t="e">
        <f>VLOOKUP($A25,'HY Compile'!$1:$1048576,4,0)</f>
        <v>#REF!</v>
      </c>
      <c r="E25" s="32" t="e">
        <f t="shared" si="0"/>
        <v>#REF!</v>
      </c>
      <c r="F25" s="26" t="e">
        <f>VLOOKUP($A25,'UT-2'!$1:$1048576,3,0)</f>
        <v>#REF!</v>
      </c>
      <c r="G25" s="26" t="e">
        <f>IFERROR(ROUND(VLOOKUP($A25,ANNUAL!$1:$1048576,3,0)*0.8,0),VLOOKUP($A25,ANNUAL!$1:$1048576,3,0))</f>
        <v>#REF!</v>
      </c>
      <c r="H25" s="32" t="e">
        <f t="shared" si="1"/>
        <v>#REF!</v>
      </c>
      <c r="I25" s="26" t="e">
        <f>VLOOKUP($A25,'HY Compile'!$1:$1048576,6,0)</f>
        <v>#REF!</v>
      </c>
      <c r="J25" s="26" t="e">
        <f>VLOOKUP($A25,'HY Compile'!$1:$1048576,7,0)</f>
        <v>#REF!</v>
      </c>
      <c r="K25" s="32" t="e">
        <f t="shared" si="2"/>
        <v>#REF!</v>
      </c>
      <c r="L25" s="26" t="e">
        <f>VLOOKUP($A25,'UT-2'!$1:$1048576,4,0)</f>
        <v>#REF!</v>
      </c>
      <c r="M25" s="26" t="e">
        <f>IFERROR(ROUND(VLOOKUP($A25,ANNUAL!$1:$1048576,4,0)*0.8,0),VLOOKUP($A25,ANNUAL!$1:$1048576,4,0))</f>
        <v>#REF!</v>
      </c>
      <c r="N25" s="32" t="e">
        <f t="shared" si="3"/>
        <v>#REF!</v>
      </c>
      <c r="O25" s="26" t="e">
        <f>VLOOKUP($A25,'HY Compile'!$1:$1048576,9,0)</f>
        <v>#REF!</v>
      </c>
      <c r="P25" s="26" t="e">
        <f>VLOOKUP($A25,'HY Compile'!$1:$1048576,10,0)</f>
        <v>#REF!</v>
      </c>
      <c r="Q25" s="32" t="e">
        <f t="shared" si="4"/>
        <v>#REF!</v>
      </c>
      <c r="R25" s="26" t="e">
        <f>VLOOKUP($A25,'UT-2'!$1:$1048576,5,0)</f>
        <v>#REF!</v>
      </c>
      <c r="S25" s="26" t="e">
        <f>IFERROR(ROUND(VLOOKUP($A25,ANNUAL!$1:$1048576,5,0)*0.8,0),VLOOKUP($A25,ANNUAL!$1:$1048576,5,0))</f>
        <v>#REF!</v>
      </c>
      <c r="T25" s="32" t="e">
        <f t="shared" si="5"/>
        <v>#REF!</v>
      </c>
      <c r="U25" s="26" t="e">
        <f>VLOOKUP($A25,'HY Compile'!$1:$1048576,12,0)</f>
        <v>#REF!</v>
      </c>
      <c r="V25" s="26" t="e">
        <f>VLOOKUP($A25,'HY Compile'!$1:$1048576,13,0)</f>
        <v>#REF!</v>
      </c>
      <c r="W25" s="32" t="e">
        <f t="shared" si="6"/>
        <v>#REF!</v>
      </c>
      <c r="X25" s="26" t="e">
        <f>VLOOKUP($A25,'UT-2'!$1:$1048576,6,0)</f>
        <v>#REF!</v>
      </c>
      <c r="Y25" s="26" t="e">
        <f>IFERROR(ROUND(VLOOKUP($A25,ANNUAL!$1:$1048576,6,0)*0.8,0),VLOOKUP($A25,ANNUAL!$1:$1048576,6,0))</f>
        <v>#REF!</v>
      </c>
      <c r="Z25" s="32" t="e">
        <f t="shared" si="7"/>
        <v>#REF!</v>
      </c>
      <c r="AA25" s="26" t="e">
        <f>VLOOKUP($A25,'HY Compile'!$1:$1048576,15,0)</f>
        <v>#REF!</v>
      </c>
      <c r="AB25" s="26" t="e">
        <f>VLOOKUP($A25,'HY Compile'!$1:$1048576,16,0)</f>
        <v>#REF!</v>
      </c>
      <c r="AC25" s="32" t="e">
        <f t="shared" si="8"/>
        <v>#REF!</v>
      </c>
      <c r="AD25" s="26" t="e">
        <f>VLOOKUP($A25,'UT-2'!$1:$1048576,7,0)</f>
        <v>#REF!</v>
      </c>
      <c r="AE25" s="26" t="e">
        <f>IFERROR(ROUND(VLOOKUP($A25,ANNUAL!$1:$1048576,7,0)*0.8,0),VLOOKUP($A25,ANNUAL!$1:$1048576,7,0))</f>
        <v>#REF!</v>
      </c>
      <c r="AF25" s="32" t="e">
        <f t="shared" si="9"/>
        <v>#REF!</v>
      </c>
      <c r="AG25" s="26" t="e">
        <f>VLOOKUP($A25,'HY Compile'!$1:$1048576,18,0)</f>
        <v>#REF!</v>
      </c>
      <c r="AH25" s="26" t="e">
        <f>VLOOKUP($A25,'HY Compile'!$1:$1048576,19,0)</f>
        <v>#REF!</v>
      </c>
      <c r="AI25" s="32" t="e">
        <f t="shared" si="10"/>
        <v>#REF!</v>
      </c>
      <c r="AJ25" s="26" t="e">
        <f>VLOOKUP($A25,'UT-2'!$1:$1048576,8,0)</f>
        <v>#REF!</v>
      </c>
      <c r="AK25" s="26" t="e">
        <f>IFERROR(ROUND(VLOOKUP($A25,ANNUAL!$1:$1048576,8,0)*0.8,0),VLOOKUP($A25,ANNUAL!$1:$1048576,8,0))</f>
        <v>#REF!</v>
      </c>
      <c r="AL25" s="32" t="e">
        <f t="shared" si="11"/>
        <v>#REF!</v>
      </c>
      <c r="AM25" s="26" t="e">
        <f>VLOOKUP($A25,ANNUAL!$1:$1048576,9,0)</f>
        <v>#REF!</v>
      </c>
      <c r="AN25" s="26" t="e">
        <f>VLOOKUP($A25,ANNUAL!$1:$1048576,10,0)</f>
        <v>#REF!</v>
      </c>
      <c r="AO25" s="26" t="e">
        <f>VLOOKUP($A25,ANNUAL!$1:$1048576,11,0)</f>
        <v>#REF!</v>
      </c>
      <c r="AP25" s="26" t="e">
        <f>VLOOKUP($A25,ANNUAL!$1:$1048576,12,0)</f>
        <v>#REF!</v>
      </c>
      <c r="AQ25" s="26" t="e">
        <f>VLOOKUP($A25,ANNUAL!$1:$1048576,13,0)</f>
        <v>#REF!</v>
      </c>
      <c r="AR25" s="26" t="e">
        <f>VLOOKUP($A25,ANNUAL!$1:$1048576,14,0)</f>
        <v>#REF!</v>
      </c>
      <c r="AS25" s="31" t="e">
        <f>VLOOKUP($A25,ANNUAL!$1:$1048576,15,0)</f>
        <v>#REF!</v>
      </c>
      <c r="AT25" s="26" t="e">
        <f t="shared" si="13"/>
        <v>#REF!</v>
      </c>
      <c r="AU25" s="26" t="e">
        <f t="shared" si="12"/>
        <v>#REF!</v>
      </c>
    </row>
    <row r="26" spans="1:47" x14ac:dyDescent="0.3">
      <c r="A26" s="22" t="e">
        <f>DETAILS!#REF!</f>
        <v>#REF!</v>
      </c>
      <c r="B26" s="22" t="e">
        <f>DETAILS!#REF!</f>
        <v>#REF!</v>
      </c>
      <c r="C26" s="26" t="e">
        <f>VLOOKUP($A26,'HY Compile'!$1:$1048576,3,0)</f>
        <v>#REF!</v>
      </c>
      <c r="D26" s="26" t="e">
        <f>VLOOKUP($A26,'HY Compile'!$1:$1048576,4,0)</f>
        <v>#REF!</v>
      </c>
      <c r="E26" s="32" t="e">
        <f t="shared" si="0"/>
        <v>#REF!</v>
      </c>
      <c r="F26" s="26" t="e">
        <f>VLOOKUP($A26,'UT-2'!$1:$1048576,3,0)</f>
        <v>#REF!</v>
      </c>
      <c r="G26" s="26" t="e">
        <f>IFERROR(ROUND(VLOOKUP($A26,ANNUAL!$1:$1048576,3,0)*0.8,0),VLOOKUP($A26,ANNUAL!$1:$1048576,3,0))</f>
        <v>#REF!</v>
      </c>
      <c r="H26" s="32" t="e">
        <f t="shared" si="1"/>
        <v>#REF!</v>
      </c>
      <c r="I26" s="26" t="e">
        <f>VLOOKUP($A26,'HY Compile'!$1:$1048576,6,0)</f>
        <v>#REF!</v>
      </c>
      <c r="J26" s="26" t="e">
        <f>VLOOKUP($A26,'HY Compile'!$1:$1048576,7,0)</f>
        <v>#REF!</v>
      </c>
      <c r="K26" s="32" t="e">
        <f t="shared" si="2"/>
        <v>#REF!</v>
      </c>
      <c r="L26" s="26" t="e">
        <f>VLOOKUP($A26,'UT-2'!$1:$1048576,4,0)</f>
        <v>#REF!</v>
      </c>
      <c r="M26" s="26" t="e">
        <f>IFERROR(ROUND(VLOOKUP($A26,ANNUAL!$1:$1048576,4,0)*0.8,0),VLOOKUP($A26,ANNUAL!$1:$1048576,4,0))</f>
        <v>#REF!</v>
      </c>
      <c r="N26" s="32" t="e">
        <f t="shared" si="3"/>
        <v>#REF!</v>
      </c>
      <c r="O26" s="26" t="e">
        <f>VLOOKUP($A26,'HY Compile'!$1:$1048576,9,0)</f>
        <v>#REF!</v>
      </c>
      <c r="P26" s="26" t="e">
        <f>VLOOKUP($A26,'HY Compile'!$1:$1048576,10,0)</f>
        <v>#REF!</v>
      </c>
      <c r="Q26" s="32" t="e">
        <f t="shared" si="4"/>
        <v>#REF!</v>
      </c>
      <c r="R26" s="26" t="e">
        <f>VLOOKUP($A26,'UT-2'!$1:$1048576,5,0)</f>
        <v>#REF!</v>
      </c>
      <c r="S26" s="26" t="e">
        <f>IFERROR(ROUND(VLOOKUP($A26,ANNUAL!$1:$1048576,5,0)*0.8,0),VLOOKUP($A26,ANNUAL!$1:$1048576,5,0))</f>
        <v>#REF!</v>
      </c>
      <c r="T26" s="32" t="e">
        <f t="shared" si="5"/>
        <v>#REF!</v>
      </c>
      <c r="U26" s="26" t="e">
        <f>VLOOKUP($A26,'HY Compile'!$1:$1048576,12,0)</f>
        <v>#REF!</v>
      </c>
      <c r="V26" s="26" t="e">
        <f>VLOOKUP($A26,'HY Compile'!$1:$1048576,13,0)</f>
        <v>#REF!</v>
      </c>
      <c r="W26" s="32" t="e">
        <f t="shared" si="6"/>
        <v>#REF!</v>
      </c>
      <c r="X26" s="26" t="e">
        <f>VLOOKUP($A26,'UT-2'!$1:$1048576,6,0)</f>
        <v>#REF!</v>
      </c>
      <c r="Y26" s="26" t="e">
        <f>IFERROR(ROUND(VLOOKUP($A26,ANNUAL!$1:$1048576,6,0)*0.8,0),VLOOKUP($A26,ANNUAL!$1:$1048576,6,0))</f>
        <v>#REF!</v>
      </c>
      <c r="Z26" s="32" t="e">
        <f t="shared" si="7"/>
        <v>#REF!</v>
      </c>
      <c r="AA26" s="26" t="e">
        <f>VLOOKUP($A26,'HY Compile'!$1:$1048576,15,0)</f>
        <v>#REF!</v>
      </c>
      <c r="AB26" s="26" t="e">
        <f>VLOOKUP($A26,'HY Compile'!$1:$1048576,16,0)</f>
        <v>#REF!</v>
      </c>
      <c r="AC26" s="32" t="e">
        <f t="shared" si="8"/>
        <v>#REF!</v>
      </c>
      <c r="AD26" s="26" t="e">
        <f>VLOOKUP($A26,'UT-2'!$1:$1048576,7,0)</f>
        <v>#REF!</v>
      </c>
      <c r="AE26" s="26" t="e">
        <f>IFERROR(ROUND(VLOOKUP($A26,ANNUAL!$1:$1048576,7,0)*0.8,0),VLOOKUP($A26,ANNUAL!$1:$1048576,7,0))</f>
        <v>#REF!</v>
      </c>
      <c r="AF26" s="32" t="e">
        <f t="shared" si="9"/>
        <v>#REF!</v>
      </c>
      <c r="AG26" s="26" t="e">
        <f>VLOOKUP($A26,'HY Compile'!$1:$1048576,18,0)</f>
        <v>#REF!</v>
      </c>
      <c r="AH26" s="26" t="e">
        <f>VLOOKUP($A26,'HY Compile'!$1:$1048576,19,0)</f>
        <v>#REF!</v>
      </c>
      <c r="AI26" s="32" t="e">
        <f t="shared" si="10"/>
        <v>#REF!</v>
      </c>
      <c r="AJ26" s="26" t="e">
        <f>VLOOKUP($A26,'UT-2'!$1:$1048576,8,0)</f>
        <v>#REF!</v>
      </c>
      <c r="AK26" s="26" t="e">
        <f>IFERROR(ROUND(VLOOKUP($A26,ANNUAL!$1:$1048576,8,0)*0.8,0),VLOOKUP($A26,ANNUAL!$1:$1048576,8,0))</f>
        <v>#REF!</v>
      </c>
      <c r="AL26" s="32" t="e">
        <f t="shared" si="11"/>
        <v>#REF!</v>
      </c>
      <c r="AM26" s="26" t="e">
        <f>VLOOKUP($A26,ANNUAL!$1:$1048576,9,0)</f>
        <v>#REF!</v>
      </c>
      <c r="AN26" s="26" t="e">
        <f>VLOOKUP($A26,ANNUAL!$1:$1048576,10,0)</f>
        <v>#REF!</v>
      </c>
      <c r="AO26" s="26" t="e">
        <f>VLOOKUP($A26,ANNUAL!$1:$1048576,11,0)</f>
        <v>#REF!</v>
      </c>
      <c r="AP26" s="26" t="e">
        <f>VLOOKUP($A26,ANNUAL!$1:$1048576,12,0)</f>
        <v>#REF!</v>
      </c>
      <c r="AQ26" s="26" t="e">
        <f>VLOOKUP($A26,ANNUAL!$1:$1048576,13,0)</f>
        <v>#REF!</v>
      </c>
      <c r="AR26" s="26" t="e">
        <f>VLOOKUP($A26,ANNUAL!$1:$1048576,14,0)</f>
        <v>#REF!</v>
      </c>
      <c r="AS26" s="31" t="e">
        <f>VLOOKUP($A26,ANNUAL!$1:$1048576,15,0)</f>
        <v>#REF!</v>
      </c>
      <c r="AT26" s="26" t="e">
        <f t="shared" si="13"/>
        <v>#REF!</v>
      </c>
      <c r="AU26" s="26" t="e">
        <f t="shared" si="12"/>
        <v>#REF!</v>
      </c>
    </row>
    <row r="27" spans="1:47" x14ac:dyDescent="0.3">
      <c r="A27" s="22" t="e">
        <f>DETAILS!#REF!</f>
        <v>#REF!</v>
      </c>
      <c r="B27" s="22" t="e">
        <f>DETAILS!#REF!</f>
        <v>#REF!</v>
      </c>
      <c r="C27" s="26" t="e">
        <f>VLOOKUP($A27,'HY Compile'!$1:$1048576,3,0)</f>
        <v>#REF!</v>
      </c>
      <c r="D27" s="26" t="e">
        <f>VLOOKUP($A27,'HY Compile'!$1:$1048576,4,0)</f>
        <v>#REF!</v>
      </c>
      <c r="E27" s="32" t="e">
        <f t="shared" si="0"/>
        <v>#REF!</v>
      </c>
      <c r="F27" s="26" t="e">
        <f>VLOOKUP($A27,'UT-2'!$1:$1048576,3,0)</f>
        <v>#REF!</v>
      </c>
      <c r="G27" s="26" t="e">
        <f>IFERROR(ROUND(VLOOKUP($A27,ANNUAL!$1:$1048576,3,0)*0.8,0),VLOOKUP($A27,ANNUAL!$1:$1048576,3,0))</f>
        <v>#REF!</v>
      </c>
      <c r="H27" s="32" t="e">
        <f t="shared" si="1"/>
        <v>#REF!</v>
      </c>
      <c r="I27" s="26" t="e">
        <f>VLOOKUP($A27,'HY Compile'!$1:$1048576,6,0)</f>
        <v>#REF!</v>
      </c>
      <c r="J27" s="26" t="e">
        <f>VLOOKUP($A27,'HY Compile'!$1:$1048576,7,0)</f>
        <v>#REF!</v>
      </c>
      <c r="K27" s="32" t="e">
        <f t="shared" si="2"/>
        <v>#REF!</v>
      </c>
      <c r="L27" s="26" t="e">
        <f>VLOOKUP($A27,'UT-2'!$1:$1048576,4,0)</f>
        <v>#REF!</v>
      </c>
      <c r="M27" s="26" t="e">
        <f>IFERROR(ROUND(VLOOKUP($A27,ANNUAL!$1:$1048576,4,0)*0.8,0),VLOOKUP($A27,ANNUAL!$1:$1048576,4,0))</f>
        <v>#REF!</v>
      </c>
      <c r="N27" s="32" t="e">
        <f t="shared" si="3"/>
        <v>#REF!</v>
      </c>
      <c r="O27" s="26" t="e">
        <f>VLOOKUP($A27,'HY Compile'!$1:$1048576,9,0)</f>
        <v>#REF!</v>
      </c>
      <c r="P27" s="26" t="e">
        <f>VLOOKUP($A27,'HY Compile'!$1:$1048576,10,0)</f>
        <v>#REF!</v>
      </c>
      <c r="Q27" s="32" t="e">
        <f t="shared" si="4"/>
        <v>#REF!</v>
      </c>
      <c r="R27" s="26" t="e">
        <f>VLOOKUP($A27,'UT-2'!$1:$1048576,5,0)</f>
        <v>#REF!</v>
      </c>
      <c r="S27" s="26" t="e">
        <f>IFERROR(ROUND(VLOOKUP($A27,ANNUAL!$1:$1048576,5,0)*0.8,0),VLOOKUP($A27,ANNUAL!$1:$1048576,5,0))</f>
        <v>#REF!</v>
      </c>
      <c r="T27" s="32" t="e">
        <f t="shared" si="5"/>
        <v>#REF!</v>
      </c>
      <c r="U27" s="26" t="e">
        <f>VLOOKUP($A27,'HY Compile'!$1:$1048576,12,0)</f>
        <v>#REF!</v>
      </c>
      <c r="V27" s="26" t="e">
        <f>VLOOKUP($A27,'HY Compile'!$1:$1048576,13,0)</f>
        <v>#REF!</v>
      </c>
      <c r="W27" s="32" t="e">
        <f t="shared" si="6"/>
        <v>#REF!</v>
      </c>
      <c r="X27" s="26" t="e">
        <f>VLOOKUP($A27,'UT-2'!$1:$1048576,6,0)</f>
        <v>#REF!</v>
      </c>
      <c r="Y27" s="26" t="e">
        <f>IFERROR(ROUND(VLOOKUP($A27,ANNUAL!$1:$1048576,6,0)*0.8,0),VLOOKUP($A27,ANNUAL!$1:$1048576,6,0))</f>
        <v>#REF!</v>
      </c>
      <c r="Z27" s="32" t="e">
        <f t="shared" si="7"/>
        <v>#REF!</v>
      </c>
      <c r="AA27" s="26" t="e">
        <f>VLOOKUP($A27,'HY Compile'!$1:$1048576,15,0)</f>
        <v>#REF!</v>
      </c>
      <c r="AB27" s="26" t="e">
        <f>VLOOKUP($A27,'HY Compile'!$1:$1048576,16,0)</f>
        <v>#REF!</v>
      </c>
      <c r="AC27" s="32" t="e">
        <f t="shared" si="8"/>
        <v>#REF!</v>
      </c>
      <c r="AD27" s="26" t="e">
        <f>VLOOKUP($A27,'UT-2'!$1:$1048576,7,0)</f>
        <v>#REF!</v>
      </c>
      <c r="AE27" s="26" t="e">
        <f>IFERROR(ROUND(VLOOKUP($A27,ANNUAL!$1:$1048576,7,0)*0.8,0),VLOOKUP($A27,ANNUAL!$1:$1048576,7,0))</f>
        <v>#REF!</v>
      </c>
      <c r="AF27" s="32" t="e">
        <f t="shared" si="9"/>
        <v>#REF!</v>
      </c>
      <c r="AG27" s="26" t="e">
        <f>VLOOKUP($A27,'HY Compile'!$1:$1048576,18,0)</f>
        <v>#REF!</v>
      </c>
      <c r="AH27" s="26" t="e">
        <f>VLOOKUP($A27,'HY Compile'!$1:$1048576,19,0)</f>
        <v>#REF!</v>
      </c>
      <c r="AI27" s="32" t="e">
        <f t="shared" si="10"/>
        <v>#REF!</v>
      </c>
      <c r="AJ27" s="26" t="e">
        <f>VLOOKUP($A27,'UT-2'!$1:$1048576,8,0)</f>
        <v>#REF!</v>
      </c>
      <c r="AK27" s="26" t="e">
        <f>IFERROR(ROUND(VLOOKUP($A27,ANNUAL!$1:$1048576,8,0)*0.8,0),VLOOKUP($A27,ANNUAL!$1:$1048576,8,0))</f>
        <v>#REF!</v>
      </c>
      <c r="AL27" s="32" t="e">
        <f t="shared" si="11"/>
        <v>#REF!</v>
      </c>
      <c r="AM27" s="26" t="e">
        <f>VLOOKUP($A27,ANNUAL!$1:$1048576,9,0)</f>
        <v>#REF!</v>
      </c>
      <c r="AN27" s="26" t="e">
        <f>VLOOKUP($A27,ANNUAL!$1:$1048576,10,0)</f>
        <v>#REF!</v>
      </c>
      <c r="AO27" s="26" t="e">
        <f>VLOOKUP($A27,ANNUAL!$1:$1048576,11,0)</f>
        <v>#REF!</v>
      </c>
      <c r="AP27" s="26" t="e">
        <f>VLOOKUP($A27,ANNUAL!$1:$1048576,12,0)</f>
        <v>#REF!</v>
      </c>
      <c r="AQ27" s="26" t="e">
        <f>VLOOKUP($A27,ANNUAL!$1:$1048576,13,0)</f>
        <v>#REF!</v>
      </c>
      <c r="AR27" s="26" t="e">
        <f>VLOOKUP($A27,ANNUAL!$1:$1048576,14,0)</f>
        <v>#REF!</v>
      </c>
      <c r="AS27" s="31" t="e">
        <f>VLOOKUP($A27,ANNUAL!$1:$1048576,15,0)</f>
        <v>#REF!</v>
      </c>
      <c r="AT27" s="26" t="e">
        <f t="shared" si="13"/>
        <v>#REF!</v>
      </c>
      <c r="AU27" s="26" t="e">
        <f t="shared" si="12"/>
        <v>#REF!</v>
      </c>
    </row>
    <row r="28" spans="1:47" x14ac:dyDescent="0.3">
      <c r="A28" s="22" t="e">
        <f>DETAILS!#REF!</f>
        <v>#REF!</v>
      </c>
      <c r="B28" s="22" t="e">
        <f>DETAILS!#REF!</f>
        <v>#REF!</v>
      </c>
      <c r="C28" s="26" t="e">
        <f>VLOOKUP($A28,'HY Compile'!$1:$1048576,3,0)</f>
        <v>#REF!</v>
      </c>
      <c r="D28" s="26" t="e">
        <f>VLOOKUP($A28,'HY Compile'!$1:$1048576,4,0)</f>
        <v>#REF!</v>
      </c>
      <c r="E28" s="32" t="e">
        <f t="shared" si="0"/>
        <v>#REF!</v>
      </c>
      <c r="F28" s="26" t="e">
        <f>VLOOKUP($A28,'UT-2'!$1:$1048576,3,0)</f>
        <v>#REF!</v>
      </c>
      <c r="G28" s="26" t="e">
        <f>IFERROR(ROUND(VLOOKUP($A28,ANNUAL!$1:$1048576,3,0)*0.8,0),VLOOKUP($A28,ANNUAL!$1:$1048576,3,0))</f>
        <v>#REF!</v>
      </c>
      <c r="H28" s="32" t="e">
        <f t="shared" si="1"/>
        <v>#REF!</v>
      </c>
      <c r="I28" s="26" t="e">
        <f>VLOOKUP($A28,'HY Compile'!$1:$1048576,6,0)</f>
        <v>#REF!</v>
      </c>
      <c r="J28" s="26" t="e">
        <f>VLOOKUP($A28,'HY Compile'!$1:$1048576,7,0)</f>
        <v>#REF!</v>
      </c>
      <c r="K28" s="32" t="e">
        <f t="shared" si="2"/>
        <v>#REF!</v>
      </c>
      <c r="L28" s="26" t="e">
        <f>VLOOKUP($A28,'UT-2'!$1:$1048576,4,0)</f>
        <v>#REF!</v>
      </c>
      <c r="M28" s="26" t="e">
        <f>IFERROR(ROUND(VLOOKUP($A28,ANNUAL!$1:$1048576,4,0)*0.8,0),VLOOKUP($A28,ANNUAL!$1:$1048576,4,0))</f>
        <v>#REF!</v>
      </c>
      <c r="N28" s="32" t="e">
        <f t="shared" si="3"/>
        <v>#REF!</v>
      </c>
      <c r="O28" s="26" t="e">
        <f>VLOOKUP($A28,'HY Compile'!$1:$1048576,9,0)</f>
        <v>#REF!</v>
      </c>
      <c r="P28" s="26" t="e">
        <f>VLOOKUP($A28,'HY Compile'!$1:$1048576,10,0)</f>
        <v>#REF!</v>
      </c>
      <c r="Q28" s="32" t="e">
        <f t="shared" si="4"/>
        <v>#REF!</v>
      </c>
      <c r="R28" s="26" t="e">
        <f>VLOOKUP($A28,'UT-2'!$1:$1048576,5,0)</f>
        <v>#REF!</v>
      </c>
      <c r="S28" s="26" t="e">
        <f>IFERROR(ROUND(VLOOKUP($A28,ANNUAL!$1:$1048576,5,0)*0.8,0),VLOOKUP($A28,ANNUAL!$1:$1048576,5,0))</f>
        <v>#REF!</v>
      </c>
      <c r="T28" s="32" t="e">
        <f t="shared" si="5"/>
        <v>#REF!</v>
      </c>
      <c r="U28" s="26" t="e">
        <f>VLOOKUP($A28,'HY Compile'!$1:$1048576,12,0)</f>
        <v>#REF!</v>
      </c>
      <c r="V28" s="26" t="e">
        <f>VLOOKUP($A28,'HY Compile'!$1:$1048576,13,0)</f>
        <v>#REF!</v>
      </c>
      <c r="W28" s="32" t="e">
        <f t="shared" si="6"/>
        <v>#REF!</v>
      </c>
      <c r="X28" s="26" t="e">
        <f>VLOOKUP($A28,'UT-2'!$1:$1048576,6,0)</f>
        <v>#REF!</v>
      </c>
      <c r="Y28" s="26" t="e">
        <f>IFERROR(ROUND(VLOOKUP($A28,ANNUAL!$1:$1048576,6,0)*0.8,0),VLOOKUP($A28,ANNUAL!$1:$1048576,6,0))</f>
        <v>#REF!</v>
      </c>
      <c r="Z28" s="32" t="e">
        <f t="shared" si="7"/>
        <v>#REF!</v>
      </c>
      <c r="AA28" s="26" t="e">
        <f>VLOOKUP($A28,'HY Compile'!$1:$1048576,15,0)</f>
        <v>#REF!</v>
      </c>
      <c r="AB28" s="26" t="e">
        <f>VLOOKUP($A28,'HY Compile'!$1:$1048576,16,0)</f>
        <v>#REF!</v>
      </c>
      <c r="AC28" s="32" t="e">
        <f t="shared" si="8"/>
        <v>#REF!</v>
      </c>
      <c r="AD28" s="26" t="e">
        <f>VLOOKUP($A28,'UT-2'!$1:$1048576,7,0)</f>
        <v>#REF!</v>
      </c>
      <c r="AE28" s="26" t="e">
        <f>IFERROR(ROUND(VLOOKUP($A28,ANNUAL!$1:$1048576,7,0)*0.8,0),VLOOKUP($A28,ANNUAL!$1:$1048576,7,0))</f>
        <v>#REF!</v>
      </c>
      <c r="AF28" s="32" t="e">
        <f t="shared" si="9"/>
        <v>#REF!</v>
      </c>
      <c r="AG28" s="26" t="e">
        <f>VLOOKUP($A28,'HY Compile'!$1:$1048576,18,0)</f>
        <v>#REF!</v>
      </c>
      <c r="AH28" s="26" t="e">
        <f>VLOOKUP($A28,'HY Compile'!$1:$1048576,19,0)</f>
        <v>#REF!</v>
      </c>
      <c r="AI28" s="32" t="e">
        <f t="shared" si="10"/>
        <v>#REF!</v>
      </c>
      <c r="AJ28" s="26" t="e">
        <f>VLOOKUP($A28,'UT-2'!$1:$1048576,8,0)</f>
        <v>#REF!</v>
      </c>
      <c r="AK28" s="26" t="e">
        <f>IFERROR(ROUND(VLOOKUP($A28,ANNUAL!$1:$1048576,8,0)*0.8,0),VLOOKUP($A28,ANNUAL!$1:$1048576,8,0))</f>
        <v>#REF!</v>
      </c>
      <c r="AL28" s="32" t="e">
        <f t="shared" si="11"/>
        <v>#REF!</v>
      </c>
      <c r="AM28" s="26" t="e">
        <f>VLOOKUP($A28,ANNUAL!$1:$1048576,9,0)</f>
        <v>#REF!</v>
      </c>
      <c r="AN28" s="26" t="e">
        <f>VLOOKUP($A28,ANNUAL!$1:$1048576,10,0)</f>
        <v>#REF!</v>
      </c>
      <c r="AO28" s="26" t="e">
        <f>VLOOKUP($A28,ANNUAL!$1:$1048576,11,0)</f>
        <v>#REF!</v>
      </c>
      <c r="AP28" s="26" t="e">
        <f>VLOOKUP($A28,ANNUAL!$1:$1048576,12,0)</f>
        <v>#REF!</v>
      </c>
      <c r="AQ28" s="26" t="e">
        <f>VLOOKUP($A28,ANNUAL!$1:$1048576,13,0)</f>
        <v>#REF!</v>
      </c>
      <c r="AR28" s="26" t="e">
        <f>VLOOKUP($A28,ANNUAL!$1:$1048576,14,0)</f>
        <v>#REF!</v>
      </c>
      <c r="AS28" s="31" t="e">
        <f>VLOOKUP($A28,ANNUAL!$1:$1048576,15,0)</f>
        <v>#REF!</v>
      </c>
      <c r="AT28" s="26" t="e">
        <f t="shared" si="13"/>
        <v>#REF!</v>
      </c>
      <c r="AU28" s="26" t="e">
        <f t="shared" si="12"/>
        <v>#REF!</v>
      </c>
    </row>
    <row r="29" spans="1:47" x14ac:dyDescent="0.3">
      <c r="A29" s="22" t="e">
        <f>DETAILS!#REF!</f>
        <v>#REF!</v>
      </c>
      <c r="B29" s="22" t="e">
        <f>DETAILS!#REF!</f>
        <v>#REF!</v>
      </c>
      <c r="C29" s="26" t="e">
        <f>VLOOKUP($A29,'HY Compile'!$1:$1048576,3,0)</f>
        <v>#REF!</v>
      </c>
      <c r="D29" s="26" t="e">
        <f>VLOOKUP($A29,'HY Compile'!$1:$1048576,4,0)</f>
        <v>#REF!</v>
      </c>
      <c r="E29" s="32" t="e">
        <f t="shared" si="0"/>
        <v>#REF!</v>
      </c>
      <c r="F29" s="26" t="e">
        <f>VLOOKUP($A29,'UT-2'!$1:$1048576,3,0)</f>
        <v>#REF!</v>
      </c>
      <c r="G29" s="26" t="e">
        <f>IFERROR(ROUND(VLOOKUP($A29,ANNUAL!$1:$1048576,3,0)*0.8,0),VLOOKUP($A29,ANNUAL!$1:$1048576,3,0))</f>
        <v>#REF!</v>
      </c>
      <c r="H29" s="32" t="e">
        <f t="shared" si="1"/>
        <v>#REF!</v>
      </c>
      <c r="I29" s="26" t="e">
        <f>VLOOKUP($A29,'HY Compile'!$1:$1048576,6,0)</f>
        <v>#REF!</v>
      </c>
      <c r="J29" s="26" t="e">
        <f>VLOOKUP($A29,'HY Compile'!$1:$1048576,7,0)</f>
        <v>#REF!</v>
      </c>
      <c r="K29" s="32" t="e">
        <f t="shared" si="2"/>
        <v>#REF!</v>
      </c>
      <c r="L29" s="26" t="e">
        <f>VLOOKUP($A29,'UT-2'!$1:$1048576,4,0)</f>
        <v>#REF!</v>
      </c>
      <c r="M29" s="26" t="e">
        <f>IFERROR(ROUND(VLOOKUP($A29,ANNUAL!$1:$1048576,4,0)*0.8,0),VLOOKUP($A29,ANNUAL!$1:$1048576,4,0))</f>
        <v>#REF!</v>
      </c>
      <c r="N29" s="32" t="e">
        <f t="shared" si="3"/>
        <v>#REF!</v>
      </c>
      <c r="O29" s="26" t="e">
        <f>VLOOKUP($A29,'HY Compile'!$1:$1048576,9,0)</f>
        <v>#REF!</v>
      </c>
      <c r="P29" s="26" t="e">
        <f>VLOOKUP($A29,'HY Compile'!$1:$1048576,10,0)</f>
        <v>#REF!</v>
      </c>
      <c r="Q29" s="32" t="e">
        <f t="shared" si="4"/>
        <v>#REF!</v>
      </c>
      <c r="R29" s="26" t="e">
        <f>VLOOKUP($A29,'UT-2'!$1:$1048576,5,0)</f>
        <v>#REF!</v>
      </c>
      <c r="S29" s="26" t="e">
        <f>IFERROR(ROUND(VLOOKUP($A29,ANNUAL!$1:$1048576,5,0)*0.8,0),VLOOKUP($A29,ANNUAL!$1:$1048576,5,0))</f>
        <v>#REF!</v>
      </c>
      <c r="T29" s="32" t="e">
        <f t="shared" si="5"/>
        <v>#REF!</v>
      </c>
      <c r="U29" s="26" t="e">
        <f>VLOOKUP($A29,'HY Compile'!$1:$1048576,12,0)</f>
        <v>#REF!</v>
      </c>
      <c r="V29" s="26" t="e">
        <f>VLOOKUP($A29,'HY Compile'!$1:$1048576,13,0)</f>
        <v>#REF!</v>
      </c>
      <c r="W29" s="32" t="e">
        <f t="shared" si="6"/>
        <v>#REF!</v>
      </c>
      <c r="X29" s="26" t="e">
        <f>VLOOKUP($A29,'UT-2'!$1:$1048576,6,0)</f>
        <v>#REF!</v>
      </c>
      <c r="Y29" s="26" t="e">
        <f>IFERROR(ROUND(VLOOKUP($A29,ANNUAL!$1:$1048576,6,0)*0.8,0),VLOOKUP($A29,ANNUAL!$1:$1048576,6,0))</f>
        <v>#REF!</v>
      </c>
      <c r="Z29" s="32" t="e">
        <f t="shared" si="7"/>
        <v>#REF!</v>
      </c>
      <c r="AA29" s="26" t="e">
        <f>VLOOKUP($A29,'HY Compile'!$1:$1048576,15,0)</f>
        <v>#REF!</v>
      </c>
      <c r="AB29" s="26" t="e">
        <f>VLOOKUP($A29,'HY Compile'!$1:$1048576,16,0)</f>
        <v>#REF!</v>
      </c>
      <c r="AC29" s="32" t="e">
        <f t="shared" si="8"/>
        <v>#REF!</v>
      </c>
      <c r="AD29" s="26" t="e">
        <f>VLOOKUP($A29,'UT-2'!$1:$1048576,7,0)</f>
        <v>#REF!</v>
      </c>
      <c r="AE29" s="26" t="e">
        <f>IFERROR(ROUND(VLOOKUP($A29,ANNUAL!$1:$1048576,7,0)*0.8,0),VLOOKUP($A29,ANNUAL!$1:$1048576,7,0))</f>
        <v>#REF!</v>
      </c>
      <c r="AF29" s="32" t="e">
        <f t="shared" si="9"/>
        <v>#REF!</v>
      </c>
      <c r="AG29" s="26" t="e">
        <f>VLOOKUP($A29,'HY Compile'!$1:$1048576,18,0)</f>
        <v>#REF!</v>
      </c>
      <c r="AH29" s="26" t="e">
        <f>VLOOKUP($A29,'HY Compile'!$1:$1048576,19,0)</f>
        <v>#REF!</v>
      </c>
      <c r="AI29" s="32" t="e">
        <f t="shared" si="10"/>
        <v>#REF!</v>
      </c>
      <c r="AJ29" s="26" t="e">
        <f>VLOOKUP($A29,'UT-2'!$1:$1048576,8,0)</f>
        <v>#REF!</v>
      </c>
      <c r="AK29" s="26" t="e">
        <f>IFERROR(ROUND(VLOOKUP($A29,ANNUAL!$1:$1048576,8,0)*0.8,0),VLOOKUP($A29,ANNUAL!$1:$1048576,8,0))</f>
        <v>#REF!</v>
      </c>
      <c r="AL29" s="32" t="e">
        <f t="shared" si="11"/>
        <v>#REF!</v>
      </c>
      <c r="AM29" s="26" t="e">
        <f>VLOOKUP($A29,ANNUAL!$1:$1048576,9,0)</f>
        <v>#REF!</v>
      </c>
      <c r="AN29" s="26" t="e">
        <f>VLOOKUP($A29,ANNUAL!$1:$1048576,10,0)</f>
        <v>#REF!</v>
      </c>
      <c r="AO29" s="26" t="e">
        <f>VLOOKUP($A29,ANNUAL!$1:$1048576,11,0)</f>
        <v>#REF!</v>
      </c>
      <c r="AP29" s="26" t="e">
        <f>VLOOKUP($A29,ANNUAL!$1:$1048576,12,0)</f>
        <v>#REF!</v>
      </c>
      <c r="AQ29" s="26" t="e">
        <f>VLOOKUP($A29,ANNUAL!$1:$1048576,13,0)</f>
        <v>#REF!</v>
      </c>
      <c r="AR29" s="26" t="e">
        <f>VLOOKUP($A29,ANNUAL!$1:$1048576,14,0)</f>
        <v>#REF!</v>
      </c>
      <c r="AS29" s="31" t="e">
        <f>VLOOKUP($A29,ANNUAL!$1:$1048576,15,0)</f>
        <v>#REF!</v>
      </c>
      <c r="AT29" s="26" t="e">
        <f t="shared" si="13"/>
        <v>#REF!</v>
      </c>
      <c r="AU29" s="26" t="e">
        <f t="shared" si="12"/>
        <v>#REF!</v>
      </c>
    </row>
    <row r="30" spans="1:47" x14ac:dyDescent="0.3">
      <c r="A30" s="22" t="e">
        <f>DETAILS!#REF!</f>
        <v>#REF!</v>
      </c>
      <c r="B30" s="22" t="e">
        <f>DETAILS!#REF!</f>
        <v>#REF!</v>
      </c>
      <c r="C30" s="26" t="e">
        <f>VLOOKUP($A30,'HY Compile'!$1:$1048576,3,0)</f>
        <v>#REF!</v>
      </c>
      <c r="D30" s="26" t="e">
        <f>VLOOKUP($A30,'HY Compile'!$1:$1048576,4,0)</f>
        <v>#REF!</v>
      </c>
      <c r="E30" s="32" t="e">
        <f t="shared" si="0"/>
        <v>#REF!</v>
      </c>
      <c r="F30" s="26" t="e">
        <f>VLOOKUP($A30,'UT-2'!$1:$1048576,3,0)</f>
        <v>#REF!</v>
      </c>
      <c r="G30" s="26" t="e">
        <f>IFERROR(ROUND(VLOOKUP($A30,ANNUAL!$1:$1048576,3,0)*0.8,0),VLOOKUP($A30,ANNUAL!$1:$1048576,3,0))</f>
        <v>#REF!</v>
      </c>
      <c r="H30" s="32" t="e">
        <f t="shared" si="1"/>
        <v>#REF!</v>
      </c>
      <c r="I30" s="26" t="e">
        <f>VLOOKUP($A30,'HY Compile'!$1:$1048576,6,0)</f>
        <v>#REF!</v>
      </c>
      <c r="J30" s="26" t="e">
        <f>VLOOKUP($A30,'HY Compile'!$1:$1048576,7,0)</f>
        <v>#REF!</v>
      </c>
      <c r="K30" s="32" t="e">
        <f t="shared" si="2"/>
        <v>#REF!</v>
      </c>
      <c r="L30" s="26" t="e">
        <f>VLOOKUP($A30,'UT-2'!$1:$1048576,4,0)</f>
        <v>#REF!</v>
      </c>
      <c r="M30" s="26" t="e">
        <f>IFERROR(ROUND(VLOOKUP($A30,ANNUAL!$1:$1048576,4,0)*0.8,0),VLOOKUP($A30,ANNUAL!$1:$1048576,4,0))</f>
        <v>#REF!</v>
      </c>
      <c r="N30" s="32" t="e">
        <f t="shared" si="3"/>
        <v>#REF!</v>
      </c>
      <c r="O30" s="26" t="e">
        <f>VLOOKUP($A30,'HY Compile'!$1:$1048576,9,0)</f>
        <v>#REF!</v>
      </c>
      <c r="P30" s="26" t="e">
        <f>VLOOKUP($A30,'HY Compile'!$1:$1048576,10,0)</f>
        <v>#REF!</v>
      </c>
      <c r="Q30" s="32" t="e">
        <f t="shared" si="4"/>
        <v>#REF!</v>
      </c>
      <c r="R30" s="26" t="e">
        <f>VLOOKUP($A30,'UT-2'!$1:$1048576,5,0)</f>
        <v>#REF!</v>
      </c>
      <c r="S30" s="26" t="e">
        <f>IFERROR(ROUND(VLOOKUP($A30,ANNUAL!$1:$1048576,5,0)*0.8,0),VLOOKUP($A30,ANNUAL!$1:$1048576,5,0))</f>
        <v>#REF!</v>
      </c>
      <c r="T30" s="32" t="e">
        <f t="shared" si="5"/>
        <v>#REF!</v>
      </c>
      <c r="U30" s="26" t="e">
        <f>VLOOKUP($A30,'HY Compile'!$1:$1048576,12,0)</f>
        <v>#REF!</v>
      </c>
      <c r="V30" s="26" t="e">
        <f>VLOOKUP($A30,'HY Compile'!$1:$1048576,13,0)</f>
        <v>#REF!</v>
      </c>
      <c r="W30" s="32" t="e">
        <f t="shared" si="6"/>
        <v>#REF!</v>
      </c>
      <c r="X30" s="26" t="e">
        <f>VLOOKUP($A30,'UT-2'!$1:$1048576,6,0)</f>
        <v>#REF!</v>
      </c>
      <c r="Y30" s="26" t="e">
        <f>IFERROR(ROUND(VLOOKUP($A30,ANNUAL!$1:$1048576,6,0)*0.8,0),VLOOKUP($A30,ANNUAL!$1:$1048576,6,0))</f>
        <v>#REF!</v>
      </c>
      <c r="Z30" s="32" t="e">
        <f t="shared" si="7"/>
        <v>#REF!</v>
      </c>
      <c r="AA30" s="26" t="e">
        <f>VLOOKUP($A30,'HY Compile'!$1:$1048576,15,0)</f>
        <v>#REF!</v>
      </c>
      <c r="AB30" s="26" t="e">
        <f>VLOOKUP($A30,'HY Compile'!$1:$1048576,16,0)</f>
        <v>#REF!</v>
      </c>
      <c r="AC30" s="32" t="e">
        <f t="shared" si="8"/>
        <v>#REF!</v>
      </c>
      <c r="AD30" s="26" t="e">
        <f>VLOOKUP($A30,'UT-2'!$1:$1048576,7,0)</f>
        <v>#REF!</v>
      </c>
      <c r="AE30" s="26" t="e">
        <f>IFERROR(ROUND(VLOOKUP($A30,ANNUAL!$1:$1048576,7,0)*0.8,0),VLOOKUP($A30,ANNUAL!$1:$1048576,7,0))</f>
        <v>#REF!</v>
      </c>
      <c r="AF30" s="32" t="e">
        <f t="shared" si="9"/>
        <v>#REF!</v>
      </c>
      <c r="AG30" s="26" t="e">
        <f>VLOOKUP($A30,'HY Compile'!$1:$1048576,18,0)</f>
        <v>#REF!</v>
      </c>
      <c r="AH30" s="26" t="e">
        <f>VLOOKUP($A30,'HY Compile'!$1:$1048576,19,0)</f>
        <v>#REF!</v>
      </c>
      <c r="AI30" s="32" t="e">
        <f t="shared" si="10"/>
        <v>#REF!</v>
      </c>
      <c r="AJ30" s="26" t="e">
        <f>VLOOKUP($A30,'UT-2'!$1:$1048576,8,0)</f>
        <v>#REF!</v>
      </c>
      <c r="AK30" s="26" t="e">
        <f>IFERROR(ROUND(VLOOKUP($A30,ANNUAL!$1:$1048576,8,0)*0.8,0),VLOOKUP($A30,ANNUAL!$1:$1048576,8,0))</f>
        <v>#REF!</v>
      </c>
      <c r="AL30" s="32" t="e">
        <f t="shared" si="11"/>
        <v>#REF!</v>
      </c>
      <c r="AM30" s="26" t="e">
        <f>VLOOKUP($A30,ANNUAL!$1:$1048576,9,0)</f>
        <v>#REF!</v>
      </c>
      <c r="AN30" s="26" t="e">
        <f>VLOOKUP($A30,ANNUAL!$1:$1048576,10,0)</f>
        <v>#REF!</v>
      </c>
      <c r="AO30" s="26" t="e">
        <f>VLOOKUP($A30,ANNUAL!$1:$1048576,11,0)</f>
        <v>#REF!</v>
      </c>
      <c r="AP30" s="26" t="e">
        <f>VLOOKUP($A30,ANNUAL!$1:$1048576,12,0)</f>
        <v>#REF!</v>
      </c>
      <c r="AQ30" s="26" t="e">
        <f>VLOOKUP($A30,ANNUAL!$1:$1048576,13,0)</f>
        <v>#REF!</v>
      </c>
      <c r="AR30" s="26" t="e">
        <f>VLOOKUP($A30,ANNUAL!$1:$1048576,14,0)</f>
        <v>#REF!</v>
      </c>
      <c r="AS30" s="31" t="e">
        <f>VLOOKUP($A30,ANNUAL!$1:$1048576,15,0)</f>
        <v>#REF!</v>
      </c>
      <c r="AT30" s="26" t="e">
        <f t="shared" si="13"/>
        <v>#REF!</v>
      </c>
      <c r="AU30" s="26" t="e">
        <f t="shared" si="12"/>
        <v>#REF!</v>
      </c>
    </row>
    <row r="31" spans="1:47" x14ac:dyDescent="0.3">
      <c r="A31" s="22" t="e">
        <f>DETAILS!#REF!</f>
        <v>#REF!</v>
      </c>
      <c r="B31" s="22" t="e">
        <f>DETAILS!#REF!</f>
        <v>#REF!</v>
      </c>
      <c r="C31" s="26" t="e">
        <f>VLOOKUP($A31,'HY Compile'!$1:$1048576,3,0)</f>
        <v>#REF!</v>
      </c>
      <c r="D31" s="26" t="e">
        <f>VLOOKUP($A31,'HY Compile'!$1:$1048576,4,0)</f>
        <v>#REF!</v>
      </c>
      <c r="E31" s="32" t="e">
        <f t="shared" si="0"/>
        <v>#REF!</v>
      </c>
      <c r="F31" s="26" t="e">
        <f>VLOOKUP($A31,'UT-2'!$1:$1048576,3,0)</f>
        <v>#REF!</v>
      </c>
      <c r="G31" s="26" t="e">
        <f>IFERROR(ROUND(VLOOKUP($A31,ANNUAL!$1:$1048576,3,0)*0.8,0),VLOOKUP($A31,ANNUAL!$1:$1048576,3,0))</f>
        <v>#REF!</v>
      </c>
      <c r="H31" s="32" t="e">
        <f t="shared" si="1"/>
        <v>#REF!</v>
      </c>
      <c r="I31" s="26" t="e">
        <f>VLOOKUP($A31,'HY Compile'!$1:$1048576,6,0)</f>
        <v>#REF!</v>
      </c>
      <c r="J31" s="26" t="e">
        <f>VLOOKUP($A31,'HY Compile'!$1:$1048576,7,0)</f>
        <v>#REF!</v>
      </c>
      <c r="K31" s="32" t="e">
        <f t="shared" si="2"/>
        <v>#REF!</v>
      </c>
      <c r="L31" s="26" t="e">
        <f>VLOOKUP($A31,'UT-2'!$1:$1048576,4,0)</f>
        <v>#REF!</v>
      </c>
      <c r="M31" s="26" t="e">
        <f>IFERROR(ROUND(VLOOKUP($A31,ANNUAL!$1:$1048576,4,0)*0.8,0),VLOOKUP($A31,ANNUAL!$1:$1048576,4,0))</f>
        <v>#REF!</v>
      </c>
      <c r="N31" s="32" t="e">
        <f t="shared" si="3"/>
        <v>#REF!</v>
      </c>
      <c r="O31" s="26" t="e">
        <f>VLOOKUP($A31,'HY Compile'!$1:$1048576,9,0)</f>
        <v>#REF!</v>
      </c>
      <c r="P31" s="26" t="e">
        <f>VLOOKUP($A31,'HY Compile'!$1:$1048576,10,0)</f>
        <v>#REF!</v>
      </c>
      <c r="Q31" s="32" t="e">
        <f t="shared" si="4"/>
        <v>#REF!</v>
      </c>
      <c r="R31" s="26" t="e">
        <f>VLOOKUP($A31,'UT-2'!$1:$1048576,5,0)</f>
        <v>#REF!</v>
      </c>
      <c r="S31" s="26" t="e">
        <f>IFERROR(ROUND(VLOOKUP($A31,ANNUAL!$1:$1048576,5,0)*0.8,0),VLOOKUP($A31,ANNUAL!$1:$1048576,5,0))</f>
        <v>#REF!</v>
      </c>
      <c r="T31" s="32" t="e">
        <f t="shared" si="5"/>
        <v>#REF!</v>
      </c>
      <c r="U31" s="26" t="e">
        <f>VLOOKUP($A31,'HY Compile'!$1:$1048576,12,0)</f>
        <v>#REF!</v>
      </c>
      <c r="V31" s="26" t="e">
        <f>VLOOKUP($A31,'HY Compile'!$1:$1048576,13,0)</f>
        <v>#REF!</v>
      </c>
      <c r="W31" s="32" t="e">
        <f t="shared" si="6"/>
        <v>#REF!</v>
      </c>
      <c r="X31" s="26" t="e">
        <f>VLOOKUP($A31,'UT-2'!$1:$1048576,6,0)</f>
        <v>#REF!</v>
      </c>
      <c r="Y31" s="26" t="e">
        <f>IFERROR(ROUND(VLOOKUP($A31,ANNUAL!$1:$1048576,6,0)*0.8,0),VLOOKUP($A31,ANNUAL!$1:$1048576,6,0))</f>
        <v>#REF!</v>
      </c>
      <c r="Z31" s="32" t="e">
        <f t="shared" si="7"/>
        <v>#REF!</v>
      </c>
      <c r="AA31" s="26" t="e">
        <f>VLOOKUP($A31,'HY Compile'!$1:$1048576,15,0)</f>
        <v>#REF!</v>
      </c>
      <c r="AB31" s="26" t="e">
        <f>VLOOKUP($A31,'HY Compile'!$1:$1048576,16,0)</f>
        <v>#REF!</v>
      </c>
      <c r="AC31" s="32" t="e">
        <f t="shared" si="8"/>
        <v>#REF!</v>
      </c>
      <c r="AD31" s="26" t="e">
        <f>VLOOKUP($A31,'UT-2'!$1:$1048576,7,0)</f>
        <v>#REF!</v>
      </c>
      <c r="AE31" s="26" t="e">
        <f>IFERROR(ROUND(VLOOKUP($A31,ANNUAL!$1:$1048576,7,0)*0.8,0),VLOOKUP($A31,ANNUAL!$1:$1048576,7,0))</f>
        <v>#REF!</v>
      </c>
      <c r="AF31" s="32" t="e">
        <f t="shared" si="9"/>
        <v>#REF!</v>
      </c>
      <c r="AG31" s="26" t="e">
        <f>VLOOKUP($A31,'HY Compile'!$1:$1048576,18,0)</f>
        <v>#REF!</v>
      </c>
      <c r="AH31" s="26" t="e">
        <f>VLOOKUP($A31,'HY Compile'!$1:$1048576,19,0)</f>
        <v>#REF!</v>
      </c>
      <c r="AI31" s="32" t="e">
        <f t="shared" si="10"/>
        <v>#REF!</v>
      </c>
      <c r="AJ31" s="26" t="e">
        <f>VLOOKUP($A31,'UT-2'!$1:$1048576,8,0)</f>
        <v>#REF!</v>
      </c>
      <c r="AK31" s="26" t="e">
        <f>IFERROR(ROUND(VLOOKUP($A31,ANNUAL!$1:$1048576,8,0)*0.8,0),VLOOKUP($A31,ANNUAL!$1:$1048576,8,0))</f>
        <v>#REF!</v>
      </c>
      <c r="AL31" s="32" t="e">
        <f t="shared" si="11"/>
        <v>#REF!</v>
      </c>
      <c r="AM31" s="26" t="e">
        <f>VLOOKUP($A31,ANNUAL!$1:$1048576,9,0)</f>
        <v>#REF!</v>
      </c>
      <c r="AN31" s="26" t="e">
        <f>VLOOKUP($A31,ANNUAL!$1:$1048576,10,0)</f>
        <v>#REF!</v>
      </c>
      <c r="AO31" s="26" t="e">
        <f>VLOOKUP($A31,ANNUAL!$1:$1048576,11,0)</f>
        <v>#REF!</v>
      </c>
      <c r="AP31" s="26" t="e">
        <f>VLOOKUP($A31,ANNUAL!$1:$1048576,12,0)</f>
        <v>#REF!</v>
      </c>
      <c r="AQ31" s="26" t="e">
        <f>VLOOKUP($A31,ANNUAL!$1:$1048576,13,0)</f>
        <v>#REF!</v>
      </c>
      <c r="AR31" s="26" t="e">
        <f>VLOOKUP($A31,ANNUAL!$1:$1048576,14,0)</f>
        <v>#REF!</v>
      </c>
      <c r="AS31" s="31" t="e">
        <f>VLOOKUP($A31,ANNUAL!$1:$1048576,15,0)</f>
        <v>#REF!</v>
      </c>
      <c r="AT31" s="26" t="e">
        <f t="shared" si="13"/>
        <v>#REF!</v>
      </c>
      <c r="AU31" s="26" t="e">
        <f t="shared" si="12"/>
        <v>#REF!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G2:AL2"/>
    <mergeCell ref="A2:A3"/>
    <mergeCell ref="B2:B3"/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topLeftCell="A28" zoomScale="160" zoomScaleNormal="160" workbookViewId="0">
      <selection activeCell="H38" sqref="H38:J38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777343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4414062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68"/>
      <c r="C1" s="68"/>
      <c r="D1" s="68"/>
      <c r="E1" s="68"/>
      <c r="F1" s="68"/>
      <c r="G1" s="68"/>
      <c r="H1" s="68"/>
      <c r="I1" s="7"/>
      <c r="J1" s="7"/>
      <c r="K1" s="8"/>
    </row>
    <row r="2" spans="1:13" ht="32.4" x14ac:dyDescent="0.3">
      <c r="A2" s="9"/>
      <c r="B2" s="69" t="s">
        <v>0</v>
      </c>
      <c r="C2" s="69"/>
      <c r="D2" s="69"/>
      <c r="E2" s="69"/>
      <c r="F2" s="69"/>
      <c r="G2" s="69"/>
      <c r="H2" s="69"/>
      <c r="I2" s="69"/>
      <c r="J2" s="69"/>
      <c r="K2" s="10"/>
    </row>
    <row r="3" spans="1:13" ht="15.6" x14ac:dyDescent="0.3">
      <c r="A3" s="9"/>
      <c r="B3" s="70" t="s">
        <v>1</v>
      </c>
      <c r="C3" s="70"/>
      <c r="D3" s="70"/>
      <c r="E3" s="70"/>
      <c r="F3" s="70"/>
      <c r="G3" s="70"/>
      <c r="H3" s="70"/>
      <c r="I3" s="70"/>
      <c r="J3" s="70"/>
      <c r="K3" s="10"/>
    </row>
    <row r="4" spans="1:13" ht="15.6" x14ac:dyDescent="0.3">
      <c r="A4" s="9"/>
      <c r="B4" s="71" t="s">
        <v>58</v>
      </c>
      <c r="C4" s="71"/>
      <c r="D4" s="71"/>
      <c r="E4" s="71"/>
      <c r="F4" s="71"/>
      <c r="G4" s="71"/>
      <c r="H4" s="71"/>
      <c r="I4" s="71"/>
      <c r="J4" s="71"/>
      <c r="K4" s="10"/>
    </row>
    <row r="5" spans="1:13" ht="15.6" x14ac:dyDescent="0.3">
      <c r="A5" s="9"/>
      <c r="B5" s="71" t="s">
        <v>2</v>
      </c>
      <c r="C5" s="71"/>
      <c r="D5" s="71"/>
      <c r="E5" s="71"/>
      <c r="F5" s="71"/>
      <c r="G5" s="71"/>
      <c r="H5" s="71"/>
      <c r="I5" s="71"/>
      <c r="J5" s="71"/>
      <c r="K5" s="10"/>
    </row>
    <row r="6" spans="1:13" ht="15.6" x14ac:dyDescent="0.3">
      <c r="A6" s="9"/>
      <c r="B6" s="63" t="s">
        <v>3</v>
      </c>
      <c r="C6" s="63"/>
      <c r="D6" s="63"/>
      <c r="E6" s="63"/>
      <c r="F6" s="63"/>
      <c r="G6" s="63"/>
      <c r="H6" s="63"/>
      <c r="I6" s="63"/>
      <c r="J6" s="63"/>
      <c r="K6" s="10"/>
    </row>
    <row r="7" spans="1:13" ht="20.25" customHeight="1" x14ac:dyDescent="0.3">
      <c r="A7" s="9"/>
      <c r="B7" s="64" t="s">
        <v>73</v>
      </c>
      <c r="C7" s="64"/>
      <c r="D7" s="64"/>
      <c r="E7" s="64"/>
      <c r="F7" s="64"/>
      <c r="G7" s="64"/>
      <c r="H7" s="64"/>
      <c r="I7" s="64"/>
      <c r="J7" s="64"/>
      <c r="K7" s="10"/>
    </row>
    <row r="8" spans="1:13" ht="18" customHeight="1" x14ac:dyDescent="0.3">
      <c r="A8" s="9"/>
      <c r="B8" s="65" t="s">
        <v>4</v>
      </c>
      <c r="C8" s="65"/>
      <c r="D8" s="65"/>
      <c r="E8" s="65"/>
      <c r="F8" s="65"/>
      <c r="G8" s="65"/>
      <c r="H8" s="65"/>
      <c r="I8" s="65"/>
      <c r="J8" s="65"/>
      <c r="K8" s="10"/>
    </row>
    <row r="9" spans="1:13" x14ac:dyDescent="0.3">
      <c r="A9" s="9"/>
      <c r="B9" s="98" t="s">
        <v>77</v>
      </c>
      <c r="C9" s="66"/>
      <c r="D9" s="74" t="e">
        <f>":      "&amp;VLOOKUP($I$9,DETAILS!$1:$1048576,2,0)</f>
        <v>#N/A</v>
      </c>
      <c r="E9" s="74"/>
      <c r="F9" s="74"/>
      <c r="G9" s="66" t="s">
        <v>78</v>
      </c>
      <c r="H9" s="66"/>
      <c r="I9" s="66">
        <v>1</v>
      </c>
      <c r="J9" s="67"/>
      <c r="K9" s="10"/>
    </row>
    <row r="10" spans="1:13" x14ac:dyDescent="0.3">
      <c r="A10" s="9"/>
      <c r="B10" s="99" t="s">
        <v>79</v>
      </c>
      <c r="C10" s="74"/>
      <c r="D10" s="74" t="e">
        <f>":      "&amp;VLOOKUP($I$9,DETAILS!$1:$1048576,3,0)</f>
        <v>#N/A</v>
      </c>
      <c r="E10" s="74"/>
      <c r="F10" s="74"/>
      <c r="G10" s="74" t="s">
        <v>80</v>
      </c>
      <c r="H10" s="74"/>
      <c r="I10" s="74" t="e">
        <f>VLOOKUP($I$9,DETAILS!$1:$1048576,6,0)</f>
        <v>#N/A</v>
      </c>
      <c r="J10" s="75"/>
      <c r="K10" s="10"/>
    </row>
    <row r="11" spans="1:13" x14ac:dyDescent="0.3">
      <c r="A11" s="9"/>
      <c r="B11" s="100" t="s">
        <v>81</v>
      </c>
      <c r="C11" s="72"/>
      <c r="D11" s="72" t="e">
        <f>":      "&amp;VLOOKUP($I$9,DETAILS!$1:$1048576,4,0)</f>
        <v>#N/A</v>
      </c>
      <c r="E11" s="72"/>
      <c r="F11" s="72"/>
      <c r="G11" s="72" t="s">
        <v>82</v>
      </c>
      <c r="H11" s="72"/>
      <c r="I11" s="72" t="e">
        <f>VLOOKUP($I$9,DETAILS!$1:$1048576,5,0)</f>
        <v>#N/A</v>
      </c>
      <c r="J11" s="73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101" t="s">
        <v>56</v>
      </c>
      <c r="C13" s="102"/>
      <c r="D13" s="102"/>
      <c r="E13" s="102"/>
      <c r="F13" s="102"/>
      <c r="G13" s="102"/>
      <c r="H13" s="102"/>
      <c r="I13" s="102"/>
      <c r="J13" s="103"/>
      <c r="K13" s="10"/>
    </row>
    <row r="14" spans="1:13" ht="61.5" customHeight="1" x14ac:dyDescent="0.3">
      <c r="A14" s="9"/>
      <c r="B14" s="104" t="s">
        <v>31</v>
      </c>
      <c r="C14" s="105"/>
      <c r="D14" s="15" t="s">
        <v>83</v>
      </c>
      <c r="E14" s="15" t="s">
        <v>8</v>
      </c>
      <c r="F14" s="15" t="s">
        <v>84</v>
      </c>
      <c r="G14" s="15" t="s">
        <v>85</v>
      </c>
      <c r="H14" s="15" t="s">
        <v>86</v>
      </c>
      <c r="I14" s="15" t="s">
        <v>87</v>
      </c>
      <c r="J14" s="15" t="s">
        <v>88</v>
      </c>
      <c r="K14" s="10"/>
      <c r="M14" s="36"/>
    </row>
    <row r="15" spans="1:13" x14ac:dyDescent="0.3">
      <c r="A15" s="9"/>
      <c r="B15" s="96" t="s">
        <v>97</v>
      </c>
      <c r="C15" s="97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6" t="e">
        <f>VLOOKUP($I$9,DETAILS!$1:$1048576,7,0)</f>
        <v>#N/A</v>
      </c>
      <c r="C16" s="97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6" t="s">
        <v>102</v>
      </c>
      <c r="C17" s="97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6" t="s">
        <v>101</v>
      </c>
      <c r="C18" s="97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6" t="s">
        <v>100</v>
      </c>
      <c r="C19" s="97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6" t="s">
        <v>94</v>
      </c>
      <c r="C20" s="97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84" t="s">
        <v>10</v>
      </c>
      <c r="C22" s="81" t="e">
        <f>VLOOKUP($I$9,'COMPILE REPORT'!$1:$1048576,43,0)</f>
        <v>#N/A</v>
      </c>
      <c r="D22" s="81" t="e">
        <f>VLOOKUP($I$9,'COMPILE REPORT'!$1:$1048576,44,0)</f>
        <v>#N/A</v>
      </c>
      <c r="H22" s="82" t="s">
        <v>89</v>
      </c>
      <c r="I22" s="83"/>
      <c r="J22" s="37" t="e">
        <f>ROUND((SUM(J15:J20))/12,2)&amp;" %"</f>
        <v>#N/A</v>
      </c>
      <c r="K22" s="10"/>
    </row>
    <row r="23" spans="1:11" x14ac:dyDescent="0.3">
      <c r="A23" s="9"/>
      <c r="B23" s="84"/>
      <c r="C23" s="81"/>
      <c r="D23" s="81"/>
      <c r="H23" s="76" t="s">
        <v>90</v>
      </c>
      <c r="I23" s="76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5" t="s">
        <v>57</v>
      </c>
      <c r="C26" s="65"/>
      <c r="D26" s="65"/>
      <c r="E26" s="65"/>
      <c r="F26" s="65"/>
      <c r="G26" s="65"/>
      <c r="H26" s="65" t="s">
        <v>11</v>
      </c>
      <c r="I26" s="65"/>
      <c r="J26" s="65"/>
      <c r="K26" s="10"/>
    </row>
    <row r="27" spans="1:11" x14ac:dyDescent="0.3">
      <c r="A27" s="9"/>
      <c r="B27" s="76" t="s">
        <v>12</v>
      </c>
      <c r="C27" s="76"/>
      <c r="D27" s="76"/>
      <c r="E27" s="76"/>
      <c r="F27" s="76"/>
      <c r="G27" s="76"/>
      <c r="H27" s="95" t="e">
        <f>VLOOKUP($I$9,'COMPILE REPORT'!$1:$1048576,39,0)</f>
        <v>#N/A</v>
      </c>
      <c r="I27" s="95" t="e">
        <f>VLOOKUP($I$9,'COMPILE REPORT'!$1:$1048576,37,0)</f>
        <v>#N/A</v>
      </c>
      <c r="J27" s="95" t="e">
        <f>VLOOKUP($I$9,'COMPILE REPORT'!$1:$1048576,37,0)</f>
        <v>#N/A</v>
      </c>
      <c r="K27" s="10"/>
    </row>
    <row r="28" spans="1:11" x14ac:dyDescent="0.3">
      <c r="A28" s="9"/>
      <c r="B28" s="76" t="s">
        <v>13</v>
      </c>
      <c r="C28" s="76"/>
      <c r="D28" s="76"/>
      <c r="E28" s="76"/>
      <c r="F28" s="76"/>
      <c r="G28" s="76"/>
      <c r="H28" s="95" t="e">
        <f>VLOOKUP($I$9,'COMPILE REPORT'!$1:$1048576,40,0)</f>
        <v>#N/A</v>
      </c>
      <c r="I28" s="95" t="e">
        <f>VLOOKUP($I$9,'COMPILE REPORT'!$1:$1048576,37,0)</f>
        <v>#N/A</v>
      </c>
      <c r="J28" s="95" t="e">
        <f>VLOOKUP($I$9,'COMPILE REPORT'!$1:$1048576,37,0)</f>
        <v>#N/A</v>
      </c>
      <c r="K28" s="10"/>
    </row>
    <row r="29" spans="1:11" x14ac:dyDescent="0.3">
      <c r="A29" s="9"/>
      <c r="B29" s="76" t="s">
        <v>14</v>
      </c>
      <c r="C29" s="76"/>
      <c r="D29" s="76"/>
      <c r="E29" s="76"/>
      <c r="F29" s="76"/>
      <c r="G29" s="76"/>
      <c r="H29" s="95" t="e">
        <f>VLOOKUP($I$9,'COMPILE REPORT'!$1:$1048576,41,0)</f>
        <v>#N/A</v>
      </c>
      <c r="I29" s="95" t="e">
        <f>VLOOKUP($I$9,'COMPILE REPORT'!$1:$1048576,37,0)</f>
        <v>#N/A</v>
      </c>
      <c r="J29" s="95" t="e">
        <f>VLOOKUP($I$9,'COMPILE REPORT'!$1:$1048576,37,0)</f>
        <v>#N/A</v>
      </c>
      <c r="K29" s="10"/>
    </row>
    <row r="30" spans="1:11" x14ac:dyDescent="0.3">
      <c r="A30" s="9"/>
      <c r="B30" s="76" t="s">
        <v>15</v>
      </c>
      <c r="C30" s="76"/>
      <c r="D30" s="76"/>
      <c r="E30" s="76"/>
      <c r="F30" s="76"/>
      <c r="G30" s="76"/>
      <c r="H30" s="95" t="e">
        <f>VLOOKUP($I$9,'COMPILE REPORT'!$1:$1048576,42,0)</f>
        <v>#N/A</v>
      </c>
      <c r="I30" s="95" t="e">
        <f>VLOOKUP($I$9,'COMPILE REPORT'!$1:$1048576,37,0)</f>
        <v>#N/A</v>
      </c>
      <c r="J30" s="95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16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21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85" t="e">
        <f>"Class Teacher's Remark: "&amp;VLOOKUP($I$9,'COMPILE REPORT'!$1:$1048576,45,0)</f>
        <v>#N/A</v>
      </c>
      <c r="C36" s="85"/>
      <c r="D36" s="85"/>
      <c r="E36" s="85"/>
      <c r="F36" s="85"/>
      <c r="G36" s="85"/>
      <c r="H36" s="85"/>
      <c r="I36" s="85"/>
      <c r="J36" s="85"/>
      <c r="K36" s="10"/>
    </row>
    <row r="37" spans="1:11" x14ac:dyDescent="0.3">
      <c r="A37" s="9"/>
      <c r="H37" s="94" t="s">
        <v>92</v>
      </c>
      <c r="I37" s="94"/>
      <c r="J37" s="94"/>
      <c r="K37" s="10"/>
    </row>
    <row r="38" spans="1:11" x14ac:dyDescent="0.3">
      <c r="A38" s="9"/>
      <c r="B38" s="74" t="s">
        <v>72</v>
      </c>
      <c r="C38" s="74"/>
      <c r="H38" s="94" t="s">
        <v>91</v>
      </c>
      <c r="I38" s="94"/>
      <c r="J38" s="94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85" t="s">
        <v>29</v>
      </c>
      <c r="C43" s="85"/>
      <c r="D43" s="85"/>
      <c r="E43" s="18"/>
      <c r="F43" s="18"/>
      <c r="G43" s="18"/>
      <c r="H43" s="86" t="s">
        <v>30</v>
      </c>
      <c r="I43" s="86"/>
      <c r="J43" s="86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  <mergeCell ref="B6:J6"/>
    <mergeCell ref="B7:J7"/>
    <mergeCell ref="B8:J8"/>
    <mergeCell ref="B9:C9"/>
    <mergeCell ref="D9:F9"/>
    <mergeCell ref="G9:H9"/>
    <mergeCell ref="I9:J9"/>
    <mergeCell ref="B1:H1"/>
    <mergeCell ref="B2:J2"/>
    <mergeCell ref="B3:J3"/>
    <mergeCell ref="B4:J4"/>
    <mergeCell ref="B5:J5"/>
    <mergeCell ref="B19:C19"/>
    <mergeCell ref="B20:C20"/>
    <mergeCell ref="B22:B23"/>
    <mergeCell ref="C22:C23"/>
    <mergeCell ref="D22:D23"/>
    <mergeCell ref="H22:I22"/>
    <mergeCell ref="H23:I23"/>
    <mergeCell ref="H27:J27"/>
    <mergeCell ref="B28:G28"/>
    <mergeCell ref="H28:J28"/>
    <mergeCell ref="B29:G29"/>
    <mergeCell ref="H29:J29"/>
    <mergeCell ref="B27:G27"/>
    <mergeCell ref="B30:G30"/>
    <mergeCell ref="H30:J30"/>
    <mergeCell ref="B36:J36"/>
    <mergeCell ref="B43:D43"/>
    <mergeCell ref="H43:J43"/>
    <mergeCell ref="B38:C38"/>
    <mergeCell ref="H37:J37"/>
    <mergeCell ref="H38:J3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2025-07-31T08:20:54Z</cp:lastPrinted>
  <dcterms:created xsi:type="dcterms:W3CDTF">2025-02-01T06:13:17Z</dcterms:created>
  <dcterms:modified xsi:type="dcterms:W3CDTF">2025-08-01T01:58:14Z</dcterms:modified>
</cp:coreProperties>
</file>