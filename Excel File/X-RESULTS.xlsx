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C8920883-D7C6-4F20-8D4C-5464D121FE6F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Pre-Board-I(Entry)" sheetId="29" state="hidden" r:id="rId10"/>
    <sheet name="Pre-Board-I" sheetId="32" state="hidden" r:id="rId11"/>
    <sheet name="Pre-Board-I-Report" sheetId="33" state="hidden" r:id="rId12"/>
    <sheet name="Pre-Board-II(Entry)" sheetId="34" state="hidden" r:id="rId13"/>
    <sheet name="Pre-Board-II" sheetId="35" state="hidden" r:id="rId14"/>
    <sheet name="Pre-Board-II-Report" sheetId="36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C4" i="35"/>
  <c r="P5" i="35"/>
  <c r="Q5" i="35"/>
  <c r="R5" i="35"/>
  <c r="S5" i="35"/>
  <c r="T5" i="35"/>
  <c r="U5" i="35"/>
  <c r="V5" i="35"/>
  <c r="P6" i="35"/>
  <c r="Q6" i="35"/>
  <c r="R6" i="35"/>
  <c r="S6" i="35"/>
  <c r="T6" i="35"/>
  <c r="U6" i="35"/>
  <c r="V6" i="35"/>
  <c r="P7" i="35"/>
  <c r="Q7" i="35"/>
  <c r="R7" i="35"/>
  <c r="S7" i="35"/>
  <c r="T7" i="35"/>
  <c r="U7" i="35"/>
  <c r="V7" i="35"/>
  <c r="P8" i="35"/>
  <c r="Q8" i="35"/>
  <c r="R8" i="35"/>
  <c r="S8" i="35"/>
  <c r="T8" i="35"/>
  <c r="U8" i="35"/>
  <c r="V8" i="35"/>
  <c r="P9" i="35"/>
  <c r="Q9" i="35"/>
  <c r="R9" i="35"/>
  <c r="S9" i="35"/>
  <c r="T9" i="35"/>
  <c r="U9" i="35"/>
  <c r="V9" i="35"/>
  <c r="P10" i="35"/>
  <c r="Q10" i="35"/>
  <c r="R10" i="35"/>
  <c r="S10" i="35"/>
  <c r="T10" i="35"/>
  <c r="U10" i="35"/>
  <c r="V10" i="35"/>
  <c r="P11" i="35"/>
  <c r="Q11" i="35"/>
  <c r="R11" i="35"/>
  <c r="S11" i="35"/>
  <c r="T11" i="35"/>
  <c r="U11" i="35"/>
  <c r="V11" i="35"/>
  <c r="P12" i="35"/>
  <c r="Q12" i="35"/>
  <c r="R12" i="35"/>
  <c r="S12" i="35"/>
  <c r="T12" i="35"/>
  <c r="U12" i="35"/>
  <c r="V12" i="35"/>
  <c r="P13" i="35"/>
  <c r="Q13" i="35"/>
  <c r="R13" i="35"/>
  <c r="S13" i="35"/>
  <c r="T13" i="35"/>
  <c r="U13" i="35"/>
  <c r="V13" i="35"/>
  <c r="P14" i="35"/>
  <c r="Q14" i="35"/>
  <c r="R14" i="35"/>
  <c r="S14" i="35"/>
  <c r="T14" i="35"/>
  <c r="U14" i="35"/>
  <c r="V14" i="35"/>
  <c r="P15" i="35"/>
  <c r="Q15" i="35"/>
  <c r="R15" i="35"/>
  <c r="S15" i="35"/>
  <c r="T15" i="35"/>
  <c r="U15" i="35"/>
  <c r="V15" i="35"/>
  <c r="P16" i="35"/>
  <c r="Q16" i="35"/>
  <c r="R16" i="35"/>
  <c r="S16" i="35"/>
  <c r="T16" i="35"/>
  <c r="U16" i="35"/>
  <c r="V16" i="35"/>
  <c r="P17" i="35"/>
  <c r="Q17" i="35"/>
  <c r="R17" i="35"/>
  <c r="S17" i="35"/>
  <c r="T17" i="35"/>
  <c r="U17" i="35"/>
  <c r="V17" i="35"/>
  <c r="P18" i="35"/>
  <c r="Q18" i="35"/>
  <c r="R18" i="35"/>
  <c r="S18" i="35"/>
  <c r="T18" i="35"/>
  <c r="U18" i="35"/>
  <c r="V18" i="35"/>
  <c r="P19" i="35"/>
  <c r="Q19" i="35"/>
  <c r="R19" i="35"/>
  <c r="S19" i="35"/>
  <c r="T19" i="35"/>
  <c r="U19" i="35"/>
  <c r="V19" i="35"/>
  <c r="P20" i="35"/>
  <c r="Q20" i="35"/>
  <c r="R20" i="35"/>
  <c r="S20" i="35"/>
  <c r="T20" i="35"/>
  <c r="U20" i="35"/>
  <c r="V20" i="35"/>
  <c r="P21" i="35"/>
  <c r="Q21" i="35"/>
  <c r="R21" i="35"/>
  <c r="S21" i="35"/>
  <c r="T21" i="35"/>
  <c r="U21" i="35"/>
  <c r="V21" i="35"/>
  <c r="P22" i="35"/>
  <c r="Q22" i="35"/>
  <c r="R22" i="35"/>
  <c r="S22" i="35"/>
  <c r="T22" i="35"/>
  <c r="U22" i="35"/>
  <c r="V22" i="35"/>
  <c r="P23" i="35"/>
  <c r="Q23" i="35"/>
  <c r="R23" i="35"/>
  <c r="S23" i="35"/>
  <c r="T23" i="35"/>
  <c r="U23" i="35"/>
  <c r="V23" i="35"/>
  <c r="P24" i="35"/>
  <c r="Q24" i="35"/>
  <c r="R24" i="35"/>
  <c r="S24" i="35"/>
  <c r="T24" i="35"/>
  <c r="U24" i="35"/>
  <c r="V24" i="35"/>
  <c r="P25" i="35"/>
  <c r="Q25" i="35"/>
  <c r="R25" i="35"/>
  <c r="S25" i="35"/>
  <c r="T25" i="35"/>
  <c r="U25" i="35"/>
  <c r="V25" i="35"/>
  <c r="P26" i="35"/>
  <c r="Q26" i="35"/>
  <c r="R26" i="35"/>
  <c r="S26" i="35"/>
  <c r="T26" i="35"/>
  <c r="U26" i="35"/>
  <c r="V26" i="35"/>
  <c r="P27" i="35"/>
  <c r="Q27" i="35"/>
  <c r="R27" i="35"/>
  <c r="S27" i="35"/>
  <c r="T27" i="35"/>
  <c r="U27" i="35"/>
  <c r="V27" i="35"/>
  <c r="P28" i="35"/>
  <c r="Q28" i="35"/>
  <c r="R28" i="35"/>
  <c r="S28" i="35"/>
  <c r="T28" i="35"/>
  <c r="U28" i="35"/>
  <c r="V28" i="35"/>
  <c r="P29" i="35"/>
  <c r="Q29" i="35"/>
  <c r="R29" i="35"/>
  <c r="S29" i="35"/>
  <c r="T29" i="35"/>
  <c r="U29" i="35"/>
  <c r="V29" i="35"/>
  <c r="P30" i="35"/>
  <c r="Q30" i="35"/>
  <c r="R30" i="35"/>
  <c r="S30" i="35"/>
  <c r="T30" i="35"/>
  <c r="U30" i="35"/>
  <c r="V30" i="35"/>
  <c r="P31" i="35"/>
  <c r="Q31" i="35"/>
  <c r="R31" i="35"/>
  <c r="S31" i="35"/>
  <c r="T31" i="35"/>
  <c r="U31" i="35"/>
  <c r="V31" i="35"/>
  <c r="P32" i="35"/>
  <c r="Q32" i="35"/>
  <c r="R32" i="35"/>
  <c r="S32" i="35"/>
  <c r="T32" i="35"/>
  <c r="U32" i="35"/>
  <c r="V32" i="35"/>
  <c r="P33" i="35"/>
  <c r="Q33" i="35"/>
  <c r="R33" i="35"/>
  <c r="S33" i="35"/>
  <c r="T33" i="35"/>
  <c r="U33" i="35"/>
  <c r="V33" i="35"/>
  <c r="P34" i="35"/>
  <c r="Q34" i="35"/>
  <c r="R34" i="35"/>
  <c r="S34" i="35"/>
  <c r="T34" i="35"/>
  <c r="U34" i="35"/>
  <c r="V34" i="35"/>
  <c r="P35" i="35"/>
  <c r="Q35" i="35"/>
  <c r="R35" i="35"/>
  <c r="S35" i="35"/>
  <c r="T35" i="35"/>
  <c r="U35" i="35"/>
  <c r="V35" i="35"/>
  <c r="P36" i="35"/>
  <c r="Q36" i="35"/>
  <c r="R36" i="35"/>
  <c r="S36" i="35"/>
  <c r="T36" i="35"/>
  <c r="U36" i="35"/>
  <c r="V36" i="35"/>
  <c r="P37" i="35"/>
  <c r="Q37" i="35"/>
  <c r="R37" i="35"/>
  <c r="S37" i="35"/>
  <c r="T37" i="35"/>
  <c r="U37" i="35"/>
  <c r="V37" i="35"/>
  <c r="P38" i="35"/>
  <c r="Q38" i="35"/>
  <c r="R38" i="35"/>
  <c r="S38" i="35"/>
  <c r="T38" i="35"/>
  <c r="U38" i="35"/>
  <c r="V38" i="35"/>
  <c r="P39" i="35"/>
  <c r="Q39" i="35"/>
  <c r="R39" i="35"/>
  <c r="S39" i="35"/>
  <c r="T39" i="35"/>
  <c r="U39" i="35"/>
  <c r="V39" i="35"/>
  <c r="P40" i="35"/>
  <c r="Q40" i="35"/>
  <c r="R40" i="35"/>
  <c r="S40" i="35"/>
  <c r="T40" i="35"/>
  <c r="U40" i="35"/>
  <c r="V40" i="35"/>
  <c r="P41" i="35"/>
  <c r="Q41" i="35"/>
  <c r="R41" i="35"/>
  <c r="S41" i="35"/>
  <c r="T41" i="35"/>
  <c r="U41" i="35"/>
  <c r="V41" i="35"/>
  <c r="P42" i="35"/>
  <c r="Q42" i="35"/>
  <c r="R42" i="35"/>
  <c r="S42" i="35"/>
  <c r="T42" i="35"/>
  <c r="U42" i="35"/>
  <c r="V42" i="35"/>
  <c r="P43" i="35"/>
  <c r="Q43" i="35"/>
  <c r="R43" i="35"/>
  <c r="S43" i="35"/>
  <c r="T43" i="35"/>
  <c r="U43" i="35"/>
  <c r="V43" i="35"/>
  <c r="P44" i="35"/>
  <c r="Q44" i="35"/>
  <c r="R44" i="35"/>
  <c r="S44" i="35"/>
  <c r="T44" i="35"/>
  <c r="U44" i="35"/>
  <c r="V44" i="35"/>
  <c r="P45" i="35"/>
  <c r="Q45" i="35"/>
  <c r="R45" i="35"/>
  <c r="S45" i="35"/>
  <c r="T45" i="35"/>
  <c r="U45" i="35"/>
  <c r="V45" i="35"/>
  <c r="P46" i="35"/>
  <c r="Q46" i="35"/>
  <c r="R46" i="35"/>
  <c r="S46" i="35"/>
  <c r="T46" i="35"/>
  <c r="U46" i="35"/>
  <c r="V46" i="35"/>
  <c r="Q4" i="35"/>
  <c r="R4" i="35"/>
  <c r="S4" i="35"/>
  <c r="T4" i="35"/>
  <c r="U4" i="35"/>
  <c r="P4" i="35"/>
  <c r="C5" i="35"/>
  <c r="D5" i="35"/>
  <c r="E5" i="35"/>
  <c r="F5" i="35"/>
  <c r="G5" i="35"/>
  <c r="H5" i="35"/>
  <c r="I5" i="35"/>
  <c r="J5" i="35"/>
  <c r="K5" i="35"/>
  <c r="L5" i="35"/>
  <c r="M5" i="35"/>
  <c r="N5" i="35"/>
  <c r="C6" i="35"/>
  <c r="D6" i="35"/>
  <c r="E6" i="35"/>
  <c r="F6" i="35"/>
  <c r="G6" i="35"/>
  <c r="H6" i="35"/>
  <c r="I6" i="35"/>
  <c r="J6" i="35"/>
  <c r="K6" i="35"/>
  <c r="L6" i="35"/>
  <c r="M6" i="35"/>
  <c r="N6" i="35"/>
  <c r="C7" i="35"/>
  <c r="D7" i="35"/>
  <c r="E7" i="35"/>
  <c r="F7" i="35"/>
  <c r="G7" i="35"/>
  <c r="H7" i="35"/>
  <c r="I7" i="35"/>
  <c r="J7" i="35"/>
  <c r="K7" i="35"/>
  <c r="L7" i="35"/>
  <c r="M7" i="35"/>
  <c r="N7" i="35"/>
  <c r="C8" i="35"/>
  <c r="D8" i="35"/>
  <c r="E8" i="35"/>
  <c r="F8" i="35"/>
  <c r="G8" i="35"/>
  <c r="H8" i="35"/>
  <c r="I8" i="35"/>
  <c r="J8" i="35"/>
  <c r="K8" i="35"/>
  <c r="L8" i="35"/>
  <c r="M8" i="35"/>
  <c r="N8" i="35"/>
  <c r="C9" i="35"/>
  <c r="D9" i="35"/>
  <c r="E9" i="35"/>
  <c r="F9" i="35"/>
  <c r="G9" i="35"/>
  <c r="H9" i="35"/>
  <c r="I9" i="35"/>
  <c r="J9" i="35"/>
  <c r="K9" i="35"/>
  <c r="L9" i="35"/>
  <c r="M9" i="35"/>
  <c r="N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D4" i="35"/>
  <c r="E4" i="35"/>
  <c r="F4" i="35"/>
  <c r="G4" i="35"/>
  <c r="H4" i="35"/>
  <c r="I4" i="35"/>
  <c r="J4" i="35"/>
  <c r="K4" i="35"/>
  <c r="L4" i="35"/>
  <c r="M4" i="35"/>
  <c r="N4" i="35"/>
  <c r="K11" i="36"/>
  <c r="C11" i="36"/>
  <c r="K10" i="36"/>
  <c r="C10" i="36"/>
  <c r="C9" i="36"/>
  <c r="B46" i="35"/>
  <c r="A46" i="35"/>
  <c r="B45" i="35"/>
  <c r="A45" i="35"/>
  <c r="B44" i="35"/>
  <c r="A44" i="35"/>
  <c r="B43" i="35"/>
  <c r="A43" i="35"/>
  <c r="B42" i="35"/>
  <c r="A42" i="35"/>
  <c r="B41" i="35"/>
  <c r="A41" i="35"/>
  <c r="B40" i="35"/>
  <c r="A40" i="35"/>
  <c r="B39" i="35"/>
  <c r="A39" i="35"/>
  <c r="B38" i="35"/>
  <c r="A38" i="35"/>
  <c r="B37" i="35"/>
  <c r="A37" i="35"/>
  <c r="B36" i="35"/>
  <c r="A36" i="35"/>
  <c r="B35" i="35"/>
  <c r="A35" i="35"/>
  <c r="B34" i="35"/>
  <c r="A34" i="35"/>
  <c r="B33" i="35"/>
  <c r="A33" i="35"/>
  <c r="B32" i="35"/>
  <c r="A32" i="35"/>
  <c r="B31" i="35"/>
  <c r="A31" i="35"/>
  <c r="B30" i="35"/>
  <c r="A30" i="35"/>
  <c r="B29" i="35"/>
  <c r="A29" i="35"/>
  <c r="B28" i="35"/>
  <c r="A28" i="35"/>
  <c r="B27" i="35"/>
  <c r="A27" i="35"/>
  <c r="B26" i="35"/>
  <c r="A26" i="35"/>
  <c r="B25" i="35"/>
  <c r="A25" i="35"/>
  <c r="B24" i="35"/>
  <c r="A24" i="35"/>
  <c r="B23" i="35"/>
  <c r="A23" i="35"/>
  <c r="B22" i="35"/>
  <c r="A22" i="35"/>
  <c r="B21" i="35"/>
  <c r="A21" i="35"/>
  <c r="B20" i="35"/>
  <c r="A20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4" i="35"/>
  <c r="A4" i="35"/>
  <c r="O46" i="34"/>
  <c r="B46" i="34"/>
  <c r="A46" i="34"/>
  <c r="O45" i="34"/>
  <c r="B45" i="34"/>
  <c r="A45" i="34"/>
  <c r="O44" i="34"/>
  <c r="B44" i="34"/>
  <c r="A44" i="34"/>
  <c r="O43" i="34"/>
  <c r="B43" i="34"/>
  <c r="A43" i="34"/>
  <c r="O42" i="34"/>
  <c r="B42" i="34"/>
  <c r="A42" i="34"/>
  <c r="O41" i="34"/>
  <c r="B41" i="34"/>
  <c r="A41" i="34"/>
  <c r="O40" i="34"/>
  <c r="B40" i="34"/>
  <c r="A40" i="34"/>
  <c r="O39" i="34"/>
  <c r="B39" i="34"/>
  <c r="A39" i="34"/>
  <c r="O38" i="34"/>
  <c r="B38" i="34"/>
  <c r="A38" i="34"/>
  <c r="O37" i="34"/>
  <c r="B37" i="34"/>
  <c r="A37" i="34"/>
  <c r="O36" i="34"/>
  <c r="B36" i="34"/>
  <c r="A36" i="34"/>
  <c r="O35" i="34"/>
  <c r="B35" i="34"/>
  <c r="A35" i="34"/>
  <c r="O34" i="34"/>
  <c r="B34" i="34"/>
  <c r="A34" i="34"/>
  <c r="O33" i="34"/>
  <c r="B33" i="34"/>
  <c r="A33" i="34"/>
  <c r="O32" i="34"/>
  <c r="B32" i="34"/>
  <c r="A32" i="34"/>
  <c r="O31" i="34"/>
  <c r="B31" i="34"/>
  <c r="A31" i="34"/>
  <c r="O30" i="34"/>
  <c r="B30" i="34"/>
  <c r="A30" i="34"/>
  <c r="O29" i="34"/>
  <c r="B29" i="34"/>
  <c r="A29" i="34"/>
  <c r="O28" i="34"/>
  <c r="B28" i="34"/>
  <c r="A28" i="34"/>
  <c r="O27" i="34"/>
  <c r="B27" i="34"/>
  <c r="A27" i="34"/>
  <c r="O26" i="34"/>
  <c r="B26" i="34"/>
  <c r="A26" i="34"/>
  <c r="O25" i="34"/>
  <c r="B25" i="34"/>
  <c r="A25" i="34"/>
  <c r="O24" i="34"/>
  <c r="B24" i="34"/>
  <c r="A24" i="34"/>
  <c r="O23" i="34"/>
  <c r="B23" i="34"/>
  <c r="A23" i="34"/>
  <c r="O22" i="34"/>
  <c r="B22" i="34"/>
  <c r="A22" i="34"/>
  <c r="O21" i="34"/>
  <c r="B21" i="34"/>
  <c r="A21" i="34"/>
  <c r="O20" i="34"/>
  <c r="B20" i="34"/>
  <c r="A20" i="34"/>
  <c r="O19" i="34"/>
  <c r="B19" i="34"/>
  <c r="A19" i="34"/>
  <c r="O18" i="34"/>
  <c r="B18" i="34"/>
  <c r="A18" i="34"/>
  <c r="O17" i="34"/>
  <c r="B17" i="34"/>
  <c r="A17" i="34"/>
  <c r="O16" i="34"/>
  <c r="B16" i="34"/>
  <c r="A16" i="34"/>
  <c r="O15" i="34"/>
  <c r="B15" i="34"/>
  <c r="A15" i="34"/>
  <c r="O14" i="34"/>
  <c r="B14" i="34"/>
  <c r="A14" i="34"/>
  <c r="O13" i="34"/>
  <c r="B13" i="34"/>
  <c r="A13" i="34"/>
  <c r="O12" i="34"/>
  <c r="B12" i="34"/>
  <c r="A12" i="34"/>
  <c r="O11" i="34"/>
  <c r="B11" i="34"/>
  <c r="A11" i="34"/>
  <c r="O10" i="34"/>
  <c r="B10" i="34"/>
  <c r="A10" i="34"/>
  <c r="O9" i="34"/>
  <c r="B9" i="34"/>
  <c r="A9" i="34"/>
  <c r="O8" i="34"/>
  <c r="B8" i="34"/>
  <c r="A8" i="34"/>
  <c r="O7" i="34"/>
  <c r="B7" i="34"/>
  <c r="A7" i="34"/>
  <c r="O6" i="34"/>
  <c r="B6" i="34"/>
  <c r="A6" i="34"/>
  <c r="O5" i="34"/>
  <c r="B5" i="34"/>
  <c r="A5" i="34"/>
  <c r="O4" i="34"/>
  <c r="B4" i="34"/>
  <c r="A4" i="34"/>
  <c r="K11" i="33"/>
  <c r="C11" i="33"/>
  <c r="K10" i="33"/>
  <c r="C10" i="33"/>
  <c r="C9" i="33"/>
  <c r="P5" i="32"/>
  <c r="Q5" i="32"/>
  <c r="R5" i="32"/>
  <c r="S5" i="32"/>
  <c r="T5" i="32"/>
  <c r="U5" i="32"/>
  <c r="V5" i="32"/>
  <c r="P6" i="32"/>
  <c r="Q6" i="32"/>
  <c r="R6" i="32"/>
  <c r="S6" i="32"/>
  <c r="T6" i="32"/>
  <c r="U6" i="32"/>
  <c r="V6" i="32"/>
  <c r="P7" i="32"/>
  <c r="Q7" i="32"/>
  <c r="R7" i="32"/>
  <c r="S7" i="32"/>
  <c r="T7" i="32"/>
  <c r="U7" i="32"/>
  <c r="V7" i="32"/>
  <c r="P8" i="32"/>
  <c r="Q8" i="32"/>
  <c r="R8" i="32"/>
  <c r="S8" i="32"/>
  <c r="T8" i="32"/>
  <c r="U8" i="32"/>
  <c r="V8" i="32"/>
  <c r="P9" i="32"/>
  <c r="Q9" i="32"/>
  <c r="R9" i="32"/>
  <c r="S9" i="32"/>
  <c r="T9" i="32"/>
  <c r="U9" i="32"/>
  <c r="V9" i="32"/>
  <c r="P10" i="32"/>
  <c r="Q10" i="32"/>
  <c r="R10" i="32"/>
  <c r="S10" i="32"/>
  <c r="T10" i="32"/>
  <c r="U10" i="32"/>
  <c r="V10" i="32"/>
  <c r="P11" i="32"/>
  <c r="Q11" i="32"/>
  <c r="R11" i="32"/>
  <c r="S11" i="32"/>
  <c r="T11" i="32"/>
  <c r="U11" i="32"/>
  <c r="V11" i="32"/>
  <c r="P12" i="32"/>
  <c r="Q12" i="32"/>
  <c r="R12" i="32"/>
  <c r="S12" i="32"/>
  <c r="T12" i="32"/>
  <c r="U12" i="32"/>
  <c r="V12" i="32"/>
  <c r="P13" i="32"/>
  <c r="Q13" i="32"/>
  <c r="R13" i="32"/>
  <c r="S13" i="32"/>
  <c r="T13" i="32"/>
  <c r="U13" i="32"/>
  <c r="V13" i="32"/>
  <c r="P14" i="32"/>
  <c r="Q14" i="32"/>
  <c r="R14" i="32"/>
  <c r="S14" i="32"/>
  <c r="T14" i="32"/>
  <c r="U14" i="32"/>
  <c r="V14" i="32"/>
  <c r="P15" i="32"/>
  <c r="Q15" i="32"/>
  <c r="R15" i="32"/>
  <c r="S15" i="32"/>
  <c r="T15" i="32"/>
  <c r="U15" i="32"/>
  <c r="V15" i="32"/>
  <c r="P16" i="32"/>
  <c r="Q16" i="32"/>
  <c r="R16" i="32"/>
  <c r="S16" i="32"/>
  <c r="T16" i="32"/>
  <c r="U16" i="32"/>
  <c r="V16" i="32"/>
  <c r="P17" i="32"/>
  <c r="Q17" i="32"/>
  <c r="R17" i="32"/>
  <c r="S17" i="32"/>
  <c r="T17" i="32"/>
  <c r="U17" i="32"/>
  <c r="V17" i="32"/>
  <c r="P18" i="32"/>
  <c r="Q18" i="32"/>
  <c r="R18" i="32"/>
  <c r="S18" i="32"/>
  <c r="T18" i="32"/>
  <c r="U18" i="32"/>
  <c r="V18" i="32"/>
  <c r="P19" i="32"/>
  <c r="Q19" i="32"/>
  <c r="R19" i="32"/>
  <c r="S19" i="32"/>
  <c r="T19" i="32"/>
  <c r="U19" i="32"/>
  <c r="V19" i="32"/>
  <c r="P20" i="32"/>
  <c r="Q20" i="32"/>
  <c r="R20" i="32"/>
  <c r="S20" i="32"/>
  <c r="T20" i="32"/>
  <c r="U20" i="32"/>
  <c r="V20" i="32"/>
  <c r="P21" i="32"/>
  <c r="Q21" i="32"/>
  <c r="R21" i="32"/>
  <c r="S21" i="32"/>
  <c r="T21" i="32"/>
  <c r="U21" i="32"/>
  <c r="V21" i="32"/>
  <c r="P22" i="32"/>
  <c r="Q22" i="32"/>
  <c r="R22" i="32"/>
  <c r="S22" i="32"/>
  <c r="T22" i="32"/>
  <c r="U22" i="32"/>
  <c r="V22" i="32"/>
  <c r="P23" i="32"/>
  <c r="Q23" i="32"/>
  <c r="R23" i="32"/>
  <c r="S23" i="32"/>
  <c r="T23" i="32"/>
  <c r="U23" i="32"/>
  <c r="V23" i="32"/>
  <c r="P24" i="32"/>
  <c r="Q24" i="32"/>
  <c r="R24" i="32"/>
  <c r="S24" i="32"/>
  <c r="T24" i="32"/>
  <c r="U24" i="32"/>
  <c r="V24" i="32"/>
  <c r="P25" i="32"/>
  <c r="Q25" i="32"/>
  <c r="R25" i="32"/>
  <c r="S25" i="32"/>
  <c r="T25" i="32"/>
  <c r="U25" i="32"/>
  <c r="V25" i="32"/>
  <c r="P26" i="32"/>
  <c r="Q26" i="32"/>
  <c r="R26" i="32"/>
  <c r="S26" i="32"/>
  <c r="T26" i="32"/>
  <c r="U26" i="32"/>
  <c r="V26" i="32"/>
  <c r="P27" i="32"/>
  <c r="Q27" i="32"/>
  <c r="R27" i="32"/>
  <c r="S27" i="32"/>
  <c r="T27" i="32"/>
  <c r="U27" i="32"/>
  <c r="V27" i="32"/>
  <c r="P28" i="32"/>
  <c r="Q28" i="32"/>
  <c r="R28" i="32"/>
  <c r="S28" i="32"/>
  <c r="T28" i="32"/>
  <c r="U28" i="32"/>
  <c r="V28" i="32"/>
  <c r="P29" i="32"/>
  <c r="Q29" i="32"/>
  <c r="R29" i="32"/>
  <c r="S29" i="32"/>
  <c r="T29" i="32"/>
  <c r="U29" i="32"/>
  <c r="V29" i="32"/>
  <c r="P30" i="32"/>
  <c r="Q30" i="32"/>
  <c r="R30" i="32"/>
  <c r="S30" i="32"/>
  <c r="T30" i="32"/>
  <c r="U30" i="32"/>
  <c r="V30" i="32"/>
  <c r="P31" i="32"/>
  <c r="Q31" i="32"/>
  <c r="R31" i="32"/>
  <c r="S31" i="32"/>
  <c r="T31" i="32"/>
  <c r="U31" i="32"/>
  <c r="V31" i="32"/>
  <c r="P32" i="32"/>
  <c r="Q32" i="32"/>
  <c r="R32" i="32"/>
  <c r="S32" i="32"/>
  <c r="T32" i="32"/>
  <c r="U32" i="32"/>
  <c r="V32" i="32"/>
  <c r="P33" i="32"/>
  <c r="Q33" i="32"/>
  <c r="R33" i="32"/>
  <c r="S33" i="32"/>
  <c r="T33" i="32"/>
  <c r="U33" i="32"/>
  <c r="V33" i="32"/>
  <c r="P34" i="32"/>
  <c r="Q34" i="32"/>
  <c r="R34" i="32"/>
  <c r="S34" i="32"/>
  <c r="T34" i="32"/>
  <c r="U34" i="32"/>
  <c r="V34" i="32"/>
  <c r="P35" i="32"/>
  <c r="Q35" i="32"/>
  <c r="R35" i="32"/>
  <c r="S35" i="32"/>
  <c r="T35" i="32"/>
  <c r="U35" i="32"/>
  <c r="V35" i="32"/>
  <c r="P36" i="32"/>
  <c r="Q36" i="32"/>
  <c r="R36" i="32"/>
  <c r="S36" i="32"/>
  <c r="T36" i="32"/>
  <c r="U36" i="32"/>
  <c r="V36" i="32"/>
  <c r="P37" i="32"/>
  <c r="Q37" i="32"/>
  <c r="R37" i="32"/>
  <c r="S37" i="32"/>
  <c r="T37" i="32"/>
  <c r="U37" i="32"/>
  <c r="V37" i="32"/>
  <c r="P38" i="32"/>
  <c r="Q38" i="32"/>
  <c r="R38" i="32"/>
  <c r="S38" i="32"/>
  <c r="T38" i="32"/>
  <c r="U38" i="32"/>
  <c r="V38" i="32"/>
  <c r="P39" i="32"/>
  <c r="Q39" i="32"/>
  <c r="R39" i="32"/>
  <c r="S39" i="32"/>
  <c r="T39" i="32"/>
  <c r="U39" i="32"/>
  <c r="V39" i="32"/>
  <c r="P40" i="32"/>
  <c r="Q40" i="32"/>
  <c r="R40" i="32"/>
  <c r="S40" i="32"/>
  <c r="T40" i="32"/>
  <c r="U40" i="32"/>
  <c r="V40" i="32"/>
  <c r="P41" i="32"/>
  <c r="Q41" i="32"/>
  <c r="R41" i="32"/>
  <c r="S41" i="32"/>
  <c r="T41" i="32"/>
  <c r="U41" i="32"/>
  <c r="V41" i="32"/>
  <c r="P42" i="32"/>
  <c r="Q42" i="32"/>
  <c r="R42" i="32"/>
  <c r="S42" i="32"/>
  <c r="T42" i="32"/>
  <c r="U42" i="32"/>
  <c r="V42" i="32"/>
  <c r="P43" i="32"/>
  <c r="Q43" i="32"/>
  <c r="R43" i="32"/>
  <c r="S43" i="32"/>
  <c r="T43" i="32"/>
  <c r="U43" i="32"/>
  <c r="V43" i="32"/>
  <c r="P44" i="32"/>
  <c r="Q44" i="32"/>
  <c r="R44" i="32"/>
  <c r="S44" i="32"/>
  <c r="T44" i="32"/>
  <c r="U44" i="32"/>
  <c r="V44" i="32"/>
  <c r="P45" i="32"/>
  <c r="Q45" i="32"/>
  <c r="R45" i="32"/>
  <c r="S45" i="32"/>
  <c r="T45" i="32"/>
  <c r="U45" i="32"/>
  <c r="V45" i="32"/>
  <c r="P46" i="32"/>
  <c r="Q46" i="32"/>
  <c r="R46" i="32"/>
  <c r="S46" i="32"/>
  <c r="T46" i="32"/>
  <c r="U46" i="32"/>
  <c r="V46" i="32"/>
  <c r="Q4" i="32"/>
  <c r="R4" i="32"/>
  <c r="S4" i="32"/>
  <c r="T4" i="32"/>
  <c r="U4" i="32"/>
  <c r="V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C6" i="32"/>
  <c r="D6" i="32"/>
  <c r="E6" i="32"/>
  <c r="F6" i="32"/>
  <c r="G6" i="32"/>
  <c r="H6" i="32"/>
  <c r="I6" i="32"/>
  <c r="J6" i="32"/>
  <c r="K6" i="32"/>
  <c r="L6" i="32"/>
  <c r="M6" i="32"/>
  <c r="N6" i="32"/>
  <c r="C7" i="32"/>
  <c r="D7" i="32"/>
  <c r="E7" i="32"/>
  <c r="F7" i="32"/>
  <c r="G7" i="32"/>
  <c r="H7" i="32"/>
  <c r="I7" i="32"/>
  <c r="J7" i="32"/>
  <c r="K7" i="32"/>
  <c r="L7" i="32"/>
  <c r="M7" i="32"/>
  <c r="N7" i="32"/>
  <c r="C8" i="32"/>
  <c r="D8" i="32"/>
  <c r="E8" i="32"/>
  <c r="F8" i="32"/>
  <c r="G8" i="32"/>
  <c r="H8" i="32"/>
  <c r="I8" i="32"/>
  <c r="J8" i="32"/>
  <c r="K8" i="32"/>
  <c r="L8" i="32"/>
  <c r="M8" i="32"/>
  <c r="N8" i="32"/>
  <c r="C9" i="32"/>
  <c r="D9" i="32"/>
  <c r="E9" i="32"/>
  <c r="F9" i="32"/>
  <c r="G9" i="32"/>
  <c r="H9" i="32"/>
  <c r="I9" i="32"/>
  <c r="J9" i="32"/>
  <c r="K9" i="32"/>
  <c r="L9" i="32"/>
  <c r="M9" i="32"/>
  <c r="N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C32" i="32"/>
  <c r="D32" i="32"/>
  <c r="E32" i="32"/>
  <c r="F32" i="32"/>
  <c r="G32" i="32"/>
  <c r="H32" i="32"/>
  <c r="I32" i="32"/>
  <c r="J32" i="32"/>
  <c r="K32" i="32"/>
  <c r="L32" i="32"/>
  <c r="M32" i="32"/>
  <c r="N32" i="32"/>
  <c r="C33" i="32"/>
  <c r="D33" i="32"/>
  <c r="E33" i="32"/>
  <c r="F33" i="32"/>
  <c r="G33" i="32"/>
  <c r="H33" i="32"/>
  <c r="I33" i="32"/>
  <c r="J33" i="32"/>
  <c r="K33" i="32"/>
  <c r="L33" i="32"/>
  <c r="M33" i="32"/>
  <c r="N33" i="32"/>
  <c r="C34" i="32"/>
  <c r="D34" i="32"/>
  <c r="E34" i="32"/>
  <c r="F34" i="32"/>
  <c r="G34" i="32"/>
  <c r="H34" i="32"/>
  <c r="I34" i="32"/>
  <c r="J34" i="32"/>
  <c r="K34" i="32"/>
  <c r="L34" i="32"/>
  <c r="M34" i="32"/>
  <c r="N34" i="32"/>
  <c r="C35" i="32"/>
  <c r="D35" i="32"/>
  <c r="E35" i="32"/>
  <c r="F35" i="32"/>
  <c r="G35" i="32"/>
  <c r="H35" i="32"/>
  <c r="I35" i="32"/>
  <c r="J35" i="32"/>
  <c r="K35" i="32"/>
  <c r="L35" i="32"/>
  <c r="M35" i="32"/>
  <c r="N35" i="32"/>
  <c r="C36" i="32"/>
  <c r="D36" i="32"/>
  <c r="E36" i="32"/>
  <c r="F36" i="32"/>
  <c r="G36" i="32"/>
  <c r="H36" i="32"/>
  <c r="I36" i="32"/>
  <c r="J36" i="32"/>
  <c r="K36" i="32"/>
  <c r="L36" i="32"/>
  <c r="M36" i="32"/>
  <c r="N36" i="32"/>
  <c r="C37" i="32"/>
  <c r="D37" i="32"/>
  <c r="E37" i="32"/>
  <c r="F37" i="32"/>
  <c r="G37" i="32"/>
  <c r="H37" i="32"/>
  <c r="I37" i="32"/>
  <c r="J37" i="32"/>
  <c r="K37" i="32"/>
  <c r="L37" i="32"/>
  <c r="M37" i="32"/>
  <c r="N37" i="32"/>
  <c r="C38" i="32"/>
  <c r="D38" i="32"/>
  <c r="E38" i="32"/>
  <c r="F38" i="32"/>
  <c r="G38" i="32"/>
  <c r="H38" i="32"/>
  <c r="I38" i="32"/>
  <c r="J38" i="32"/>
  <c r="K38" i="32"/>
  <c r="L38" i="32"/>
  <c r="M38" i="32"/>
  <c r="N38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C40" i="32"/>
  <c r="D40" i="32"/>
  <c r="E40" i="32"/>
  <c r="F40" i="32"/>
  <c r="G40" i="32"/>
  <c r="H40" i="32"/>
  <c r="I40" i="32"/>
  <c r="J40" i="32"/>
  <c r="K40" i="32"/>
  <c r="L40" i="32"/>
  <c r="M40" i="32"/>
  <c r="N40" i="32"/>
  <c r="C41" i="32"/>
  <c r="D41" i="32"/>
  <c r="E41" i="32"/>
  <c r="F41" i="32"/>
  <c r="G41" i="32"/>
  <c r="H41" i="32"/>
  <c r="I41" i="32"/>
  <c r="J41" i="32"/>
  <c r="K41" i="32"/>
  <c r="L41" i="32"/>
  <c r="M41" i="32"/>
  <c r="N41" i="32"/>
  <c r="C42" i="32"/>
  <c r="D42" i="32"/>
  <c r="E42" i="32"/>
  <c r="F42" i="32"/>
  <c r="G42" i="32"/>
  <c r="H42" i="32"/>
  <c r="I42" i="32"/>
  <c r="J42" i="32"/>
  <c r="K42" i="32"/>
  <c r="L42" i="32"/>
  <c r="M42" i="32"/>
  <c r="N42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C44" i="32"/>
  <c r="D44" i="32"/>
  <c r="E44" i="32"/>
  <c r="F44" i="32"/>
  <c r="G44" i="32"/>
  <c r="H44" i="32"/>
  <c r="I44" i="32"/>
  <c r="J44" i="32"/>
  <c r="K44" i="32"/>
  <c r="L44" i="32"/>
  <c r="M44" i="32"/>
  <c r="N44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C46" i="32"/>
  <c r="D46" i="32"/>
  <c r="E46" i="32"/>
  <c r="F46" i="32"/>
  <c r="G46" i="32"/>
  <c r="H46" i="32"/>
  <c r="I46" i="32"/>
  <c r="J46" i="32"/>
  <c r="K46" i="32"/>
  <c r="L46" i="32"/>
  <c r="M46" i="32"/>
  <c r="N46" i="32"/>
  <c r="D4" i="32"/>
  <c r="E4" i="32"/>
  <c r="F4" i="32"/>
  <c r="G4" i="32"/>
  <c r="H4" i="32"/>
  <c r="I4" i="32"/>
  <c r="J4" i="32"/>
  <c r="K4" i="32"/>
  <c r="L4" i="32"/>
  <c r="M4" i="32"/>
  <c r="N4" i="32"/>
  <c r="C4" i="32"/>
  <c r="B46" i="32"/>
  <c r="A46" i="32"/>
  <c r="B45" i="32"/>
  <c r="A45" i="32"/>
  <c r="B44" i="32"/>
  <c r="A44" i="32"/>
  <c r="B43" i="32"/>
  <c r="A43" i="32"/>
  <c r="B42" i="32"/>
  <c r="A42" i="32"/>
  <c r="B41" i="32"/>
  <c r="A41" i="32"/>
  <c r="B40" i="32"/>
  <c r="A40" i="32"/>
  <c r="B39" i="32"/>
  <c r="A39" i="32"/>
  <c r="B38" i="32"/>
  <c r="A38" i="32"/>
  <c r="B37" i="32"/>
  <c r="A37" i="32"/>
  <c r="B36" i="32"/>
  <c r="A36" i="32"/>
  <c r="B35" i="32"/>
  <c r="A35" i="32"/>
  <c r="B34" i="32"/>
  <c r="A34" i="32"/>
  <c r="B33" i="32"/>
  <c r="A33" i="32"/>
  <c r="B32" i="32"/>
  <c r="A32" i="32"/>
  <c r="B31" i="32"/>
  <c r="A31" i="32"/>
  <c r="B30" i="32"/>
  <c r="A30" i="32"/>
  <c r="B29" i="32"/>
  <c r="A29" i="32"/>
  <c r="B28" i="32"/>
  <c r="A28" i="32"/>
  <c r="B27" i="32"/>
  <c r="A27" i="32"/>
  <c r="B26" i="32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  <c r="B10" i="32"/>
  <c r="A10" i="32"/>
  <c r="B9" i="32"/>
  <c r="A9" i="32"/>
  <c r="B8" i="32"/>
  <c r="A8" i="32"/>
  <c r="B7" i="32"/>
  <c r="A7" i="32"/>
  <c r="B6" i="32"/>
  <c r="A6" i="32"/>
  <c r="B5" i="32"/>
  <c r="A5" i="32"/>
  <c r="B4" i="32"/>
  <c r="A4" i="32"/>
  <c r="O21" i="35" l="1"/>
  <c r="O14" i="35"/>
  <c r="O9" i="35"/>
  <c r="O29" i="35"/>
  <c r="O22" i="35"/>
  <c r="O17" i="35"/>
  <c r="D15" i="33"/>
  <c r="D19" i="33"/>
  <c r="D17" i="33"/>
  <c r="O17" i="32"/>
  <c r="O14" i="32"/>
  <c r="O9" i="32"/>
  <c r="K30" i="33"/>
  <c r="O34" i="32"/>
  <c r="C23" i="36"/>
  <c r="G20" i="33"/>
  <c r="G18" i="33"/>
  <c r="G16" i="33"/>
  <c r="O38" i="32"/>
  <c r="O29" i="32"/>
  <c r="O11" i="32"/>
  <c r="O6" i="32"/>
  <c r="B36" i="33"/>
  <c r="D18" i="36"/>
  <c r="D16" i="36"/>
  <c r="D16" i="33"/>
  <c r="K16" i="33" s="1"/>
  <c r="O25" i="32"/>
  <c r="O21" i="32"/>
  <c r="O18" i="32"/>
  <c r="O15" i="32"/>
  <c r="O5" i="32"/>
  <c r="K27" i="33"/>
  <c r="G19" i="36"/>
  <c r="G17" i="36"/>
  <c r="G15" i="36"/>
  <c r="O42" i="35"/>
  <c r="O38" i="35"/>
  <c r="O37" i="35"/>
  <c r="O33" i="35"/>
  <c r="O30" i="35"/>
  <c r="O25" i="35"/>
  <c r="O13" i="35"/>
  <c r="O6" i="35"/>
  <c r="O5" i="35"/>
  <c r="D20" i="33"/>
  <c r="D18" i="33"/>
  <c r="O42" i="32"/>
  <c r="O26" i="32"/>
  <c r="D22" i="33"/>
  <c r="O46" i="32"/>
  <c r="C22" i="33"/>
  <c r="K28" i="33"/>
  <c r="K29" i="33"/>
  <c r="D23" i="36"/>
  <c r="D19" i="36"/>
  <c r="O30" i="32"/>
  <c r="O22" i="32"/>
  <c r="O13" i="32"/>
  <c r="O10" i="32"/>
  <c r="O7" i="32"/>
  <c r="O46" i="35"/>
  <c r="O45" i="35"/>
  <c r="O44" i="35"/>
  <c r="O43" i="35"/>
  <c r="O41" i="35"/>
  <c r="O40" i="35"/>
  <c r="O39" i="35"/>
  <c r="O36" i="35"/>
  <c r="O35" i="35"/>
  <c r="O34" i="35"/>
  <c r="O32" i="35"/>
  <c r="O31" i="35"/>
  <c r="O28" i="35"/>
  <c r="O27" i="35"/>
  <c r="O26" i="35"/>
  <c r="O24" i="35"/>
  <c r="O23" i="35"/>
  <c r="O20" i="35"/>
  <c r="O19" i="35"/>
  <c r="O18" i="35"/>
  <c r="O16" i="35"/>
  <c r="O15" i="35"/>
  <c r="O12" i="35"/>
  <c r="O11" i="35"/>
  <c r="O10" i="35"/>
  <c r="C23" i="33"/>
  <c r="D23" i="33"/>
  <c r="K29" i="36"/>
  <c r="K28" i="36"/>
  <c r="G20" i="36"/>
  <c r="B36" i="36"/>
  <c r="K27" i="36"/>
  <c r="D20" i="36"/>
  <c r="K30" i="36"/>
  <c r="D22" i="36"/>
  <c r="C22" i="36"/>
  <c r="D17" i="36"/>
  <c r="O8" i="35"/>
  <c r="O7" i="35"/>
  <c r="D15" i="36"/>
  <c r="K15" i="36" s="1"/>
  <c r="G19" i="33"/>
  <c r="G17" i="33"/>
  <c r="G15" i="33"/>
  <c r="K15" i="33" s="1"/>
  <c r="O45" i="32"/>
  <c r="O44" i="32"/>
  <c r="O43" i="32"/>
  <c r="O41" i="32"/>
  <c r="O40" i="32"/>
  <c r="O39" i="32"/>
  <c r="O37" i="32"/>
  <c r="O36" i="32"/>
  <c r="O35" i="32"/>
  <c r="O33" i="32"/>
  <c r="O32" i="32"/>
  <c r="O31" i="32"/>
  <c r="O28" i="32"/>
  <c r="O27" i="32"/>
  <c r="O24" i="32"/>
  <c r="O23" i="32"/>
  <c r="O20" i="32"/>
  <c r="O19" i="32"/>
  <c r="O16" i="32"/>
  <c r="O8" i="32"/>
  <c r="G18" i="36"/>
  <c r="K18" i="36" s="1"/>
  <c r="G16" i="36"/>
  <c r="O4" i="35"/>
  <c r="O4" i="32"/>
  <c r="O12" i="32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" i="29"/>
  <c r="K16" i="36" l="1"/>
  <c r="K17" i="33"/>
  <c r="K19" i="36"/>
  <c r="K18" i="33"/>
  <c r="K19" i="33"/>
  <c r="K20" i="33"/>
  <c r="K17" i="36"/>
  <c r="K20" i="36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L22" i="33" l="1"/>
  <c r="L23" i="33"/>
  <c r="L22" i="36"/>
  <c r="L23" i="36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19" l="1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F43" i="19" l="1"/>
  <c r="F45" i="19"/>
  <c r="D46" i="19"/>
  <c r="F47" i="19"/>
  <c r="F49" i="19"/>
  <c r="L46" i="19"/>
  <c r="H43" i="19"/>
  <c r="F44" i="19"/>
  <c r="H45" i="19"/>
  <c r="F46" i="19"/>
  <c r="H47" i="19"/>
  <c r="F48" i="19"/>
  <c r="H49" i="19"/>
  <c r="E47" i="19"/>
  <c r="D43" i="19"/>
  <c r="L43" i="19"/>
  <c r="H46" i="19"/>
  <c r="D47" i="19"/>
  <c r="L47" i="19"/>
  <c r="E43" i="19"/>
  <c r="C48" i="19"/>
  <c r="I48" i="19" s="1"/>
  <c r="J48" i="19" s="1"/>
  <c r="C44" i="19"/>
  <c r="E44" i="19"/>
  <c r="L44" i="19"/>
  <c r="D49" i="19"/>
  <c r="D45" i="19"/>
  <c r="G49" i="19"/>
  <c r="G47" i="19"/>
  <c r="G45" i="19"/>
  <c r="G43" i="19"/>
  <c r="K44" i="19"/>
  <c r="C49" i="19"/>
  <c r="C47" i="19"/>
  <c r="E49" i="19"/>
  <c r="D44" i="19"/>
  <c r="I44" i="19" s="1"/>
  <c r="J44" i="19" s="1"/>
  <c r="H44" i="19"/>
  <c r="K48" i="19"/>
  <c r="K46" i="19"/>
  <c r="C46" i="19"/>
  <c r="C43" i="19"/>
  <c r="L48" i="19"/>
  <c r="D48" i="19"/>
  <c r="E46" i="19"/>
  <c r="I46" i="19" s="1"/>
  <c r="J46" i="19" s="1"/>
  <c r="G48" i="19"/>
  <c r="G46" i="19"/>
  <c r="G44" i="19"/>
  <c r="C45" i="19"/>
  <c r="E48" i="19"/>
  <c r="E45" i="19"/>
  <c r="L49" i="19"/>
  <c r="L45" i="19"/>
  <c r="K49" i="19"/>
  <c r="K47" i="19"/>
  <c r="K45" i="19"/>
  <c r="K43" i="19"/>
  <c r="H48" i="19"/>
  <c r="K5" i="19"/>
  <c r="L5" i="19"/>
  <c r="H5" i="19"/>
  <c r="R5" i="24" s="1"/>
  <c r="K11" i="19"/>
  <c r="L11" i="19"/>
  <c r="H11" i="19"/>
  <c r="R11" i="24" s="1"/>
  <c r="K15" i="19"/>
  <c r="L15" i="19"/>
  <c r="H15" i="19"/>
  <c r="K21" i="19"/>
  <c r="L21" i="19"/>
  <c r="H21" i="19"/>
  <c r="K27" i="19"/>
  <c r="L27" i="19"/>
  <c r="H27" i="19"/>
  <c r="K7" i="19"/>
  <c r="L7" i="19"/>
  <c r="H7" i="19"/>
  <c r="R7" i="24" s="1"/>
  <c r="K9" i="19"/>
  <c r="L9" i="19"/>
  <c r="H9" i="19"/>
  <c r="R9" i="24" s="1"/>
  <c r="K13" i="19"/>
  <c r="L13" i="19"/>
  <c r="H13" i="19"/>
  <c r="K17" i="19"/>
  <c r="L17" i="19"/>
  <c r="H17" i="19"/>
  <c r="K19" i="19"/>
  <c r="L19" i="19"/>
  <c r="H19" i="19"/>
  <c r="K23" i="19"/>
  <c r="L23" i="19"/>
  <c r="H23" i="19"/>
  <c r="K25" i="19"/>
  <c r="L25" i="19"/>
  <c r="H25" i="19"/>
  <c r="K29" i="19"/>
  <c r="L29" i="19"/>
  <c r="H29" i="19"/>
  <c r="L4" i="19"/>
  <c r="K4" i="19"/>
  <c r="G4" i="19"/>
  <c r="O4" i="24" s="1"/>
  <c r="D19" i="23" s="1"/>
  <c r="H4" i="19"/>
  <c r="R4" i="24" s="1"/>
  <c r="D20" i="23" s="1"/>
  <c r="K6" i="19"/>
  <c r="L6" i="19"/>
  <c r="H6" i="19"/>
  <c r="R6" i="24" s="1"/>
  <c r="K8" i="19"/>
  <c r="L8" i="19"/>
  <c r="H8" i="19"/>
  <c r="R8" i="24" s="1"/>
  <c r="K10" i="19"/>
  <c r="L10" i="19"/>
  <c r="H10" i="19"/>
  <c r="R10" i="24" s="1"/>
  <c r="K12" i="19"/>
  <c r="L12" i="19"/>
  <c r="H12" i="19"/>
  <c r="K14" i="19"/>
  <c r="L14" i="19"/>
  <c r="H14" i="19"/>
  <c r="K16" i="19"/>
  <c r="L16" i="19"/>
  <c r="H16" i="19"/>
  <c r="K18" i="19"/>
  <c r="L18" i="19"/>
  <c r="H18" i="19"/>
  <c r="K20" i="19"/>
  <c r="L20" i="19"/>
  <c r="H20" i="19"/>
  <c r="K22" i="19"/>
  <c r="L22" i="19"/>
  <c r="H22" i="19"/>
  <c r="K24" i="19"/>
  <c r="L24" i="19"/>
  <c r="H24" i="19"/>
  <c r="K26" i="19"/>
  <c r="L26" i="19"/>
  <c r="H26" i="19"/>
  <c r="K28" i="19"/>
  <c r="L28" i="19"/>
  <c r="H28" i="19"/>
  <c r="E5" i="19"/>
  <c r="I5" i="24" s="1"/>
  <c r="F6" i="19"/>
  <c r="L6" i="24" s="1"/>
  <c r="C7" i="19"/>
  <c r="C7" i="24" s="1"/>
  <c r="G7" i="19"/>
  <c r="O7" i="24" s="1"/>
  <c r="D8" i="19"/>
  <c r="F8" i="24" s="1"/>
  <c r="E9" i="19"/>
  <c r="I9" i="24" s="1"/>
  <c r="F10" i="19"/>
  <c r="L10" i="24" s="1"/>
  <c r="C11" i="19"/>
  <c r="C11" i="24" s="1"/>
  <c r="G11" i="19"/>
  <c r="O11" i="24" s="1"/>
  <c r="D12" i="19"/>
  <c r="E13" i="19"/>
  <c r="F14" i="19"/>
  <c r="C15" i="19"/>
  <c r="G15" i="19"/>
  <c r="D16" i="19"/>
  <c r="E17" i="19"/>
  <c r="F18" i="19"/>
  <c r="C19" i="19"/>
  <c r="G19" i="19"/>
  <c r="D20" i="19"/>
  <c r="E21" i="19"/>
  <c r="F22" i="19"/>
  <c r="C23" i="19"/>
  <c r="G23" i="19"/>
  <c r="D24" i="19"/>
  <c r="E25" i="19"/>
  <c r="F26" i="19"/>
  <c r="C27" i="19"/>
  <c r="G27" i="19"/>
  <c r="D28" i="19"/>
  <c r="E29" i="19"/>
  <c r="F5" i="19"/>
  <c r="L5" i="24" s="1"/>
  <c r="C6" i="19"/>
  <c r="C6" i="24" s="1"/>
  <c r="G6" i="19"/>
  <c r="O6" i="24" s="1"/>
  <c r="D7" i="19"/>
  <c r="F7" i="24" s="1"/>
  <c r="E8" i="19"/>
  <c r="I8" i="24" s="1"/>
  <c r="F9" i="19"/>
  <c r="L9" i="24" s="1"/>
  <c r="C10" i="19"/>
  <c r="C10" i="24" s="1"/>
  <c r="G10" i="19"/>
  <c r="O10" i="24" s="1"/>
  <c r="D11" i="19"/>
  <c r="F11" i="24" s="1"/>
  <c r="E12" i="19"/>
  <c r="F13" i="19"/>
  <c r="C14" i="19"/>
  <c r="G14" i="19"/>
  <c r="D15" i="19"/>
  <c r="E16" i="19"/>
  <c r="F17" i="19"/>
  <c r="C18" i="19"/>
  <c r="G18" i="19"/>
  <c r="D19" i="19"/>
  <c r="E20" i="19"/>
  <c r="F21" i="19"/>
  <c r="C22" i="19"/>
  <c r="G22" i="19"/>
  <c r="D23" i="19"/>
  <c r="E24" i="19"/>
  <c r="F25" i="19"/>
  <c r="C26" i="19"/>
  <c r="G26" i="19"/>
  <c r="D27" i="19"/>
  <c r="E28" i="19"/>
  <c r="F29" i="19"/>
  <c r="C5" i="19"/>
  <c r="C5" i="24" s="1"/>
  <c r="G5" i="19"/>
  <c r="O5" i="24" s="1"/>
  <c r="D6" i="19"/>
  <c r="F6" i="24" s="1"/>
  <c r="E7" i="19"/>
  <c r="I7" i="24" s="1"/>
  <c r="F8" i="19"/>
  <c r="L8" i="24" s="1"/>
  <c r="C9" i="19"/>
  <c r="C9" i="24" s="1"/>
  <c r="G9" i="19"/>
  <c r="O9" i="24" s="1"/>
  <c r="D10" i="19"/>
  <c r="F10" i="24" s="1"/>
  <c r="E11" i="19"/>
  <c r="I11" i="24" s="1"/>
  <c r="F12" i="19"/>
  <c r="C13" i="19"/>
  <c r="G13" i="19"/>
  <c r="D14" i="19"/>
  <c r="E15" i="19"/>
  <c r="F16" i="19"/>
  <c r="C17" i="19"/>
  <c r="G17" i="19"/>
  <c r="D18" i="19"/>
  <c r="E19" i="19"/>
  <c r="F20" i="19"/>
  <c r="C21" i="19"/>
  <c r="G21" i="19"/>
  <c r="D22" i="19"/>
  <c r="E23" i="19"/>
  <c r="F24" i="19"/>
  <c r="C25" i="19"/>
  <c r="G25" i="19"/>
  <c r="D26" i="19"/>
  <c r="E27" i="19"/>
  <c r="F28" i="19"/>
  <c r="C29" i="19"/>
  <c r="G29" i="19"/>
  <c r="E6" i="19"/>
  <c r="I6" i="24" s="1"/>
  <c r="F4" i="19"/>
  <c r="L4" i="24" s="1"/>
  <c r="D18" i="23" s="1"/>
  <c r="D9" i="19"/>
  <c r="F9" i="24" s="1"/>
  <c r="F11" i="19"/>
  <c r="L11" i="24" s="1"/>
  <c r="C16" i="19"/>
  <c r="E18" i="19"/>
  <c r="G20" i="19"/>
  <c r="D25" i="19"/>
  <c r="F27" i="19"/>
  <c r="D5" i="19"/>
  <c r="F5" i="24" s="1"/>
  <c r="F7" i="19"/>
  <c r="L7" i="24" s="1"/>
  <c r="C12" i="19"/>
  <c r="E14" i="19"/>
  <c r="G16" i="19"/>
  <c r="D21" i="19"/>
  <c r="F23" i="19"/>
  <c r="C28" i="19"/>
  <c r="E4" i="19"/>
  <c r="I4" i="24" s="1"/>
  <c r="D17" i="23" s="1"/>
  <c r="C8" i="19"/>
  <c r="C8" i="24" s="1"/>
  <c r="E10" i="19"/>
  <c r="I10" i="24" s="1"/>
  <c r="G12" i="19"/>
  <c r="D17" i="19"/>
  <c r="F19" i="19"/>
  <c r="C24" i="19"/>
  <c r="E26" i="19"/>
  <c r="G28" i="19"/>
  <c r="C4" i="19"/>
  <c r="C4" i="24" s="1"/>
  <c r="D15" i="23" s="1"/>
  <c r="G8" i="19"/>
  <c r="O8" i="24" s="1"/>
  <c r="D13" i="19"/>
  <c r="F15" i="19"/>
  <c r="C20" i="19"/>
  <c r="E22" i="19"/>
  <c r="G24" i="19"/>
  <c r="D29" i="19"/>
  <c r="D4" i="19"/>
  <c r="F4" i="24" s="1"/>
  <c r="D16" i="23" s="1"/>
  <c r="A39" i="11"/>
  <c r="B39" i="11"/>
  <c r="A40" i="11"/>
  <c r="B40" i="11"/>
  <c r="A41" i="11"/>
  <c r="B41" i="11"/>
  <c r="A40" i="5"/>
  <c r="B40" i="5"/>
  <c r="A41" i="5"/>
  <c r="B41" i="5"/>
  <c r="A42" i="5"/>
  <c r="B42" i="5"/>
  <c r="I43" i="19" l="1"/>
  <c r="J43" i="19" s="1"/>
  <c r="I49" i="19"/>
  <c r="J49" i="19" s="1"/>
  <c r="I47" i="19"/>
  <c r="J47" i="19" s="1"/>
  <c r="I45" i="19"/>
  <c r="J45" i="19" s="1"/>
  <c r="R16" i="24"/>
  <c r="R25" i="24"/>
  <c r="R29" i="24"/>
  <c r="R24" i="24"/>
  <c r="R22" i="24"/>
  <c r="R23" i="24"/>
  <c r="R19" i="24"/>
  <c r="R18" i="24"/>
  <c r="R28" i="24"/>
  <c r="R26" i="24"/>
  <c r="R13" i="24"/>
  <c r="R27" i="24"/>
  <c r="R14" i="24"/>
  <c r="R15" i="24"/>
  <c r="R17" i="24"/>
  <c r="R20" i="24"/>
  <c r="R12" i="24"/>
  <c r="R21" i="24"/>
  <c r="I28" i="19"/>
  <c r="J28" i="19" s="1"/>
  <c r="I13" i="19"/>
  <c r="J13" i="19" s="1"/>
  <c r="I18" i="19"/>
  <c r="J18" i="19" s="1"/>
  <c r="C15" i="24"/>
  <c r="C19" i="24"/>
  <c r="C23" i="24"/>
  <c r="C27" i="24"/>
  <c r="C14" i="24"/>
  <c r="C26" i="24"/>
  <c r="C12" i="24"/>
  <c r="C16" i="24"/>
  <c r="C20" i="24"/>
  <c r="C24" i="24"/>
  <c r="C28" i="24"/>
  <c r="C22" i="24"/>
  <c r="C13" i="24"/>
  <c r="C17" i="24"/>
  <c r="C21" i="24"/>
  <c r="C25" i="24"/>
  <c r="C29" i="24"/>
  <c r="C18" i="24"/>
  <c r="L14" i="24"/>
  <c r="L18" i="24"/>
  <c r="L22" i="24"/>
  <c r="L26" i="24"/>
  <c r="L21" i="24"/>
  <c r="L15" i="24"/>
  <c r="L19" i="24"/>
  <c r="L23" i="24"/>
  <c r="L27" i="24"/>
  <c r="L17" i="24"/>
  <c r="L25" i="24"/>
  <c r="L12" i="24"/>
  <c r="L16" i="24"/>
  <c r="L20" i="24"/>
  <c r="L24" i="24"/>
  <c r="L28" i="24"/>
  <c r="L13" i="24"/>
  <c r="L29" i="24"/>
  <c r="O15" i="24"/>
  <c r="O19" i="24"/>
  <c r="O23" i="24"/>
  <c r="O27" i="24"/>
  <c r="O22" i="24"/>
  <c r="O12" i="24"/>
  <c r="O16" i="24"/>
  <c r="O20" i="24"/>
  <c r="O24" i="24"/>
  <c r="O28" i="24"/>
  <c r="O18" i="24"/>
  <c r="O13" i="24"/>
  <c r="O17" i="24"/>
  <c r="O21" i="24"/>
  <c r="O25" i="24"/>
  <c r="O29" i="24"/>
  <c r="O14" i="24"/>
  <c r="O26" i="24"/>
  <c r="F12" i="24"/>
  <c r="F16" i="24"/>
  <c r="F20" i="24"/>
  <c r="F24" i="24"/>
  <c r="F28" i="24"/>
  <c r="F19" i="24"/>
  <c r="F27" i="24"/>
  <c r="F13" i="24"/>
  <c r="F17" i="24"/>
  <c r="F21" i="24"/>
  <c r="F25" i="24"/>
  <c r="F29" i="24"/>
  <c r="F23" i="24"/>
  <c r="F14" i="24"/>
  <c r="F18" i="24"/>
  <c r="F22" i="24"/>
  <c r="F26" i="24"/>
  <c r="F15" i="24"/>
  <c r="I13" i="24"/>
  <c r="I17" i="24"/>
  <c r="I21" i="24"/>
  <c r="I25" i="24"/>
  <c r="I29" i="24"/>
  <c r="I20" i="24"/>
  <c r="I14" i="24"/>
  <c r="I18" i="24"/>
  <c r="I22" i="24"/>
  <c r="I26" i="24"/>
  <c r="I12" i="24"/>
  <c r="I24" i="24"/>
  <c r="I15" i="24"/>
  <c r="I19" i="24"/>
  <c r="I23" i="24"/>
  <c r="I27" i="24"/>
  <c r="I16" i="24"/>
  <c r="I28" i="24"/>
  <c r="I29" i="19"/>
  <c r="J29" i="19" s="1"/>
  <c r="I27" i="19"/>
  <c r="J27" i="19" s="1"/>
  <c r="I11" i="19"/>
  <c r="J11" i="19" s="1"/>
  <c r="I12" i="19"/>
  <c r="J12" i="19" s="1"/>
  <c r="I25" i="19"/>
  <c r="J25" i="19" s="1"/>
  <c r="I9" i="19"/>
  <c r="J9" i="19" s="1"/>
  <c r="I14" i="19"/>
  <c r="J14" i="19" s="1"/>
  <c r="I23" i="19"/>
  <c r="J23" i="19" s="1"/>
  <c r="I7" i="19"/>
  <c r="J7" i="19" s="1"/>
  <c r="I21" i="19"/>
  <c r="J21" i="19" s="1"/>
  <c r="I5" i="19"/>
  <c r="J5" i="19" s="1"/>
  <c r="I26" i="19"/>
  <c r="J26" i="19" s="1"/>
  <c r="I10" i="19"/>
  <c r="J10" i="19" s="1"/>
  <c r="I19" i="19"/>
  <c r="J19" i="19" s="1"/>
  <c r="I8" i="19"/>
  <c r="J8" i="19" s="1"/>
  <c r="I16" i="19"/>
  <c r="J16" i="19" s="1"/>
  <c r="I20" i="19"/>
  <c r="J20" i="19" s="1"/>
  <c r="I4" i="19"/>
  <c r="J4" i="19" s="1"/>
  <c r="I24" i="19"/>
  <c r="J24" i="19" s="1"/>
  <c r="I17" i="19"/>
  <c r="J17" i="19" s="1"/>
  <c r="I22" i="19"/>
  <c r="J22" i="19" s="1"/>
  <c r="I6" i="19"/>
  <c r="J6" i="19" s="1"/>
  <c r="I15" i="19"/>
  <c r="J15" i="19" s="1"/>
  <c r="B38" i="11" l="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L31" i="19" l="1"/>
  <c r="H37" i="19"/>
  <c r="R37" i="24" s="1"/>
  <c r="K33" i="19"/>
  <c r="L35" i="19"/>
  <c r="H39" i="19"/>
  <c r="R39" i="24" s="1"/>
  <c r="K32" i="19"/>
  <c r="L34" i="19"/>
  <c r="H36" i="19"/>
  <c r="R36" i="24" s="1"/>
  <c r="K40" i="19"/>
  <c r="L42" i="19"/>
  <c r="C30" i="19"/>
  <c r="F33" i="19"/>
  <c r="L33" i="24" s="1"/>
  <c r="E36" i="19"/>
  <c r="I36" i="24" s="1"/>
  <c r="D39" i="19"/>
  <c r="F39" i="24" s="1"/>
  <c r="G42" i="19"/>
  <c r="C33" i="19"/>
  <c r="F36" i="19"/>
  <c r="L36" i="24" s="1"/>
  <c r="E39" i="19"/>
  <c r="I39" i="24" s="1"/>
  <c r="D42" i="19"/>
  <c r="F38" i="19"/>
  <c r="L38" i="24" s="1"/>
  <c r="F35" i="19"/>
  <c r="L35" i="24" s="1"/>
  <c r="E42" i="19"/>
  <c r="F34" i="19"/>
  <c r="L34" i="24" s="1"/>
  <c r="E41" i="19"/>
  <c r="I41" i="24" s="1"/>
  <c r="F31" i="19"/>
  <c r="L31" i="24" s="1"/>
  <c r="E38" i="19"/>
  <c r="I38" i="24" s="1"/>
  <c r="D36" i="19"/>
  <c r="F36" i="24" s="1"/>
  <c r="C41" i="19"/>
  <c r="D33" i="19"/>
  <c r="F33" i="24" s="1"/>
  <c r="D32" i="19"/>
  <c r="F32" i="24" s="1"/>
  <c r="C39" i="19"/>
  <c r="C36" i="19"/>
  <c r="H31" i="19"/>
  <c r="R31" i="24" s="1"/>
  <c r="K41" i="19"/>
  <c r="L33" i="19"/>
  <c r="H35" i="19"/>
  <c r="R35" i="24" s="1"/>
  <c r="K30" i="19"/>
  <c r="L32" i="19"/>
  <c r="H34" i="19"/>
  <c r="R34" i="24" s="1"/>
  <c r="K38" i="19"/>
  <c r="L40" i="19"/>
  <c r="H42" i="19"/>
  <c r="G30" i="19"/>
  <c r="O30" i="24" s="1"/>
  <c r="C34" i="19"/>
  <c r="F37" i="19"/>
  <c r="L37" i="24" s="1"/>
  <c r="E40" i="19"/>
  <c r="I40" i="24" s="1"/>
  <c r="D30" i="19"/>
  <c r="F30" i="24" s="1"/>
  <c r="G33" i="19"/>
  <c r="O33" i="24" s="1"/>
  <c r="C37" i="19"/>
  <c r="F40" i="19"/>
  <c r="L40" i="24" s="1"/>
  <c r="C32" i="19"/>
  <c r="G36" i="19"/>
  <c r="O36" i="24" s="1"/>
  <c r="C31" i="19"/>
  <c r="G35" i="19"/>
  <c r="O35" i="24" s="1"/>
  <c r="F42" i="19"/>
  <c r="G32" i="19"/>
  <c r="O32" i="24" s="1"/>
  <c r="F39" i="19"/>
  <c r="L39" i="24" s="1"/>
  <c r="E37" i="19"/>
  <c r="I37" i="24" s="1"/>
  <c r="G37" i="19"/>
  <c r="O37" i="24" s="1"/>
  <c r="G40" i="19"/>
  <c r="O40" i="24" s="1"/>
  <c r="G39" i="19"/>
  <c r="O39" i="24" s="1"/>
  <c r="K37" i="19"/>
  <c r="L41" i="19"/>
  <c r="H33" i="19"/>
  <c r="R33" i="24" s="1"/>
  <c r="K39" i="19"/>
  <c r="L30" i="19"/>
  <c r="H32" i="19"/>
  <c r="R32" i="24" s="1"/>
  <c r="K36" i="19"/>
  <c r="L38" i="19"/>
  <c r="H40" i="19"/>
  <c r="R40" i="24" s="1"/>
  <c r="D31" i="19"/>
  <c r="F31" i="24" s="1"/>
  <c r="G34" i="19"/>
  <c r="O34" i="24" s="1"/>
  <c r="C38" i="19"/>
  <c r="F41" i="19"/>
  <c r="L41" i="24" s="1"/>
  <c r="E31" i="19"/>
  <c r="I31" i="24" s="1"/>
  <c r="D34" i="19"/>
  <c r="F34" i="24" s="1"/>
  <c r="G31" i="19"/>
  <c r="O31" i="24" s="1"/>
  <c r="K31" i="19"/>
  <c r="L37" i="19"/>
  <c r="H41" i="19"/>
  <c r="R41" i="24" s="1"/>
  <c r="K35" i="19"/>
  <c r="L39" i="19"/>
  <c r="H30" i="19"/>
  <c r="R30" i="24" s="1"/>
  <c r="K34" i="19"/>
  <c r="L36" i="19"/>
  <c r="H38" i="19"/>
  <c r="R38" i="24" s="1"/>
  <c r="K42" i="19"/>
  <c r="E32" i="19"/>
  <c r="I32" i="24" s="1"/>
  <c r="D35" i="19"/>
  <c r="F35" i="24" s="1"/>
  <c r="G38" i="19"/>
  <c r="O38" i="24" s="1"/>
  <c r="C42" i="19"/>
  <c r="F32" i="19"/>
  <c r="L32" i="24" s="1"/>
  <c r="E35" i="19"/>
  <c r="I35" i="24" s="1"/>
  <c r="D38" i="19"/>
  <c r="F38" i="24" s="1"/>
  <c r="G41" i="19"/>
  <c r="O41" i="24" s="1"/>
  <c r="C35" i="19"/>
  <c r="E34" i="19"/>
  <c r="I34" i="24" s="1"/>
  <c r="D41" i="19"/>
  <c r="F41" i="24" s="1"/>
  <c r="E33" i="19"/>
  <c r="I33" i="24" s="1"/>
  <c r="D40" i="19"/>
  <c r="F40" i="24" s="1"/>
  <c r="E30" i="19"/>
  <c r="I30" i="24" s="1"/>
  <c r="D37" i="19"/>
  <c r="F37" i="24" s="1"/>
  <c r="F30" i="19"/>
  <c r="L30" i="24" s="1"/>
  <c r="C40" i="19"/>
  <c r="J3" i="25"/>
  <c r="V4" i="24" s="1"/>
  <c r="K28" i="23" s="1"/>
  <c r="J11" i="25"/>
  <c r="J19" i="25"/>
  <c r="J27" i="25"/>
  <c r="J33" i="25"/>
  <c r="J37" i="25"/>
  <c r="J9" i="25"/>
  <c r="V10" i="24" s="1"/>
  <c r="J17" i="25"/>
  <c r="J25" i="25"/>
  <c r="J41" i="25"/>
  <c r="I6" i="25"/>
  <c r="U7" i="24" s="1"/>
  <c r="I10" i="25"/>
  <c r="U11" i="24" s="1"/>
  <c r="I14" i="25"/>
  <c r="I18" i="25"/>
  <c r="I22" i="25"/>
  <c r="I26" i="25"/>
  <c r="I30" i="25"/>
  <c r="I34" i="25"/>
  <c r="I38" i="25"/>
  <c r="I29" i="25"/>
  <c r="I5" i="25"/>
  <c r="U6" i="24" s="1"/>
  <c r="I31" i="25"/>
  <c r="J12" i="25"/>
  <c r="J24" i="25"/>
  <c r="J36" i="25"/>
  <c r="I3" i="25"/>
  <c r="U4" i="24" s="1"/>
  <c r="K27" i="23" s="1"/>
  <c r="I11" i="25"/>
  <c r="I19" i="25"/>
  <c r="I27" i="25"/>
  <c r="I33" i="25"/>
  <c r="I37" i="25"/>
  <c r="I9" i="25"/>
  <c r="U10" i="24" s="1"/>
  <c r="I17" i="25"/>
  <c r="I25" i="25"/>
  <c r="I41" i="25"/>
  <c r="J6" i="25"/>
  <c r="V7" i="24" s="1"/>
  <c r="J10" i="25"/>
  <c r="V11" i="24" s="1"/>
  <c r="J14" i="25"/>
  <c r="J18" i="25"/>
  <c r="J22" i="25"/>
  <c r="J26" i="25"/>
  <c r="J30" i="25"/>
  <c r="J34" i="25"/>
  <c r="J38" i="25"/>
  <c r="I7" i="25"/>
  <c r="U8" i="24" s="1"/>
  <c r="I35" i="25"/>
  <c r="I13" i="25"/>
  <c r="J4" i="25"/>
  <c r="V5" i="24" s="1"/>
  <c r="J16" i="25"/>
  <c r="J28" i="25"/>
  <c r="J40" i="25"/>
  <c r="J7" i="25"/>
  <c r="V8" i="24" s="1"/>
  <c r="J15" i="25"/>
  <c r="J23" i="25"/>
  <c r="J29" i="25"/>
  <c r="J35" i="25"/>
  <c r="J39" i="25"/>
  <c r="J5" i="25"/>
  <c r="V6" i="24" s="1"/>
  <c r="J13" i="25"/>
  <c r="J21" i="25"/>
  <c r="J31" i="25"/>
  <c r="I4" i="25"/>
  <c r="U5" i="24" s="1"/>
  <c r="I8" i="25"/>
  <c r="U9" i="24" s="1"/>
  <c r="I12" i="25"/>
  <c r="I16" i="25"/>
  <c r="I20" i="25"/>
  <c r="I24" i="25"/>
  <c r="I28" i="25"/>
  <c r="I32" i="25"/>
  <c r="I36" i="25"/>
  <c r="I40" i="25"/>
  <c r="I15" i="25"/>
  <c r="I23" i="25"/>
  <c r="I39" i="25"/>
  <c r="I21" i="25"/>
  <c r="J8" i="25"/>
  <c r="V9" i="24" s="1"/>
  <c r="J20" i="25"/>
  <c r="J32" i="25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G15" i="23" s="1"/>
  <c r="K15" i="23" s="1"/>
  <c r="D39" i="25"/>
  <c r="C30" i="25"/>
  <c r="C4" i="25"/>
  <c r="D5" i="24" s="1"/>
  <c r="D8" i="25"/>
  <c r="G9" i="24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Q11" i="24" s="1"/>
  <c r="E20" i="25"/>
  <c r="C38" i="25"/>
  <c r="F17" i="25"/>
  <c r="F35" i="25"/>
  <c r="F4" i="25"/>
  <c r="M5" i="24" s="1"/>
  <c r="G4" i="25"/>
  <c r="P5" i="24" s="1"/>
  <c r="Q5" i="24" s="1"/>
  <c r="C8" i="25"/>
  <c r="D9" i="24" s="1"/>
  <c r="D10" i="25"/>
  <c r="G11" i="24" s="1"/>
  <c r="E10" i="25"/>
  <c r="J11" i="24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E4" i="25"/>
  <c r="J5" i="24" s="1"/>
  <c r="E32" i="25"/>
  <c r="D11" i="25"/>
  <c r="F41" i="25"/>
  <c r="G34" i="25"/>
  <c r="D27" i="25"/>
  <c r="D31" i="25"/>
  <c r="G22" i="25"/>
  <c r="D14" i="25"/>
  <c r="C6" i="25"/>
  <c r="D7" i="24" s="1"/>
  <c r="C5" i="25"/>
  <c r="D6" i="24" s="1"/>
  <c r="C7" i="25"/>
  <c r="D8" i="24" s="1"/>
  <c r="G9" i="25"/>
  <c r="P10" i="24" s="1"/>
  <c r="Q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G38" i="25"/>
  <c r="C34" i="25"/>
  <c r="F29" i="25"/>
  <c r="F21" i="25"/>
  <c r="E12" i="25"/>
  <c r="D4" i="25"/>
  <c r="G5" i="24" s="1"/>
  <c r="E6" i="25"/>
  <c r="J7" i="24" s="1"/>
  <c r="F8" i="25"/>
  <c r="M9" i="24" s="1"/>
  <c r="F10" i="25"/>
  <c r="M11" i="24" s="1"/>
  <c r="C12" i="25"/>
  <c r="D16" i="25"/>
  <c r="F20" i="25"/>
  <c r="C24" i="25"/>
  <c r="F28" i="25"/>
  <c r="E3" i="25"/>
  <c r="J4" i="24" s="1"/>
  <c r="G17" i="23" s="1"/>
  <c r="K17" i="23" s="1"/>
  <c r="G28" i="25"/>
  <c r="D3" i="25"/>
  <c r="G4" i="24" s="1"/>
  <c r="G16" i="23" s="1"/>
  <c r="K16" i="23" s="1"/>
  <c r="G5" i="25"/>
  <c r="P6" i="24" s="1"/>
  <c r="Q6" i="24" s="1"/>
  <c r="E5" i="25"/>
  <c r="J6" i="24" s="1"/>
  <c r="G7" i="25"/>
  <c r="P8" i="24" s="1"/>
  <c r="Q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F37" i="25"/>
  <c r="E28" i="25"/>
  <c r="D19" i="25"/>
  <c r="C10" i="25"/>
  <c r="D11" i="24" s="1"/>
  <c r="G6" i="25"/>
  <c r="P7" i="24" s="1"/>
  <c r="Q7" i="24" s="1"/>
  <c r="F13" i="25"/>
  <c r="E40" i="25"/>
  <c r="F6" i="25"/>
  <c r="M7" i="24" s="1"/>
  <c r="G8" i="25"/>
  <c r="P9" i="24" s="1"/>
  <c r="Q9" i="24" s="1"/>
  <c r="D12" i="25"/>
  <c r="E14" i="25"/>
  <c r="F16" i="25"/>
  <c r="F18" i="25"/>
  <c r="C20" i="25"/>
  <c r="D24" i="25"/>
  <c r="G36" i="25"/>
  <c r="C22" i="25"/>
  <c r="F3" i="25"/>
  <c r="M4" i="24" s="1"/>
  <c r="G18" i="23" s="1"/>
  <c r="K18" i="23" s="1"/>
  <c r="F7" i="25"/>
  <c r="M8" i="24" s="1"/>
  <c r="E9" i="25"/>
  <c r="J10" i="24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E36" i="25"/>
  <c r="C26" i="25"/>
  <c r="F33" i="25"/>
  <c r="D6" i="25"/>
  <c r="G7" i="24" s="1"/>
  <c r="D5" i="25"/>
  <c r="G6" i="24" s="1"/>
  <c r="E11" i="25"/>
  <c r="D13" i="25"/>
  <c r="E19" i="25"/>
  <c r="D21" i="25"/>
  <c r="E29" i="25"/>
  <c r="G14" i="25"/>
  <c r="E34" i="25"/>
  <c r="C9" i="25"/>
  <c r="D10" i="24" s="1"/>
  <c r="C17" i="25"/>
  <c r="C25" i="25"/>
  <c r="E31" i="25"/>
  <c r="E33" i="25"/>
  <c r="D35" i="25"/>
  <c r="F5" i="25"/>
  <c r="M6" i="24" s="1"/>
  <c r="E39" i="25"/>
  <c r="D23" i="25"/>
  <c r="G20" i="25"/>
  <c r="E7" i="25"/>
  <c r="J8" i="24" s="1"/>
  <c r="D9" i="25"/>
  <c r="G10" i="24" s="1"/>
  <c r="E15" i="25"/>
  <c r="D17" i="25"/>
  <c r="E23" i="25"/>
  <c r="D25" i="25"/>
  <c r="E35" i="25"/>
  <c r="E37" i="25"/>
  <c r="F31" i="25"/>
  <c r="G30" i="25"/>
  <c r="C28" i="25"/>
  <c r="E41" i="25"/>
  <c r="I42" i="19" l="1"/>
  <c r="J42" i="19" s="1"/>
  <c r="I40" i="19"/>
  <c r="J40" i="19" s="1"/>
  <c r="C40" i="24"/>
  <c r="C35" i="24"/>
  <c r="I35" i="19"/>
  <c r="J35" i="19" s="1"/>
  <c r="C34" i="24"/>
  <c r="I34" i="19"/>
  <c r="J34" i="19" s="1"/>
  <c r="I36" i="19"/>
  <c r="J36" i="19" s="1"/>
  <c r="C36" i="24"/>
  <c r="C41" i="24"/>
  <c r="I41" i="19"/>
  <c r="J41" i="19" s="1"/>
  <c r="I33" i="19"/>
  <c r="J33" i="19" s="1"/>
  <c r="C33" i="24"/>
  <c r="C32" i="24"/>
  <c r="I32" i="19"/>
  <c r="J32" i="19" s="1"/>
  <c r="C39" i="24"/>
  <c r="I39" i="19"/>
  <c r="J39" i="19" s="1"/>
  <c r="I30" i="19"/>
  <c r="J30" i="19" s="1"/>
  <c r="C30" i="24"/>
  <c r="I38" i="19"/>
  <c r="J38" i="19" s="1"/>
  <c r="C38" i="24"/>
  <c r="I31" i="19"/>
  <c r="J31" i="19" s="1"/>
  <c r="C31" i="24"/>
  <c r="C37" i="24"/>
  <c r="I37" i="19"/>
  <c r="J37" i="19" s="1"/>
  <c r="U40" i="24"/>
  <c r="U36" i="24"/>
  <c r="U15" i="24"/>
  <c r="U34" i="24"/>
  <c r="U23" i="24"/>
  <c r="U13" i="24"/>
  <c r="U30" i="24"/>
  <c r="U26" i="24"/>
  <c r="U22" i="24"/>
  <c r="U18" i="24"/>
  <c r="U14" i="24"/>
  <c r="U41" i="24"/>
  <c r="U37" i="24"/>
  <c r="U31" i="24"/>
  <c r="U19" i="24"/>
  <c r="U32" i="24"/>
  <c r="U28" i="24"/>
  <c r="U24" i="24"/>
  <c r="U20" i="24"/>
  <c r="U16" i="24"/>
  <c r="U12" i="24"/>
  <c r="U39" i="24"/>
  <c r="U35" i="24"/>
  <c r="U33" i="24"/>
  <c r="U29" i="24"/>
  <c r="U25" i="24"/>
  <c r="U21" i="24"/>
  <c r="U38" i="24"/>
  <c r="U27" i="24"/>
  <c r="U17" i="24"/>
  <c r="V30" i="24"/>
  <c r="V26" i="24"/>
  <c r="V22" i="24"/>
  <c r="V18" i="24"/>
  <c r="V14" i="24"/>
  <c r="V41" i="24"/>
  <c r="V37" i="24"/>
  <c r="V31" i="24"/>
  <c r="V27" i="24"/>
  <c r="V23" i="24"/>
  <c r="V32" i="24"/>
  <c r="V20" i="24"/>
  <c r="V35" i="24"/>
  <c r="V40" i="24"/>
  <c r="V36" i="24"/>
  <c r="V33" i="24"/>
  <c r="V29" i="24"/>
  <c r="V25" i="24"/>
  <c r="V21" i="24"/>
  <c r="V19" i="24"/>
  <c r="V15" i="24"/>
  <c r="V28" i="24"/>
  <c r="V16" i="24"/>
  <c r="V38" i="24"/>
  <c r="V17" i="24"/>
  <c r="V13" i="24"/>
  <c r="V24" i="24"/>
  <c r="V12" i="24"/>
  <c r="V39" i="24"/>
  <c r="V34" i="24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Q12" i="24" s="1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Q35" i="24" s="1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Q34" i="24" s="1"/>
  <c r="P38" i="24"/>
  <c r="Q38" i="24" s="1"/>
  <c r="P19" i="24"/>
  <c r="Q19" i="24" s="1"/>
  <c r="P31" i="24"/>
  <c r="Q31" i="24" s="1"/>
  <c r="P39" i="24"/>
  <c r="Q39" i="24" s="1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E20" i="24" s="1"/>
  <c r="D24" i="24"/>
  <c r="E24" i="24" s="1"/>
  <c r="D28" i="24"/>
  <c r="E28" i="24" s="1"/>
  <c r="D32" i="24"/>
  <c r="D36" i="24"/>
  <c r="D40" i="24"/>
  <c r="D13" i="24"/>
  <c r="D17" i="24"/>
  <c r="E17" i="24" s="1"/>
  <c r="D21" i="24"/>
  <c r="E21" i="24" s="1"/>
  <c r="D25" i="24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T9" i="24" s="1"/>
  <c r="S4" i="24"/>
  <c r="S7" i="24"/>
  <c r="S8" i="24"/>
  <c r="S5" i="24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S11" i="24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K14" i="24"/>
  <c r="H4" i="24"/>
  <c r="E25" i="24"/>
  <c r="N4" i="24"/>
  <c r="K4" i="24"/>
  <c r="C23" i="23"/>
  <c r="D23" i="23"/>
  <c r="T4" i="24" l="1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L22" i="23" l="1"/>
</calcChain>
</file>

<file path=xl/sharedStrings.xml><?xml version="1.0" encoding="utf-8"?>
<sst xmlns="http://schemas.openxmlformats.org/spreadsheetml/2006/main" count="687" uniqueCount="276">
  <si>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</si>
  <si>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</si>
  <si>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</si>
  <si>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</si>
  <si>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</si>
  <si>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</si>
  <si>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</si>
  <si>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</si>
  <si>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</si>
  <si>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</si>
  <si>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</si>
  <si>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</si>
  <si>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</si>
  <si>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</si>
  <si>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</si>
  <si>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</si>
  <si>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</si>
  <si>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</si>
  <si>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</si>
  <si>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</si>
  <si>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</si>
  <si>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</si>
  <si>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</si>
  <si>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</si>
  <si>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</si>
  <si>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</si>
  <si>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</si>
  <si>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</si>
  <si>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</si>
  <si>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</si>
  <si>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</si>
  <si>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</si>
  <si>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</si>
  <si>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</si>
  <si>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</si>
  <si>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</si>
  <si>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</si>
  <si>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</si>
  <si>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</si>
  <si>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</si>
  <si>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</si>
  <si>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</si>
  <si>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</si>
  <si>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</si>
  <si>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</si>
  <si>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</si>
  <si>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</si>
  <si>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</si>
  <si>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</si>
  <si>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</si>
  <si>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</si>
  <si>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</si>
  <si>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</si>
  <si>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</si>
  <si>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</si>
  <si>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</si>
  <si>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</si>
  <si>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</si>
  <si>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</si>
  <si>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</si>
  <si>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</si>
  <si>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</si>
  <si>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</si>
  <si>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</si>
  <si>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</si>
  <si>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</si>
  <si>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</si>
  <si>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</si>
  <si>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</si>
  <si>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</si>
  <si>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</si>
  <si>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</si>
  <si>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</si>
  <si>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</si>
  <si>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</si>
  <si>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</si>
  <si>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</si>
  <si>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</si>
  <si>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</si>
  <si>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</si>
  <si>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</si>
  <si>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</si>
  <si>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</si>
  <si>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</si>
  <si>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</si>
  <si>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</si>
  <si>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</si>
  <si>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</si>
  <si>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</si>
  <si>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</si>
  <si>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</si>
  <si>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</si>
  <si>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</si>
  <si>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AARUSH SONI</t>
  </si>
  <si>
    <t>PINKI SONI</t>
  </si>
  <si>
    <t>NATHU RAM VERMA</t>
  </si>
  <si>
    <t>25.05.2011</t>
  </si>
  <si>
    <t>AARVI JAISWAL</t>
  </si>
  <si>
    <t>RITU JAISWAL</t>
  </si>
  <si>
    <t>RAHUL JAISWAL</t>
  </si>
  <si>
    <t>19.12.2012</t>
  </si>
  <si>
    <t>ABDUL AHAD</t>
  </si>
  <si>
    <t>AQEELA NISAR</t>
  </si>
  <si>
    <t>IZHAR AHMAD</t>
  </si>
  <si>
    <t>20.04.2010</t>
  </si>
  <si>
    <t>ANAV SINGH</t>
  </si>
  <si>
    <t>SHEELA SINGH</t>
  </si>
  <si>
    <t>SAMAR SINGH</t>
  </si>
  <si>
    <t>10.04.2011</t>
  </si>
  <si>
    <t>ANKIT KUMAR</t>
  </si>
  <si>
    <t>NEELAM DEVI</t>
  </si>
  <si>
    <t>SHRAVAN KUMAR</t>
  </si>
  <si>
    <t>24.02.2010</t>
  </si>
  <si>
    <t>ANSH SHUKLA</t>
  </si>
  <si>
    <t>ANSHIKA MISHRA</t>
  </si>
  <si>
    <t>SEEMA MISHRA</t>
  </si>
  <si>
    <t>AMIT KUMAR MISHRA</t>
  </si>
  <si>
    <t>04.12.2010</t>
  </si>
  <si>
    <t>ANUBHAV CHOUDHARY</t>
  </si>
  <si>
    <t>SHALINI</t>
  </si>
  <si>
    <t>ARVIND KUMAR</t>
  </si>
  <si>
    <t>25.03.2010</t>
  </si>
  <si>
    <t>ARADHYA TIWARI</t>
  </si>
  <si>
    <t>SANJU</t>
  </si>
  <si>
    <t>AJAY TIWARI</t>
  </si>
  <si>
    <t>12.04.2012</t>
  </si>
  <si>
    <t>ARYAN MAURYA</t>
  </si>
  <si>
    <t>AKANKSHA</t>
  </si>
  <si>
    <t>SUBHASH CHANDRA</t>
  </si>
  <si>
    <t>28.08.2010</t>
  </si>
  <si>
    <t>ARYAN SINGH</t>
  </si>
  <si>
    <t>RINKU DEVI</t>
  </si>
  <si>
    <t>LATE ASHOK SINGH</t>
  </si>
  <si>
    <t>09.02.2011</t>
  </si>
  <si>
    <t>ASTITVA  SHYAM TIWARI</t>
  </si>
  <si>
    <t>MAMTA TIWARI</t>
  </si>
  <si>
    <t>SHYAM JI TIWARI</t>
  </si>
  <si>
    <t>06.01.2010</t>
  </si>
  <si>
    <t>DEVENDRA PATHAK</t>
  </si>
  <si>
    <t>VINDHYAVASINI PATHAK</t>
  </si>
  <si>
    <t>VARUN PATHAK</t>
  </si>
  <si>
    <t>10.07.2010</t>
  </si>
  <si>
    <t>DIVYANSHI SINGH</t>
  </si>
  <si>
    <t>AMRATA SINGH</t>
  </si>
  <si>
    <t>PRABHAT SINGH</t>
  </si>
  <si>
    <t>20.01.2011</t>
  </si>
  <si>
    <t>DIVYANSHU YADAV</t>
  </si>
  <si>
    <t>VIMLA DEVI</t>
  </si>
  <si>
    <t>PAVAN KUMAR</t>
  </si>
  <si>
    <t>16.09.2010</t>
  </si>
  <si>
    <t>GARIMA YADAV</t>
  </si>
  <si>
    <t>USHA DEVI</t>
  </si>
  <si>
    <t>SIYARAM YADAV</t>
  </si>
  <si>
    <t>27.09.2011</t>
  </si>
  <si>
    <t>HARSH SINGH</t>
  </si>
  <si>
    <t>VINDA SINGH</t>
  </si>
  <si>
    <t>ASHOK SINGH</t>
  </si>
  <si>
    <t>30.01.2010</t>
  </si>
  <si>
    <t>KANISHKA YADAV</t>
  </si>
  <si>
    <t>KIRAN YADAV</t>
  </si>
  <si>
    <t>AKHILESH YADAV</t>
  </si>
  <si>
    <t>25.06.2009</t>
  </si>
  <si>
    <t>KARUNESH SINGH</t>
  </si>
  <si>
    <t>NISHA VERMA</t>
  </si>
  <si>
    <t>SANDEEP KUMAR</t>
  </si>
  <si>
    <t>10.01.2010</t>
  </si>
  <si>
    <t>KRISHNA GUPTA</t>
  </si>
  <si>
    <t>ANJALI GUPTA</t>
  </si>
  <si>
    <t>SUSHEEL KUMAR</t>
  </si>
  <si>
    <t>01.12.2009</t>
  </si>
  <si>
    <t>KUNAL DHANUK</t>
  </si>
  <si>
    <t>ANITA DHANUK</t>
  </si>
  <si>
    <t>ANIL KUMAR DHANUK</t>
  </si>
  <si>
    <t>31.05.2009</t>
  </si>
  <si>
    <t>KUSHAGRA SINGH</t>
  </si>
  <si>
    <t>KIRAN SINGH</t>
  </si>
  <si>
    <t>RAJESH SINGH</t>
  </si>
  <si>
    <t>10.05.2011</t>
  </si>
  <si>
    <t>MAHEE JAISWAL</t>
  </si>
  <si>
    <t>BHARTI JAISWAL</t>
  </si>
  <si>
    <t>RANJEET JAISWAL</t>
  </si>
  <si>
    <t>24.10.2010</t>
  </si>
  <si>
    <t>MAHEK RAWAT</t>
  </si>
  <si>
    <t>POONAM RAWAT</t>
  </si>
  <si>
    <t>RAKESH KUMAR</t>
  </si>
  <si>
    <t>02.03.2010</t>
  </si>
  <si>
    <t>MOHD FAIZ</t>
  </si>
  <si>
    <t>MARIYA BANO</t>
  </si>
  <si>
    <t>MATLOOB AHMAD</t>
  </si>
  <si>
    <t>30.03.2011</t>
  </si>
  <si>
    <t>MOHINI YADAV</t>
  </si>
  <si>
    <t>SHOBHA DEVI</t>
  </si>
  <si>
    <t>RAM SAJIVAN YADAV</t>
  </si>
  <si>
    <t>25.07.2009</t>
  </si>
  <si>
    <t>MUSKAN MEENA</t>
  </si>
  <si>
    <t>GUDDI</t>
  </si>
  <si>
    <t>SURESH KUMAR VERMA</t>
  </si>
  <si>
    <t>14.09.2010</t>
  </si>
  <si>
    <t>NASHRA</t>
  </si>
  <si>
    <t>UZMA</t>
  </si>
  <si>
    <t>MOHD. RIYAZ</t>
  </si>
  <si>
    <t>06.06.2010</t>
  </si>
  <si>
    <t>PRAGATI TIWARI</t>
  </si>
  <si>
    <t>NEERAJ</t>
  </si>
  <si>
    <t>MANOJ KUMAR TIWARI</t>
  </si>
  <si>
    <t>20.08.2011</t>
  </si>
  <si>
    <t>PRAKHAR VERMA</t>
  </si>
  <si>
    <t>SEEMA VERMA</t>
  </si>
  <si>
    <t>VIVEK KUMAR VERMA</t>
  </si>
  <si>
    <t>28.11.2010</t>
  </si>
  <si>
    <t>PRASHANT YADAV</t>
  </si>
  <si>
    <t>SAROJ KUMARI</t>
  </si>
  <si>
    <t>LALLU RAM YADAV</t>
  </si>
  <si>
    <t>14.01.2009</t>
  </si>
  <si>
    <t>PRIYANSHU YADAV</t>
  </si>
  <si>
    <t>REKHA DEVI</t>
  </si>
  <si>
    <t>INDRAPAL</t>
  </si>
  <si>
    <t>05.08.2010</t>
  </si>
  <si>
    <t>RAUNAK KUMAR</t>
  </si>
  <si>
    <t>POONAM DEVI</t>
  </si>
  <si>
    <t>RAJ KUMAR</t>
  </si>
  <si>
    <t>15.11.2009</t>
  </si>
  <si>
    <t>SAMRIDH SRIVASTAVA</t>
  </si>
  <si>
    <t>SHWETA SRIVASTAVA</t>
  </si>
  <si>
    <t>SANDEEP SRIVASTAVA</t>
  </si>
  <si>
    <t>07.04.2010</t>
  </si>
  <si>
    <t>SATYAM  SINGH</t>
  </si>
  <si>
    <t>SANGEETA DEVI</t>
  </si>
  <si>
    <t>KIRAN PRAKASH SINGH</t>
  </si>
  <si>
    <t>01.01.2010</t>
  </si>
  <si>
    <t>SHAVI JAISWAL</t>
  </si>
  <si>
    <t>SUDHA JAISWAL</t>
  </si>
  <si>
    <t>SANJAY JAISWAL</t>
  </si>
  <si>
    <t>28.01.2010</t>
  </si>
  <si>
    <t>SHIVA VERMA</t>
  </si>
  <si>
    <t>PINKI VERMA</t>
  </si>
  <si>
    <t>JITENDRA KUMAR VERMA</t>
  </si>
  <si>
    <t>19.11.2010</t>
  </si>
  <si>
    <t>SHRISTI PATEL</t>
  </si>
  <si>
    <t>PHOOL KAMINI</t>
  </si>
  <si>
    <t>SHIV KUMAR</t>
  </si>
  <si>
    <t>12.03.2012</t>
  </si>
  <si>
    <t>SHUBHAM KUMAR VERMA</t>
  </si>
  <si>
    <t>MAMTA VERMA</t>
  </si>
  <si>
    <t>MANOOJ KUMAR VERMA</t>
  </si>
  <si>
    <t>22.02.2010</t>
  </si>
  <si>
    <t>STUTI JAISWAL</t>
  </si>
  <si>
    <t>NEETU JAISWAL</t>
  </si>
  <si>
    <t>VIJAY KUMAR JAISWAL</t>
  </si>
  <si>
    <t>07.09.2010</t>
  </si>
  <si>
    <t>SUDHA</t>
  </si>
  <si>
    <t>LATE SHIV RANI</t>
  </si>
  <si>
    <t>RAMESHWAR</t>
  </si>
  <si>
    <t>10.11.2009</t>
  </si>
  <si>
    <t>SURAJ SHARMA</t>
  </si>
  <si>
    <t>SARITA</t>
  </si>
  <si>
    <t>PAPPU</t>
  </si>
  <si>
    <t>12.04.2009</t>
  </si>
  <si>
    <t>TRAPTI</t>
  </si>
  <si>
    <t>GAYATRI DEVI</t>
  </si>
  <si>
    <t>RAJ KUMAR SANKHWAR</t>
  </si>
  <si>
    <t>14.12.2010</t>
  </si>
  <si>
    <t>VAISHNAVI SINGH</t>
  </si>
  <si>
    <t>JYOTI SINGH</t>
  </si>
  <si>
    <t>SACHIN SINGH</t>
  </si>
  <si>
    <t>18.12.2008</t>
  </si>
  <si>
    <t>VANSH MISHRA</t>
  </si>
  <si>
    <t>SUDHA MISHRA</t>
  </si>
  <si>
    <t>DEEPAK MISHRA</t>
  </si>
  <si>
    <t>28.02.2009</t>
  </si>
  <si>
    <t>VARTIKA RANA</t>
  </si>
  <si>
    <t>SANGEETA KUMARI</t>
  </si>
  <si>
    <t>MANOJ KUMAR</t>
  </si>
  <si>
    <t>10.10.2010</t>
  </si>
  <si>
    <t>X-A</t>
  </si>
  <si>
    <t>UNIT TEST-I (2025-26) CLASS -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</si>
</sst>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1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9B11-A91D-42BE-898A-3232C26F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F6F2D-FF10-4D22-93CF-363013CF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AD83E-E7AF-4098-9CB4-F5CCD181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A918D-FCB3-4D5C-8997-DA5629B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8"/>
  <sheetViews>
    <sheetView tabSelected="1" zoomScale="130" zoomScaleNormal="130" workbookViewId="0">
      <selection activeCell="A9" sqref="A9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3" t="s">
        <v>38</v>
      </c>
      <c r="B1" s="33"/>
      <c r="C1" s="33"/>
      <c r="D1" s="33"/>
      <c r="E1" s="33"/>
      <c r="F1" s="33"/>
    </row>
    <row r="2" spans="1:6" x14ac:dyDescent="0.3">
      <c r="A2" s="22" t="s">
        <v>32</v>
      </c>
      <c r="B2" s="32" t="s">
        <v>33</v>
      </c>
      <c r="C2" s="32" t="s">
        <v>35</v>
      </c>
      <c r="D2" s="32" t="s">
        <v>34</v>
      </c>
      <c r="E2" s="32" t="s">
        <v>36</v>
      </c>
      <c r="F2" s="32" t="s">
        <v>37</v>
      </c>
    </row>
    <row r="3" spans="1:6" x14ac:dyDescent="0.3">
      <c r="A3" s="21">
        <v>1454</v>
      </c>
      <c r="B3" s="20" t="s">
        <v>93</v>
      </c>
      <c r="C3" s="3" t="s">
        <v>94</v>
      </c>
      <c r="D3" s="3" t="s">
        <v>95</v>
      </c>
      <c r="E3" s="3" t="s">
        <v>96</v>
      </c>
      <c r="F3" s="3" t="s">
        <v>274</v>
      </c>
    </row>
    <row r="4" spans="1:6" x14ac:dyDescent="0.3">
      <c r="A4" s="21">
        <v>1680</v>
      </c>
      <c r="B4" s="20" t="s">
        <v>97</v>
      </c>
      <c r="C4" s="3" t="s">
        <v>98</v>
      </c>
      <c r="D4" s="3" t="s">
        <v>99</v>
      </c>
      <c r="E4" s="3" t="s">
        <v>100</v>
      </c>
      <c r="F4" s="3" t="s">
        <v>274</v>
      </c>
    </row>
    <row r="5" spans="1:6" x14ac:dyDescent="0.3">
      <c r="A5" s="21">
        <v>758</v>
      </c>
      <c r="B5" s="20" t="s">
        <v>101</v>
      </c>
      <c r="C5" s="3" t="s">
        <v>102</v>
      </c>
      <c r="D5" s="3" t="s">
        <v>103</v>
      </c>
      <c r="E5" s="3" t="s">
        <v>104</v>
      </c>
      <c r="F5" s="3" t="s">
        <v>274</v>
      </c>
    </row>
    <row r="6" spans="1:6" x14ac:dyDescent="0.3">
      <c r="A6" s="21">
        <v>1616</v>
      </c>
      <c r="B6" s="20" t="s">
        <v>105</v>
      </c>
      <c r="C6" s="3" t="s">
        <v>106</v>
      </c>
      <c r="D6" s="3" t="s">
        <v>107</v>
      </c>
      <c r="E6" s="3" t="s">
        <v>108</v>
      </c>
      <c r="F6" s="3" t="s">
        <v>274</v>
      </c>
    </row>
    <row r="7" spans="1:6" x14ac:dyDescent="0.3">
      <c r="A7" s="21">
        <v>1443</v>
      </c>
      <c r="B7" s="20" t="s">
        <v>109</v>
      </c>
      <c r="C7" s="3" t="s">
        <v>110</v>
      </c>
      <c r="D7" s="3" t="s">
        <v>111</v>
      </c>
      <c r="E7" s="3" t="s">
        <v>112</v>
      </c>
      <c r="F7" s="3" t="s">
        <v>274</v>
      </c>
    </row>
    <row r="8" spans="1:6" x14ac:dyDescent="0.3">
      <c r="A8" s="21">
        <v>2100</v>
      </c>
      <c r="B8" s="20" t="s">
        <v>113</v>
      </c>
      <c r="C8" s="3"/>
      <c r="D8" s="3"/>
      <c r="E8" s="3"/>
      <c r="F8" s="3" t="s">
        <v>274</v>
      </c>
    </row>
    <row r="9" spans="1:6" x14ac:dyDescent="0.3">
      <c r="A9" s="21">
        <v>1767</v>
      </c>
      <c r="B9" s="20" t="s">
        <v>114</v>
      </c>
      <c r="C9" s="3" t="s">
        <v>115</v>
      </c>
      <c r="D9" s="3" t="s">
        <v>116</v>
      </c>
      <c r="E9" s="3" t="s">
        <v>117</v>
      </c>
      <c r="F9" s="3" t="s">
        <v>274</v>
      </c>
    </row>
    <row r="10" spans="1:6" x14ac:dyDescent="0.3">
      <c r="A10" s="21">
        <v>1486</v>
      </c>
      <c r="B10" s="20" t="s">
        <v>118</v>
      </c>
      <c r="C10" s="3" t="s">
        <v>119</v>
      </c>
      <c r="D10" s="3" t="s">
        <v>120</v>
      </c>
      <c r="E10" s="3" t="s">
        <v>121</v>
      </c>
      <c r="F10" s="3" t="s">
        <v>274</v>
      </c>
    </row>
    <row r="11" spans="1:6" x14ac:dyDescent="0.3">
      <c r="A11" s="21">
        <v>1615</v>
      </c>
      <c r="B11" s="20" t="s">
        <v>122</v>
      </c>
      <c r="C11" s="3" t="s">
        <v>123</v>
      </c>
      <c r="D11" s="3" t="s">
        <v>124</v>
      </c>
      <c r="E11" s="3" t="s">
        <v>125</v>
      </c>
      <c r="F11" s="3" t="s">
        <v>274</v>
      </c>
    </row>
    <row r="12" spans="1:6" x14ac:dyDescent="0.3">
      <c r="A12" s="21">
        <v>993</v>
      </c>
      <c r="B12" s="20" t="s">
        <v>126</v>
      </c>
      <c r="C12" s="3" t="s">
        <v>127</v>
      </c>
      <c r="D12" s="3" t="s">
        <v>128</v>
      </c>
      <c r="E12" s="3" t="s">
        <v>129</v>
      </c>
      <c r="F12" s="3" t="s">
        <v>274</v>
      </c>
    </row>
    <row r="13" spans="1:6" x14ac:dyDescent="0.3">
      <c r="A13" s="21">
        <v>1296</v>
      </c>
      <c r="B13" s="20" t="s">
        <v>130</v>
      </c>
      <c r="C13" s="3" t="s">
        <v>131</v>
      </c>
      <c r="D13" s="3" t="s">
        <v>132</v>
      </c>
      <c r="E13" s="3" t="s">
        <v>133</v>
      </c>
      <c r="F13" s="3" t="s">
        <v>274</v>
      </c>
    </row>
    <row r="14" spans="1:6" x14ac:dyDescent="0.3">
      <c r="A14" s="21">
        <v>1392</v>
      </c>
      <c r="B14" s="20" t="s">
        <v>134</v>
      </c>
      <c r="C14" s="3" t="s">
        <v>135</v>
      </c>
      <c r="D14" s="3" t="s">
        <v>136</v>
      </c>
      <c r="E14" s="3" t="s">
        <v>137</v>
      </c>
      <c r="F14" s="3" t="s">
        <v>274</v>
      </c>
    </row>
    <row r="15" spans="1:6" x14ac:dyDescent="0.3">
      <c r="A15" s="21">
        <v>759</v>
      </c>
      <c r="B15" s="20" t="s">
        <v>138</v>
      </c>
      <c r="C15" s="3" t="s">
        <v>139</v>
      </c>
      <c r="D15" s="3" t="s">
        <v>140</v>
      </c>
      <c r="E15" s="3" t="s">
        <v>141</v>
      </c>
      <c r="F15" s="3" t="s">
        <v>274</v>
      </c>
    </row>
    <row r="16" spans="1:6" x14ac:dyDescent="0.3">
      <c r="A16" s="21">
        <v>1598</v>
      </c>
      <c r="B16" s="20" t="s">
        <v>142</v>
      </c>
      <c r="C16" s="3" t="s">
        <v>143</v>
      </c>
      <c r="D16" s="3" t="s">
        <v>144</v>
      </c>
      <c r="E16" s="3" t="s">
        <v>145</v>
      </c>
      <c r="F16" s="3" t="s">
        <v>274</v>
      </c>
    </row>
    <row r="17" spans="1:6" x14ac:dyDescent="0.3">
      <c r="A17" s="21">
        <v>1650</v>
      </c>
      <c r="B17" s="20" t="s">
        <v>146</v>
      </c>
      <c r="C17" s="3" t="s">
        <v>147</v>
      </c>
      <c r="D17" s="3" t="s">
        <v>148</v>
      </c>
      <c r="E17" s="3" t="s">
        <v>149</v>
      </c>
      <c r="F17" s="3" t="s">
        <v>274</v>
      </c>
    </row>
    <row r="18" spans="1:6" x14ac:dyDescent="0.3">
      <c r="A18" s="21">
        <v>1661</v>
      </c>
      <c r="B18" s="20" t="s">
        <v>150</v>
      </c>
      <c r="C18" s="3" t="s">
        <v>151</v>
      </c>
      <c r="D18" s="3" t="s">
        <v>152</v>
      </c>
      <c r="E18" s="3" t="s">
        <v>153</v>
      </c>
      <c r="F18" s="3" t="s">
        <v>274</v>
      </c>
    </row>
    <row r="19" spans="1:6" x14ac:dyDescent="0.3">
      <c r="A19" s="21">
        <v>1704</v>
      </c>
      <c r="B19" s="20" t="s">
        <v>154</v>
      </c>
      <c r="C19" s="3" t="s">
        <v>155</v>
      </c>
      <c r="D19" s="3" t="s">
        <v>156</v>
      </c>
      <c r="E19" s="3" t="s">
        <v>157</v>
      </c>
      <c r="F19" s="3" t="s">
        <v>274</v>
      </c>
    </row>
    <row r="20" spans="1:6" x14ac:dyDescent="0.3">
      <c r="A20" s="21">
        <v>1437</v>
      </c>
      <c r="B20" s="20" t="s">
        <v>158</v>
      </c>
      <c r="C20" s="3" t="s">
        <v>159</v>
      </c>
      <c r="D20" s="3" t="s">
        <v>160</v>
      </c>
      <c r="E20" s="3" t="s">
        <v>161</v>
      </c>
      <c r="F20" s="3" t="s">
        <v>274</v>
      </c>
    </row>
    <row r="21" spans="1:6" x14ac:dyDescent="0.3">
      <c r="A21" s="21">
        <v>1605</v>
      </c>
      <c r="B21" s="20" t="s">
        <v>162</v>
      </c>
      <c r="C21" s="3" t="s">
        <v>163</v>
      </c>
      <c r="D21" s="3" t="s">
        <v>164</v>
      </c>
      <c r="E21" s="3" t="s">
        <v>165</v>
      </c>
      <c r="F21" s="3" t="s">
        <v>274</v>
      </c>
    </row>
    <row r="22" spans="1:6" x14ac:dyDescent="0.3">
      <c r="A22" s="21">
        <v>1640</v>
      </c>
      <c r="B22" s="20" t="s">
        <v>166</v>
      </c>
      <c r="C22" s="3" t="s">
        <v>167</v>
      </c>
      <c r="D22" s="3" t="s">
        <v>168</v>
      </c>
      <c r="E22" s="3" t="s">
        <v>169</v>
      </c>
      <c r="F22" s="3" t="s">
        <v>274</v>
      </c>
    </row>
    <row r="23" spans="1:6" x14ac:dyDescent="0.3">
      <c r="A23" s="21">
        <v>1678</v>
      </c>
      <c r="B23" s="20" t="s">
        <v>170</v>
      </c>
      <c r="C23" s="3" t="s">
        <v>171</v>
      </c>
      <c r="D23" s="3" t="s">
        <v>172</v>
      </c>
      <c r="E23" s="3" t="s">
        <v>173</v>
      </c>
      <c r="F23" s="3" t="s">
        <v>274</v>
      </c>
    </row>
    <row r="24" spans="1:6" x14ac:dyDescent="0.3">
      <c r="A24" s="21">
        <v>1330</v>
      </c>
      <c r="B24" s="20" t="s">
        <v>174</v>
      </c>
      <c r="C24" s="3" t="s">
        <v>175</v>
      </c>
      <c r="D24" s="3" t="s">
        <v>176</v>
      </c>
      <c r="E24" s="3" t="s">
        <v>177</v>
      </c>
      <c r="F24" s="3" t="s">
        <v>274</v>
      </c>
    </row>
    <row r="25" spans="1:6" x14ac:dyDescent="0.3">
      <c r="A25" s="21">
        <v>777</v>
      </c>
      <c r="B25" s="20" t="s">
        <v>178</v>
      </c>
      <c r="C25" s="3" t="s">
        <v>179</v>
      </c>
      <c r="D25" s="3" t="s">
        <v>180</v>
      </c>
      <c r="E25" s="3" t="s">
        <v>181</v>
      </c>
      <c r="F25" s="3" t="s">
        <v>274</v>
      </c>
    </row>
    <row r="26" spans="1:6" x14ac:dyDescent="0.3">
      <c r="A26" s="21">
        <v>763</v>
      </c>
      <c r="B26" s="20" t="s">
        <v>182</v>
      </c>
      <c r="C26" s="3" t="s">
        <v>183</v>
      </c>
      <c r="D26" s="3" t="s">
        <v>184</v>
      </c>
      <c r="E26" s="3" t="s">
        <v>185</v>
      </c>
      <c r="F26" s="3" t="s">
        <v>274</v>
      </c>
    </row>
    <row r="27" spans="1:6" x14ac:dyDescent="0.3">
      <c r="A27" s="21">
        <v>1619</v>
      </c>
      <c r="B27" s="20" t="s">
        <v>186</v>
      </c>
      <c r="C27" s="3" t="s">
        <v>187</v>
      </c>
      <c r="D27" s="3" t="s">
        <v>188</v>
      </c>
      <c r="E27" s="3" t="s">
        <v>189</v>
      </c>
      <c r="F27" s="3" t="s">
        <v>274</v>
      </c>
    </row>
    <row r="28" spans="1:6" x14ac:dyDescent="0.3">
      <c r="A28" s="21">
        <v>1687</v>
      </c>
      <c r="B28" s="20" t="s">
        <v>190</v>
      </c>
      <c r="C28" s="3" t="s">
        <v>191</v>
      </c>
      <c r="D28" s="3" t="s">
        <v>192</v>
      </c>
      <c r="E28" s="3" t="s">
        <v>193</v>
      </c>
      <c r="F28" s="3" t="s">
        <v>274</v>
      </c>
    </row>
    <row r="29" spans="1:6" x14ac:dyDescent="0.3">
      <c r="A29" s="21">
        <v>1653</v>
      </c>
      <c r="B29" s="20" t="s">
        <v>194</v>
      </c>
      <c r="C29" s="3" t="s">
        <v>195</v>
      </c>
      <c r="D29" s="3" t="s">
        <v>196</v>
      </c>
      <c r="E29" s="3" t="s">
        <v>197</v>
      </c>
      <c r="F29" s="3" t="s">
        <v>274</v>
      </c>
    </row>
    <row r="30" spans="1:6" x14ac:dyDescent="0.3">
      <c r="A30" s="21">
        <v>1700</v>
      </c>
      <c r="B30" s="20" t="s">
        <v>198</v>
      </c>
      <c r="C30" s="3" t="s">
        <v>199</v>
      </c>
      <c r="D30" s="3" t="s">
        <v>200</v>
      </c>
      <c r="E30" s="3" t="s">
        <v>201</v>
      </c>
      <c r="F30" s="3" t="s">
        <v>274</v>
      </c>
    </row>
    <row r="31" spans="1:6" x14ac:dyDescent="0.3">
      <c r="A31" s="21">
        <v>1603</v>
      </c>
      <c r="B31" s="20" t="s">
        <v>202</v>
      </c>
      <c r="C31" s="3" t="s">
        <v>203</v>
      </c>
      <c r="D31" s="3" t="s">
        <v>204</v>
      </c>
      <c r="E31" s="3" t="s">
        <v>205</v>
      </c>
      <c r="F31" s="3" t="s">
        <v>274</v>
      </c>
    </row>
    <row r="32" spans="1:6" x14ac:dyDescent="0.3">
      <c r="A32" s="21">
        <v>764</v>
      </c>
      <c r="B32" s="20" t="s">
        <v>206</v>
      </c>
      <c r="C32" s="3" t="s">
        <v>207</v>
      </c>
      <c r="D32" s="3" t="s">
        <v>208</v>
      </c>
      <c r="E32" s="3" t="s">
        <v>209</v>
      </c>
      <c r="F32" s="3" t="s">
        <v>274</v>
      </c>
    </row>
    <row r="33" spans="1:6" x14ac:dyDescent="0.3">
      <c r="A33" s="21">
        <v>1301</v>
      </c>
      <c r="B33" s="20" t="s">
        <v>210</v>
      </c>
      <c r="C33" s="3" t="s">
        <v>211</v>
      </c>
      <c r="D33" s="3" t="s">
        <v>212</v>
      </c>
      <c r="E33" s="3" t="s">
        <v>213</v>
      </c>
      <c r="F33" s="3" t="s">
        <v>274</v>
      </c>
    </row>
    <row r="34" spans="1:6" x14ac:dyDescent="0.3">
      <c r="A34" s="21">
        <v>1641</v>
      </c>
      <c r="B34" s="20" t="s">
        <v>214</v>
      </c>
      <c r="C34" s="3" t="s">
        <v>215</v>
      </c>
      <c r="D34" s="3" t="s">
        <v>216</v>
      </c>
      <c r="E34" s="3" t="s">
        <v>217</v>
      </c>
      <c r="F34" s="3" t="s">
        <v>274</v>
      </c>
    </row>
    <row r="35" spans="1:6" x14ac:dyDescent="0.3">
      <c r="A35" s="21">
        <v>1669</v>
      </c>
      <c r="B35" s="20" t="s">
        <v>218</v>
      </c>
      <c r="C35" s="3" t="s">
        <v>219</v>
      </c>
      <c r="D35" s="3" t="s">
        <v>220</v>
      </c>
      <c r="E35" s="3" t="s">
        <v>221</v>
      </c>
      <c r="F35" s="3" t="s">
        <v>274</v>
      </c>
    </row>
    <row r="36" spans="1:6" x14ac:dyDescent="0.3">
      <c r="A36" s="21">
        <v>806</v>
      </c>
      <c r="B36" s="20" t="s">
        <v>222</v>
      </c>
      <c r="C36" s="3" t="s">
        <v>223</v>
      </c>
      <c r="D36" s="3" t="s">
        <v>224</v>
      </c>
      <c r="E36" s="3" t="s">
        <v>225</v>
      </c>
      <c r="F36" s="3" t="s">
        <v>274</v>
      </c>
    </row>
    <row r="37" spans="1:6" x14ac:dyDescent="0.3">
      <c r="A37" s="21">
        <v>1367</v>
      </c>
      <c r="B37" s="20" t="s">
        <v>226</v>
      </c>
      <c r="C37" s="3" t="s">
        <v>227</v>
      </c>
      <c r="D37" s="3" t="s">
        <v>228</v>
      </c>
      <c r="E37" s="3" t="s">
        <v>229</v>
      </c>
      <c r="F37" s="3" t="s">
        <v>274</v>
      </c>
    </row>
    <row r="38" spans="1:6" x14ac:dyDescent="0.3">
      <c r="A38" s="21">
        <v>1629</v>
      </c>
      <c r="B38" s="20" t="s">
        <v>230</v>
      </c>
      <c r="C38" s="3" t="s">
        <v>231</v>
      </c>
      <c r="D38" s="3" t="s">
        <v>232</v>
      </c>
      <c r="E38" s="3" t="s">
        <v>233</v>
      </c>
      <c r="F38" s="3" t="s">
        <v>274</v>
      </c>
    </row>
    <row r="39" spans="1:6" x14ac:dyDescent="0.3">
      <c r="A39" s="21">
        <v>1667</v>
      </c>
      <c r="B39" s="3" t="s">
        <v>234</v>
      </c>
      <c r="C39" s="3" t="s">
        <v>235</v>
      </c>
      <c r="D39" s="3" t="s">
        <v>236</v>
      </c>
      <c r="E39" s="3" t="s">
        <v>237</v>
      </c>
      <c r="F39" s="3" t="s">
        <v>274</v>
      </c>
    </row>
    <row r="40" spans="1:6" x14ac:dyDescent="0.3">
      <c r="A40" s="21">
        <v>1614</v>
      </c>
      <c r="B40" s="3" t="s">
        <v>238</v>
      </c>
      <c r="C40" s="3" t="s">
        <v>239</v>
      </c>
      <c r="D40" s="3" t="s">
        <v>240</v>
      </c>
      <c r="E40" s="3" t="s">
        <v>241</v>
      </c>
      <c r="F40" s="3" t="s">
        <v>274</v>
      </c>
    </row>
    <row r="41" spans="1:6" x14ac:dyDescent="0.3">
      <c r="A41" s="21">
        <v>989</v>
      </c>
      <c r="B41" s="3" t="s">
        <v>242</v>
      </c>
      <c r="C41" s="3" t="s">
        <v>243</v>
      </c>
      <c r="D41" s="3" t="s">
        <v>244</v>
      </c>
      <c r="E41" s="3" t="s">
        <v>245</v>
      </c>
      <c r="F41" s="3" t="s">
        <v>274</v>
      </c>
    </row>
    <row r="42" spans="1:6" x14ac:dyDescent="0.3">
      <c r="A42" s="21">
        <v>1645</v>
      </c>
      <c r="B42" s="3" t="s">
        <v>246</v>
      </c>
      <c r="C42" s="3" t="s">
        <v>247</v>
      </c>
      <c r="D42" s="3" t="s">
        <v>248</v>
      </c>
      <c r="E42" s="3" t="s">
        <v>249</v>
      </c>
      <c r="F42" s="3" t="s">
        <v>274</v>
      </c>
    </row>
    <row r="43" spans="1:6" x14ac:dyDescent="0.3">
      <c r="A43" s="21">
        <v>1647</v>
      </c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274</v>
      </c>
    </row>
    <row r="44" spans="1:6" x14ac:dyDescent="0.3">
      <c r="A44" s="21">
        <v>766</v>
      </c>
      <c r="B44" s="3" t="s">
        <v>254</v>
      </c>
      <c r="C44" s="3" t="s">
        <v>255</v>
      </c>
      <c r="D44" s="3" t="s">
        <v>256</v>
      </c>
      <c r="E44" s="3" t="s">
        <v>257</v>
      </c>
      <c r="F44" s="3" t="s">
        <v>274</v>
      </c>
    </row>
    <row r="45" spans="1:6" x14ac:dyDescent="0.3">
      <c r="A45" s="21">
        <v>1617</v>
      </c>
      <c r="B45" s="3" t="s">
        <v>258</v>
      </c>
      <c r="C45" s="3" t="s">
        <v>259</v>
      </c>
      <c r="D45" s="3" t="s">
        <v>260</v>
      </c>
      <c r="E45" s="3" t="s">
        <v>261</v>
      </c>
      <c r="F45" s="3" t="s">
        <v>274</v>
      </c>
    </row>
    <row r="46" spans="1:6" x14ac:dyDescent="0.3">
      <c r="A46" s="21">
        <v>1608</v>
      </c>
      <c r="B46" s="3" t="s">
        <v>262</v>
      </c>
      <c r="C46" s="3" t="s">
        <v>263</v>
      </c>
      <c r="D46" s="3" t="s">
        <v>264</v>
      </c>
      <c r="E46" s="3" t="s">
        <v>265</v>
      </c>
      <c r="F46" s="3" t="s">
        <v>274</v>
      </c>
    </row>
    <row r="47" spans="1:6" x14ac:dyDescent="0.3">
      <c r="A47" s="21">
        <v>1693</v>
      </c>
      <c r="B47" s="3" t="s">
        <v>266</v>
      </c>
      <c r="C47" s="3" t="s">
        <v>267</v>
      </c>
      <c r="D47" s="3" t="s">
        <v>268</v>
      </c>
      <c r="E47" s="3" t="s">
        <v>269</v>
      </c>
      <c r="F47" s="3" t="s">
        <v>274</v>
      </c>
    </row>
    <row r="48" spans="1:6" x14ac:dyDescent="0.3">
      <c r="A48" s="21">
        <v>1104</v>
      </c>
      <c r="B48" s="3" t="s">
        <v>270</v>
      </c>
      <c r="C48" s="3" t="s">
        <v>271</v>
      </c>
      <c r="D48" s="3" t="s">
        <v>272</v>
      </c>
      <c r="E48" s="3" t="s">
        <v>273</v>
      </c>
      <c r="F48" s="3" t="s">
        <v>274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9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34" t="s">
        <v>275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3">
      <c r="A2" s="38" t="s">
        <v>39</v>
      </c>
      <c r="B2" s="38" t="s">
        <v>40</v>
      </c>
      <c r="C2" s="38" t="s">
        <v>7</v>
      </c>
      <c r="D2" s="38" t="s">
        <v>8</v>
      </c>
      <c r="E2" s="38" t="s">
        <v>41</v>
      </c>
      <c r="F2" s="38" t="s">
        <v>73</v>
      </c>
      <c r="G2" s="36" t="s">
        <v>77</v>
      </c>
      <c r="H2" s="36" t="s">
        <v>75</v>
      </c>
      <c r="I2" s="38" t="s">
        <v>59</v>
      </c>
      <c r="J2" s="38"/>
    </row>
    <row r="3" spans="1:10" x14ac:dyDescent="0.3">
      <c r="A3" s="38"/>
      <c r="B3" s="38"/>
      <c r="C3" s="38"/>
      <c r="D3" s="38"/>
      <c r="E3" s="38"/>
      <c r="F3" s="38"/>
      <c r="G3" s="37"/>
      <c r="H3" s="37"/>
      <c r="I3" s="24" t="s">
        <v>60</v>
      </c>
      <c r="J3" s="24" t="s">
        <v>61</v>
      </c>
    </row>
    <row r="4" spans="1:10" x14ac:dyDescent="0.3">
      <c r="A4" s="26">
        <f>DETAILS!A3</f>
        <v>1454</v>
      </c>
      <c r="B4" s="27" t="str">
        <f>DETAILS!B3</f>
        <v>AARUSH SONI</v>
      </c>
      <c r="C4" s="27"/>
      <c r="D4" s="27"/>
      <c r="E4" s="27"/>
      <c r="F4" s="27"/>
      <c r="G4" s="27"/>
      <c r="H4" s="27"/>
      <c r="I4" s="3"/>
      <c r="J4" s="3"/>
    </row>
    <row r="5" spans="1:10" x14ac:dyDescent="0.3">
      <c r="A5" s="21">
        <f>DETAILS!A4</f>
        <v>1680</v>
      </c>
      <c r="B5" s="3" t="str">
        <f>DETAILS!B4</f>
        <v>AARVI JAISWAL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1">
        <f>DETAILS!A5</f>
        <v>758</v>
      </c>
      <c r="B6" s="3" t="str">
        <f>DETAILS!B5</f>
        <v>ABDUL AHAD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1">
        <f>DETAILS!A6</f>
        <v>1616</v>
      </c>
      <c r="B7" s="3" t="str">
        <f>DETAILS!B6</f>
        <v>ANAV SINGH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1">
        <f>DETAILS!A7</f>
        <v>1443</v>
      </c>
      <c r="B8" s="3" t="str">
        <f>DETAILS!B7</f>
        <v>ANKIT KUMAR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1">
        <f>DETAILS!A8</f>
        <v>2100</v>
      </c>
      <c r="B9" s="3" t="str">
        <f>DETAILS!B8</f>
        <v>ANSH SHUKLA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1">
        <f>DETAILS!A9</f>
        <v>1767</v>
      </c>
      <c r="B10" s="3" t="str">
        <f>DETAILS!B9</f>
        <v>ANSHIKA MISHRA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1">
        <f>DETAILS!A10</f>
        <v>1486</v>
      </c>
      <c r="B11" s="3" t="str">
        <f>DETAILS!B10</f>
        <v>ANUBHAV CHOUDHARY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1">
        <f>DETAILS!A11</f>
        <v>1615</v>
      </c>
      <c r="B12" s="3" t="str">
        <f>DETAILS!B11</f>
        <v>ARADHYA TIWARI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1">
        <f>DETAILS!A12</f>
        <v>993</v>
      </c>
      <c r="B13" s="3" t="str">
        <f>DETAILS!B12</f>
        <v>ARYAN MAURYA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1">
        <f>DETAILS!A13</f>
        <v>1296</v>
      </c>
      <c r="B14" s="3" t="str">
        <f>DETAILS!B13</f>
        <v>ARYAN SINGH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1">
        <f>DETAILS!A14</f>
        <v>1392</v>
      </c>
      <c r="B15" s="3" t="str">
        <f>DETAILS!B14</f>
        <v>ASTITVA  SHYAM TIWARI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1">
        <f>DETAILS!A15</f>
        <v>759</v>
      </c>
      <c r="B16" s="3" t="str">
        <f>DETAILS!B15</f>
        <v>DEVENDRA PATHAK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1">
        <f>DETAILS!A16</f>
        <v>1598</v>
      </c>
      <c r="B17" s="3" t="str">
        <f>DETAILS!B16</f>
        <v>DIVYANSHI SINGH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1">
        <f>DETAILS!A17</f>
        <v>1650</v>
      </c>
      <c r="B18" s="3" t="str">
        <f>DETAILS!B17</f>
        <v>DIVYANSHU YADAV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1">
        <f>DETAILS!A18</f>
        <v>1661</v>
      </c>
      <c r="B19" s="3" t="str">
        <f>DETAILS!B18</f>
        <v>GARIMA YADAV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1">
        <f>DETAILS!A19</f>
        <v>1704</v>
      </c>
      <c r="B20" s="3" t="str">
        <f>DETAILS!B19</f>
        <v>HARSH SINGH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1">
        <f>DETAILS!A20</f>
        <v>1437</v>
      </c>
      <c r="B21" s="3" t="str">
        <f>DETAILS!B20</f>
        <v>KANISHKA YADAV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1">
        <f>DETAILS!A21</f>
        <v>1605</v>
      </c>
      <c r="B22" s="3" t="str">
        <f>DETAILS!B21</f>
        <v>KARUNESH SINGH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1">
        <f>DETAILS!A22</f>
        <v>1640</v>
      </c>
      <c r="B23" s="3" t="str">
        <f>DETAILS!B22</f>
        <v>KRISHNA GUPTA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1">
        <f>DETAILS!A23</f>
        <v>1678</v>
      </c>
      <c r="B24" s="3" t="str">
        <f>DETAILS!B23</f>
        <v>KUNAL DHANUK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1">
        <f>DETAILS!A24</f>
        <v>1330</v>
      </c>
      <c r="B25" s="3" t="str">
        <f>DETAILS!B24</f>
        <v>KUSHAGRA SINGH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1">
        <f>DETAILS!A25</f>
        <v>777</v>
      </c>
      <c r="B26" s="3" t="str">
        <f>DETAILS!B25</f>
        <v>MAHEE JAISWAL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1">
        <f>DETAILS!A26</f>
        <v>763</v>
      </c>
      <c r="B27" s="3" t="str">
        <f>DETAILS!B26</f>
        <v>MAHEK RAWAT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1">
        <f>DETAILS!A27</f>
        <v>1619</v>
      </c>
      <c r="B28" s="3" t="str">
        <f>DETAILS!B27</f>
        <v>MOHD FAIZ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1">
        <f>DETAILS!A28</f>
        <v>1687</v>
      </c>
      <c r="B29" s="3" t="str">
        <f>DETAILS!B28</f>
        <v>MOHINI YADAV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1">
        <f>DETAILS!A29</f>
        <v>1653</v>
      </c>
      <c r="B30" s="3" t="str">
        <f>DETAILS!B29</f>
        <v>MUSKAN MEENA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1">
        <f>DETAILS!A30</f>
        <v>1700</v>
      </c>
      <c r="B31" s="3" t="str">
        <f>DETAILS!B30</f>
        <v>NASHRA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1">
        <f>DETAILS!A31</f>
        <v>1603</v>
      </c>
      <c r="B32" s="3" t="str">
        <f>DETAILS!B31</f>
        <v>PRAGATI TIWARI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1">
        <f>DETAILS!A32</f>
        <v>764</v>
      </c>
      <c r="B33" s="3" t="str">
        <f>DETAILS!B32</f>
        <v>PRAKHAR VERMA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1">
        <f>DETAILS!A33</f>
        <v>1301</v>
      </c>
      <c r="B34" s="3" t="str">
        <f>DETAILS!B33</f>
        <v>PRASHANT YADAV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1">
        <f>DETAILS!A34</f>
        <v>1641</v>
      </c>
      <c r="B35" s="3" t="str">
        <f>DETAILS!B34</f>
        <v>PRIYANSHU YADAV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1">
        <f>DETAILS!A35</f>
        <v>1669</v>
      </c>
      <c r="B36" s="3" t="str">
        <f>DETAILS!B35</f>
        <v>RAUNAK KUMAR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1">
        <f>DETAILS!A36</f>
        <v>806</v>
      </c>
      <c r="B37" s="3" t="str">
        <f>DETAILS!B36</f>
        <v>SAMRIDH SRIVASTAVA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1">
        <f>DETAILS!A37</f>
        <v>1367</v>
      </c>
      <c r="B38" s="3" t="str">
        <f>DETAILS!B37</f>
        <v>SATYAM  SINGH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1">
        <f>DETAILS!A38</f>
        <v>1629</v>
      </c>
      <c r="B39" s="3" t="str">
        <f>DETAILS!B38</f>
        <v>SHAVI JAISWAL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1">
        <f>DETAILS!A39</f>
        <v>1667</v>
      </c>
      <c r="B40" s="3" t="str">
        <f>DETAILS!B39</f>
        <v>SHIVA VERMA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1">
        <f>DETAILS!A40</f>
        <v>1614</v>
      </c>
      <c r="B41" s="3" t="str">
        <f>DETAILS!B40</f>
        <v>SHRISTI PATEL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1">
        <f>DETAILS!A41</f>
        <v>989</v>
      </c>
      <c r="B42" s="3" t="str">
        <f>DETAILS!B41</f>
        <v>SHUBHAM KUMAR VERMA</v>
      </c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21">
        <f>DETAILS!A42</f>
        <v>1645</v>
      </c>
      <c r="B43" s="3" t="str">
        <f>DETAILS!B42</f>
        <v>STUTI JAISWAL</v>
      </c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21">
        <f>DETAILS!A43</f>
        <v>1647</v>
      </c>
      <c r="B44" s="3" t="str">
        <f>DETAILS!B43</f>
        <v>SUDHA</v>
      </c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21">
        <f>DETAILS!A44</f>
        <v>766</v>
      </c>
      <c r="B45" s="3" t="str">
        <f>DETAILS!B44</f>
        <v>SURAJ SHARMA</v>
      </c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21">
        <f>DETAILS!A45</f>
        <v>1617</v>
      </c>
      <c r="B46" s="3" t="str">
        <f>DETAILS!B45</f>
        <v>TRAPTI</v>
      </c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21">
        <f>DETAILS!A46</f>
        <v>1608</v>
      </c>
      <c r="B47" s="3" t="str">
        <f>DETAILS!B46</f>
        <v>VAISHNAVI SINGH</v>
      </c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21">
        <f>DETAILS!A47</f>
        <v>1693</v>
      </c>
      <c r="B48" s="3" t="str">
        <f>DETAILS!B47</f>
        <v>VANSH MISHRA</v>
      </c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21">
        <f>DETAILS!A48</f>
        <v>1104</v>
      </c>
      <c r="B49" s="3" t="str">
        <f>DETAILS!B48</f>
        <v>VARTIKA RANA</v>
      </c>
      <c r="C49" s="3"/>
      <c r="D49" s="3"/>
      <c r="E49" s="3"/>
      <c r="F49" s="3"/>
      <c r="G49" s="3"/>
      <c r="H49" s="3"/>
      <c r="I49" s="3"/>
      <c r="J49" s="3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49"/>
  <sheetViews>
    <sheetView zoomScaleNormal="100"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34" t="s">
        <v>275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x14ac:dyDescent="0.3">
      <c r="A2" s="41" t="s">
        <v>39</v>
      </c>
      <c r="B2" s="41" t="s">
        <v>40</v>
      </c>
      <c r="C2" s="39" t="s">
        <v>7</v>
      </c>
      <c r="D2" s="39" t="s">
        <v>8</v>
      </c>
      <c r="E2" s="39" t="s">
        <v>41</v>
      </c>
      <c r="F2" s="39" t="s">
        <v>73</v>
      </c>
      <c r="G2" s="36" t="s">
        <v>77</v>
      </c>
      <c r="H2" s="36" t="s">
        <v>76</v>
      </c>
      <c r="I2" s="39" t="s">
        <v>42</v>
      </c>
      <c r="J2" s="39" t="s">
        <v>62</v>
      </c>
      <c r="K2" s="38" t="s">
        <v>59</v>
      </c>
      <c r="L2" s="38"/>
    </row>
    <row r="3" spans="1:12" x14ac:dyDescent="0.3">
      <c r="A3" s="42"/>
      <c r="B3" s="42"/>
      <c r="C3" s="40"/>
      <c r="D3" s="40"/>
      <c r="E3" s="40"/>
      <c r="F3" s="40"/>
      <c r="G3" s="37"/>
      <c r="H3" s="37"/>
      <c r="I3" s="40"/>
      <c r="J3" s="40"/>
      <c r="K3" s="24" t="s">
        <v>60</v>
      </c>
      <c r="L3" s="24" t="s">
        <v>61</v>
      </c>
    </row>
    <row r="4" spans="1:12" x14ac:dyDescent="0.3">
      <c r="A4" s="21">
        <f>DETAILS!A3</f>
        <v>1454</v>
      </c>
      <c r="B4" s="3" t="str">
        <f>DETAILS!B3</f>
        <v>AARUSH SONI</v>
      </c>
      <c r="C4" s="25">
        <f>IFERROR(ROUND((VLOOKUP(A4,'UT-I(Entry)'!$1:$1048576,3,0))/2,0),VLOOKUP(A4,'UT-I(Entry)'!$1:$1048576,3,0))</f>
        <v>0</v>
      </c>
      <c r="D4" s="25">
        <f>IFERROR(ROUND((VLOOKUP(A4,'UT-I(Entry)'!$1:$1048576,4,0))/2,0),VLOOKUP(A4,'UT-I(Entry)'!$1:$1048576,4,0))</f>
        <v>0</v>
      </c>
      <c r="E4" s="25">
        <f>IFERROR(ROUND((VLOOKUP(A4,'UT-I(Entry)'!$1:$1048576,5,0))/2,0),VLOOKUP(A4,'UT-I(Entry)'!$1:$1048576,5,0))</f>
        <v>0</v>
      </c>
      <c r="F4" s="25">
        <f>IFERROR(ROUND((VLOOKUP(A4,'UT-I(Entry)'!$1:$1048576,6,0))/2,0),VLOOKUP(A4,'UT-I(Entry)'!$1:$1048576,6,0))</f>
        <v>0</v>
      </c>
      <c r="G4" s="25">
        <f>IFERROR(ROUND((VLOOKUP($A4,'UT-I(Entry)'!$1:$1048576,7,0))/2,0),VLOOKUP($A4,'UT-I(Entry)'!$1:$1048576,7,0))</f>
        <v>0</v>
      </c>
      <c r="H4" s="25">
        <f>IFERROR(ROUND((VLOOKUP($A4,'UT-I(Entry)'!$1:$1048576,8,0))/2,0),VLOOKUP($A4,'UT-I(Entry)'!$1:$1048576,8,0))</f>
        <v>0</v>
      </c>
      <c r="I4" s="25">
        <f>SUM(C4:H4)</f>
        <v>0</v>
      </c>
      <c r="J4" s="25" t="str">
        <f>ROUND(I4/1.2,2)&amp;" %"</f>
        <v>0 %</v>
      </c>
      <c r="K4" s="3">
        <f>VLOOKUP(A4,'UT-I(Entry)'!$1:$1048576,9,0)</f>
        <v>0</v>
      </c>
      <c r="L4" s="3">
        <f>VLOOKUP(A4,'UT-I(Entry)'!$1:$1048576,10,0)</f>
        <v>0</v>
      </c>
    </row>
    <row r="5" spans="1:12" x14ac:dyDescent="0.3">
      <c r="A5" s="21">
        <f>DETAILS!A4</f>
        <v>1680</v>
      </c>
      <c r="B5" s="3" t="str">
        <f>DETAILS!B4</f>
        <v>AARVI JAISWAL</v>
      </c>
      <c r="C5" s="25">
        <f>IFERROR(ROUND((VLOOKUP(A5,'UT-I(Entry)'!$1:$1048576,3,0))/2,0),VLOOKUP(A5,'UT-I(Entry)'!$1:$1048576,3,0))</f>
        <v>0</v>
      </c>
      <c r="D5" s="25">
        <f>IFERROR(ROUND((VLOOKUP(A5,'UT-I(Entry)'!$1:$1048576,4,0))/2,0),VLOOKUP(A5,'UT-I(Entry)'!$1:$1048576,4,0))</f>
        <v>0</v>
      </c>
      <c r="E5" s="25">
        <f>IFERROR(ROUND((VLOOKUP(A5,'UT-I(Entry)'!$1:$1048576,5,0))/2,0),VLOOKUP(A5,'UT-I(Entry)'!$1:$1048576,5,0))</f>
        <v>0</v>
      </c>
      <c r="F5" s="25">
        <f>IFERROR(ROUND((VLOOKUP(A5,'UT-I(Entry)'!$1:$1048576,6,0))/2,0),VLOOKUP(A5,'UT-I(Entry)'!$1:$1048576,6,0))</f>
        <v>0</v>
      </c>
      <c r="G5" s="25">
        <f>IFERROR(ROUND((VLOOKUP(A5,'UT-I(Entry)'!$1:$1048576,7,0))/2,0),VLOOKUP(A5,'UT-I(Entry)'!$1:$1048576,7,0))</f>
        <v>0</v>
      </c>
      <c r="H5" s="25">
        <f>IFERROR(ROUND((VLOOKUP($A5,'UT-I(Entry)'!$1:$1048576,8,0))/2,0),VLOOKUP($A5,'UT-I(Entry)'!$1:$1048576,8,0))</f>
        <v>0</v>
      </c>
      <c r="I5" s="25">
        <f t="shared" ref="I5:I42" si="0">SUM(C5:H5)</f>
        <v>0</v>
      </c>
      <c r="J5" s="25" t="str">
        <f t="shared" ref="J5:J42" si="1">ROUND(I5/1.2,2)&amp;" %"</f>
        <v>0 %</v>
      </c>
      <c r="K5" s="3">
        <f>VLOOKUP(A5,'UT-I(Entry)'!$1:$1048576,9,0)</f>
        <v>0</v>
      </c>
      <c r="L5" s="3">
        <f>VLOOKUP(A5,'UT-I(Entry)'!$1:$1048576,10,0)</f>
        <v>0</v>
      </c>
    </row>
    <row r="6" spans="1:12" x14ac:dyDescent="0.3">
      <c r="A6" s="21">
        <f>DETAILS!A5</f>
        <v>758</v>
      </c>
      <c r="B6" s="3" t="str">
        <f>DETAILS!B5</f>
        <v>ABDUL AHAD</v>
      </c>
      <c r="C6" s="25">
        <f>IFERROR(ROUND((VLOOKUP(A6,'UT-I(Entry)'!$1:$1048576,3,0))/2,0),VLOOKUP(A6,'UT-I(Entry)'!$1:$1048576,3,0))</f>
        <v>0</v>
      </c>
      <c r="D6" s="25">
        <f>IFERROR(ROUND((VLOOKUP(A6,'UT-I(Entry)'!$1:$1048576,4,0))/2,0),VLOOKUP(A6,'UT-I(Entry)'!$1:$1048576,4,0))</f>
        <v>0</v>
      </c>
      <c r="E6" s="25">
        <f>IFERROR(ROUND((VLOOKUP(A6,'UT-I(Entry)'!$1:$1048576,5,0))/2,0),VLOOKUP(A6,'UT-I(Entry)'!$1:$1048576,5,0))</f>
        <v>0</v>
      </c>
      <c r="F6" s="25">
        <f>IFERROR(ROUND((VLOOKUP(A6,'UT-I(Entry)'!$1:$1048576,6,0))/2,0),VLOOKUP(A6,'UT-I(Entry)'!$1:$1048576,6,0))</f>
        <v>0</v>
      </c>
      <c r="G6" s="25">
        <f>IFERROR(ROUND((VLOOKUP(A6,'UT-I(Entry)'!$1:$1048576,7,0))/2,0),VLOOKUP(A6,'UT-I(Entry)'!$1:$1048576,7,0))</f>
        <v>0</v>
      </c>
      <c r="H6" s="25">
        <f>IFERROR(ROUND((VLOOKUP($A6,'UT-I(Entry)'!$1:$1048576,8,0))/2,0),VLOOKUP($A6,'UT-I(Entry)'!$1:$1048576,8,0))</f>
        <v>0</v>
      </c>
      <c r="I6" s="25">
        <f t="shared" si="0"/>
        <v>0</v>
      </c>
      <c r="J6" s="25" t="str">
        <f t="shared" si="1"/>
        <v>0 %</v>
      </c>
      <c r="K6" s="3">
        <f>VLOOKUP(A6,'UT-I(Entry)'!$1:$1048576,9,0)</f>
        <v>0</v>
      </c>
      <c r="L6" s="3">
        <f>VLOOKUP(A6,'UT-I(Entry)'!$1:$1048576,10,0)</f>
        <v>0</v>
      </c>
    </row>
    <row r="7" spans="1:12" x14ac:dyDescent="0.3">
      <c r="A7" s="21">
        <f>DETAILS!A6</f>
        <v>1616</v>
      </c>
      <c r="B7" s="3" t="str">
        <f>DETAILS!B6</f>
        <v>ANAV SINGH</v>
      </c>
      <c r="C7" s="25">
        <f>IFERROR(ROUND((VLOOKUP(A7,'UT-I(Entry)'!$1:$1048576,3,0))/2,0),VLOOKUP(A7,'UT-I(Entry)'!$1:$1048576,3,0))</f>
        <v>0</v>
      </c>
      <c r="D7" s="25">
        <f>IFERROR(ROUND((VLOOKUP(A7,'UT-I(Entry)'!$1:$1048576,4,0))/2,0),VLOOKUP(A7,'UT-I(Entry)'!$1:$1048576,4,0))</f>
        <v>0</v>
      </c>
      <c r="E7" s="25">
        <f>IFERROR(ROUND((VLOOKUP(A7,'UT-I(Entry)'!$1:$1048576,5,0))/2,0),VLOOKUP(A7,'UT-I(Entry)'!$1:$1048576,5,0))</f>
        <v>0</v>
      </c>
      <c r="F7" s="25">
        <f>IFERROR(ROUND((VLOOKUP(A7,'UT-I(Entry)'!$1:$1048576,6,0))/2,0),VLOOKUP(A7,'UT-I(Entry)'!$1:$1048576,6,0))</f>
        <v>0</v>
      </c>
      <c r="G7" s="25">
        <f>IFERROR(ROUND((VLOOKUP(A7,'UT-I(Entry)'!$1:$1048576,7,0))/2,0),VLOOKUP(A7,'UT-I(Entry)'!$1:$1048576,7,0))</f>
        <v>0</v>
      </c>
      <c r="H7" s="25">
        <f>IFERROR(ROUND((VLOOKUP($A7,'UT-I(Entry)'!$1:$1048576,8,0))/2,0),VLOOKUP($A7,'UT-I(Entry)'!$1:$1048576,8,0))</f>
        <v>0</v>
      </c>
      <c r="I7" s="25">
        <f t="shared" si="0"/>
        <v>0</v>
      </c>
      <c r="J7" s="25" t="str">
        <f t="shared" si="1"/>
        <v>0 %</v>
      </c>
      <c r="K7" s="3">
        <f>VLOOKUP(A7,'UT-I(Entry)'!$1:$1048576,9,0)</f>
        <v>0</v>
      </c>
      <c r="L7" s="3">
        <f>VLOOKUP(A7,'UT-I(Entry)'!$1:$1048576,10,0)</f>
        <v>0</v>
      </c>
    </row>
    <row r="8" spans="1:12" x14ac:dyDescent="0.3">
      <c r="A8" s="21">
        <f>DETAILS!A7</f>
        <v>1443</v>
      </c>
      <c r="B8" s="3" t="str">
        <f>DETAILS!B7</f>
        <v>ANKIT KUMAR</v>
      </c>
      <c r="C8" s="25">
        <f>IFERROR(ROUND((VLOOKUP(A8,'UT-I(Entry)'!$1:$1048576,3,0))/2,0),VLOOKUP(A8,'UT-I(Entry)'!$1:$1048576,3,0))</f>
        <v>0</v>
      </c>
      <c r="D8" s="25">
        <f>IFERROR(ROUND((VLOOKUP(A8,'UT-I(Entry)'!$1:$1048576,4,0))/2,0),VLOOKUP(A8,'UT-I(Entry)'!$1:$1048576,4,0))</f>
        <v>0</v>
      </c>
      <c r="E8" s="25">
        <f>IFERROR(ROUND((VLOOKUP(A8,'UT-I(Entry)'!$1:$1048576,5,0))/2,0),VLOOKUP(A8,'UT-I(Entry)'!$1:$1048576,5,0))</f>
        <v>0</v>
      </c>
      <c r="F8" s="25">
        <f>IFERROR(ROUND((VLOOKUP(A8,'UT-I(Entry)'!$1:$1048576,6,0))/2,0),VLOOKUP(A8,'UT-I(Entry)'!$1:$1048576,6,0))</f>
        <v>0</v>
      </c>
      <c r="G8" s="25">
        <f>IFERROR(ROUND((VLOOKUP(A8,'UT-I(Entry)'!$1:$1048576,7,0))/2,0),VLOOKUP(A8,'UT-I(Entry)'!$1:$1048576,7,0))</f>
        <v>0</v>
      </c>
      <c r="H8" s="25">
        <f>IFERROR(ROUND((VLOOKUP($A8,'UT-I(Entry)'!$1:$1048576,8,0))/2,0),VLOOKUP($A8,'UT-I(Entry)'!$1:$1048576,8,0))</f>
        <v>0</v>
      </c>
      <c r="I8" s="25">
        <f t="shared" si="0"/>
        <v>0</v>
      </c>
      <c r="J8" s="25" t="str">
        <f t="shared" si="1"/>
        <v>0 %</v>
      </c>
      <c r="K8" s="3">
        <f>VLOOKUP(A8,'UT-I(Entry)'!$1:$1048576,9,0)</f>
        <v>0</v>
      </c>
      <c r="L8" s="3">
        <f>VLOOKUP(A8,'UT-I(Entry)'!$1:$1048576,10,0)</f>
        <v>0</v>
      </c>
    </row>
    <row r="9" spans="1:12" x14ac:dyDescent="0.3">
      <c r="A9" s="21">
        <f>DETAILS!A8</f>
        <v>2100</v>
      </c>
      <c r="B9" s="3" t="str">
        <f>DETAILS!B8</f>
        <v>ANSH SHUKLA</v>
      </c>
      <c r="C9" s="25">
        <f>IFERROR(ROUND((VLOOKUP(A9,'UT-I(Entry)'!$1:$1048576,3,0))/2,0),VLOOKUP(A9,'UT-I(Entry)'!$1:$1048576,3,0))</f>
        <v>0</v>
      </c>
      <c r="D9" s="25">
        <f>IFERROR(ROUND((VLOOKUP(A9,'UT-I(Entry)'!$1:$1048576,4,0))/2,0),VLOOKUP(A9,'UT-I(Entry)'!$1:$1048576,4,0))</f>
        <v>0</v>
      </c>
      <c r="E9" s="25">
        <f>IFERROR(ROUND((VLOOKUP(A9,'UT-I(Entry)'!$1:$1048576,5,0))/2,0),VLOOKUP(A9,'UT-I(Entry)'!$1:$1048576,5,0))</f>
        <v>0</v>
      </c>
      <c r="F9" s="25">
        <f>IFERROR(ROUND((VLOOKUP(A9,'UT-I(Entry)'!$1:$1048576,6,0))/2,0),VLOOKUP(A9,'UT-I(Entry)'!$1:$1048576,6,0))</f>
        <v>0</v>
      </c>
      <c r="G9" s="25">
        <f>IFERROR(ROUND((VLOOKUP(A9,'UT-I(Entry)'!$1:$1048576,7,0))/2,0),VLOOKUP(A9,'UT-I(Entry)'!$1:$1048576,7,0))</f>
        <v>0</v>
      </c>
      <c r="H9" s="25">
        <f>IFERROR(ROUND((VLOOKUP($A9,'UT-I(Entry)'!$1:$1048576,8,0))/2,0),VLOOKUP($A9,'UT-I(Entry)'!$1:$1048576,8,0))</f>
        <v>0</v>
      </c>
      <c r="I9" s="25">
        <f t="shared" si="0"/>
        <v>0</v>
      </c>
      <c r="J9" s="25" t="str">
        <f t="shared" si="1"/>
        <v>0 %</v>
      </c>
      <c r="K9" s="3">
        <f>VLOOKUP(A9,'UT-I(Entry)'!$1:$1048576,9,0)</f>
        <v>0</v>
      </c>
      <c r="L9" s="3">
        <f>VLOOKUP(A9,'UT-I(Entry)'!$1:$1048576,10,0)</f>
        <v>0</v>
      </c>
    </row>
    <row r="10" spans="1:12" x14ac:dyDescent="0.3">
      <c r="A10" s="21">
        <f>DETAILS!A9</f>
        <v>1767</v>
      </c>
      <c r="B10" s="3" t="str">
        <f>DETAILS!B9</f>
        <v>ANSHIKA MISHRA</v>
      </c>
      <c r="C10" s="25">
        <f>IFERROR(ROUND((VLOOKUP(A10,'UT-I(Entry)'!$1:$1048576,3,0))/2,0),VLOOKUP(A10,'UT-I(Entry)'!$1:$1048576,3,0))</f>
        <v>0</v>
      </c>
      <c r="D10" s="25">
        <f>IFERROR(ROUND((VLOOKUP(A10,'UT-I(Entry)'!$1:$1048576,4,0))/2,0),VLOOKUP(A10,'UT-I(Entry)'!$1:$1048576,4,0))</f>
        <v>0</v>
      </c>
      <c r="E10" s="25">
        <f>IFERROR(ROUND((VLOOKUP(A10,'UT-I(Entry)'!$1:$1048576,5,0))/2,0),VLOOKUP(A10,'UT-I(Entry)'!$1:$1048576,5,0))</f>
        <v>0</v>
      </c>
      <c r="F10" s="25">
        <f>IFERROR(ROUND((VLOOKUP(A10,'UT-I(Entry)'!$1:$1048576,6,0))/2,0),VLOOKUP(A10,'UT-I(Entry)'!$1:$1048576,6,0))</f>
        <v>0</v>
      </c>
      <c r="G10" s="25">
        <f>IFERROR(ROUND((VLOOKUP(A10,'UT-I(Entry)'!$1:$1048576,7,0))/2,0),VLOOKUP(A10,'UT-I(Entry)'!$1:$1048576,7,0))</f>
        <v>0</v>
      </c>
      <c r="H10" s="25">
        <f>IFERROR(ROUND((VLOOKUP($A10,'UT-I(Entry)'!$1:$1048576,8,0))/2,0),VLOOKUP($A10,'UT-I(Entry)'!$1:$1048576,8,0))</f>
        <v>0</v>
      </c>
      <c r="I10" s="25">
        <f t="shared" si="0"/>
        <v>0</v>
      </c>
      <c r="J10" s="25" t="str">
        <f t="shared" si="1"/>
        <v>0 %</v>
      </c>
      <c r="K10" s="3">
        <f>VLOOKUP(A10,'UT-I(Entry)'!$1:$1048576,9,0)</f>
        <v>0</v>
      </c>
      <c r="L10" s="3">
        <f>VLOOKUP(A10,'UT-I(Entry)'!$1:$1048576,10,0)</f>
        <v>0</v>
      </c>
    </row>
    <row r="11" spans="1:12" x14ac:dyDescent="0.3">
      <c r="A11" s="21">
        <f>DETAILS!A10</f>
        <v>1486</v>
      </c>
      <c r="B11" s="3" t="str">
        <f>DETAILS!B10</f>
        <v>ANUBHAV CHOUDHARY</v>
      </c>
      <c r="C11" s="25">
        <f>IFERROR(ROUND((VLOOKUP(A11,'UT-I(Entry)'!$1:$1048576,3,0))/2,0),VLOOKUP(A11,'UT-I(Entry)'!$1:$1048576,3,0))</f>
        <v>0</v>
      </c>
      <c r="D11" s="25">
        <f>IFERROR(ROUND((VLOOKUP(A11,'UT-I(Entry)'!$1:$1048576,4,0))/2,0),VLOOKUP(A11,'UT-I(Entry)'!$1:$1048576,4,0))</f>
        <v>0</v>
      </c>
      <c r="E11" s="25">
        <f>IFERROR(ROUND((VLOOKUP(A11,'UT-I(Entry)'!$1:$1048576,5,0))/2,0),VLOOKUP(A11,'UT-I(Entry)'!$1:$1048576,5,0))</f>
        <v>0</v>
      </c>
      <c r="F11" s="25">
        <f>IFERROR(ROUND((VLOOKUP(A11,'UT-I(Entry)'!$1:$1048576,6,0))/2,0),VLOOKUP(A11,'UT-I(Entry)'!$1:$1048576,6,0))</f>
        <v>0</v>
      </c>
      <c r="G11" s="25">
        <f>IFERROR(ROUND((VLOOKUP(A11,'UT-I(Entry)'!$1:$1048576,7,0))/2,0),VLOOKUP(A11,'UT-I(Entry)'!$1:$1048576,7,0))</f>
        <v>0</v>
      </c>
      <c r="H11" s="25">
        <f>IFERROR(ROUND((VLOOKUP($A11,'UT-I(Entry)'!$1:$1048576,8,0))/2,0),VLOOKUP($A11,'UT-I(Entry)'!$1:$1048576,8,0))</f>
        <v>0</v>
      </c>
      <c r="I11" s="25">
        <f t="shared" si="0"/>
        <v>0</v>
      </c>
      <c r="J11" s="25" t="str">
        <f t="shared" si="1"/>
        <v>0 %</v>
      </c>
      <c r="K11" s="3">
        <f>VLOOKUP(A11,'UT-I(Entry)'!$1:$1048576,9,0)</f>
        <v>0</v>
      </c>
      <c r="L11" s="3">
        <f>VLOOKUP(A11,'UT-I(Entry)'!$1:$1048576,10,0)</f>
        <v>0</v>
      </c>
    </row>
    <row r="12" spans="1:12" x14ac:dyDescent="0.3">
      <c r="A12" s="21">
        <f>DETAILS!A11</f>
        <v>1615</v>
      </c>
      <c r="B12" s="3" t="str">
        <f>DETAILS!B11</f>
        <v>ARADHYA TIWARI</v>
      </c>
      <c r="C12" s="25">
        <f>IFERROR(ROUND((VLOOKUP(A12,'UT-I(Entry)'!$1:$1048576,3,0))/2,0),VLOOKUP(A12,'UT-I(Entry)'!$1:$1048576,3,0))</f>
        <v>0</v>
      </c>
      <c r="D12" s="25">
        <f>IFERROR(ROUND((VLOOKUP(A12,'UT-I(Entry)'!$1:$1048576,4,0))/2,0),VLOOKUP(A12,'UT-I(Entry)'!$1:$1048576,4,0))</f>
        <v>0</v>
      </c>
      <c r="E12" s="25">
        <f>IFERROR(ROUND((VLOOKUP(A12,'UT-I(Entry)'!$1:$1048576,5,0))/2,0),VLOOKUP(A12,'UT-I(Entry)'!$1:$1048576,5,0))</f>
        <v>0</v>
      </c>
      <c r="F12" s="25">
        <f>IFERROR(ROUND((VLOOKUP(A12,'UT-I(Entry)'!$1:$1048576,6,0))/2,0),VLOOKUP(A12,'UT-I(Entry)'!$1:$1048576,6,0))</f>
        <v>0</v>
      </c>
      <c r="G12" s="25">
        <f>IFERROR(ROUND((VLOOKUP(A12,'UT-I(Entry)'!$1:$1048576,7,0))/2,0),VLOOKUP(A12,'UT-I(Entry)'!$1:$1048576,7,0))</f>
        <v>0</v>
      </c>
      <c r="H12" s="25">
        <f>IFERROR(ROUND((VLOOKUP($A12,'UT-I(Entry)'!$1:$1048576,8,0))/2,0),VLOOKUP($A12,'UT-I(Entry)'!$1:$1048576,8,0))</f>
        <v>0</v>
      </c>
      <c r="I12" s="25">
        <f t="shared" si="0"/>
        <v>0</v>
      </c>
      <c r="J12" s="25" t="str">
        <f t="shared" si="1"/>
        <v>0 %</v>
      </c>
      <c r="K12" s="3">
        <f>VLOOKUP(A12,'UT-I(Entry)'!$1:$1048576,9,0)</f>
        <v>0</v>
      </c>
      <c r="L12" s="3">
        <f>VLOOKUP(A12,'UT-I(Entry)'!$1:$1048576,10,0)</f>
        <v>0</v>
      </c>
    </row>
    <row r="13" spans="1:12" x14ac:dyDescent="0.3">
      <c r="A13" s="21">
        <f>DETAILS!A12</f>
        <v>993</v>
      </c>
      <c r="B13" s="3" t="str">
        <f>DETAILS!B12</f>
        <v>ARYAN MAURYA</v>
      </c>
      <c r="C13" s="25">
        <f>IFERROR(ROUND((VLOOKUP(A13,'UT-I(Entry)'!$1:$1048576,3,0))/2,0),VLOOKUP(A13,'UT-I(Entry)'!$1:$1048576,3,0))</f>
        <v>0</v>
      </c>
      <c r="D13" s="25">
        <f>IFERROR(ROUND((VLOOKUP(A13,'UT-I(Entry)'!$1:$1048576,4,0))/2,0),VLOOKUP(A13,'UT-I(Entry)'!$1:$1048576,4,0))</f>
        <v>0</v>
      </c>
      <c r="E13" s="25">
        <f>IFERROR(ROUND((VLOOKUP(A13,'UT-I(Entry)'!$1:$1048576,5,0))/2,0),VLOOKUP(A13,'UT-I(Entry)'!$1:$1048576,5,0))</f>
        <v>0</v>
      </c>
      <c r="F13" s="25">
        <f>IFERROR(ROUND((VLOOKUP(A13,'UT-I(Entry)'!$1:$1048576,6,0))/2,0),VLOOKUP(A13,'UT-I(Entry)'!$1:$1048576,6,0))</f>
        <v>0</v>
      </c>
      <c r="G13" s="25">
        <f>IFERROR(ROUND((VLOOKUP(A13,'UT-I(Entry)'!$1:$1048576,7,0))/2,0),VLOOKUP(A13,'UT-I(Entry)'!$1:$1048576,7,0))</f>
        <v>0</v>
      </c>
      <c r="H13" s="25">
        <f>IFERROR(ROUND((VLOOKUP($A13,'UT-I(Entry)'!$1:$1048576,8,0))/2,0),VLOOKUP($A13,'UT-I(Entry)'!$1:$1048576,8,0))</f>
        <v>0</v>
      </c>
      <c r="I13" s="25">
        <f t="shared" si="0"/>
        <v>0</v>
      </c>
      <c r="J13" s="25" t="str">
        <f t="shared" si="1"/>
        <v>0 %</v>
      </c>
      <c r="K13" s="3">
        <f>VLOOKUP(A13,'UT-I(Entry)'!$1:$1048576,9,0)</f>
        <v>0</v>
      </c>
      <c r="L13" s="3">
        <f>VLOOKUP(A13,'UT-I(Entry)'!$1:$1048576,10,0)</f>
        <v>0</v>
      </c>
    </row>
    <row r="14" spans="1:12" x14ac:dyDescent="0.3">
      <c r="A14" s="21">
        <f>DETAILS!A13</f>
        <v>1296</v>
      </c>
      <c r="B14" s="3" t="str">
        <f>DETAILS!B13</f>
        <v>ARYAN SINGH</v>
      </c>
      <c r="C14" s="25">
        <f>IFERROR(ROUND((VLOOKUP(A14,'UT-I(Entry)'!$1:$1048576,3,0))/2,0),VLOOKUP(A14,'UT-I(Entry)'!$1:$1048576,3,0))</f>
        <v>0</v>
      </c>
      <c r="D14" s="25">
        <f>IFERROR(ROUND((VLOOKUP(A14,'UT-I(Entry)'!$1:$1048576,4,0))/2,0),VLOOKUP(A14,'UT-I(Entry)'!$1:$1048576,4,0))</f>
        <v>0</v>
      </c>
      <c r="E14" s="25">
        <f>IFERROR(ROUND((VLOOKUP(A14,'UT-I(Entry)'!$1:$1048576,5,0))/2,0),VLOOKUP(A14,'UT-I(Entry)'!$1:$1048576,5,0))</f>
        <v>0</v>
      </c>
      <c r="F14" s="25">
        <f>IFERROR(ROUND((VLOOKUP(A14,'UT-I(Entry)'!$1:$1048576,6,0))/2,0),VLOOKUP(A14,'UT-I(Entry)'!$1:$1048576,6,0))</f>
        <v>0</v>
      </c>
      <c r="G14" s="25">
        <f>IFERROR(ROUND((VLOOKUP(A14,'UT-I(Entry)'!$1:$1048576,7,0))/2,0),VLOOKUP(A14,'UT-I(Entry)'!$1:$1048576,7,0))</f>
        <v>0</v>
      </c>
      <c r="H14" s="25">
        <f>IFERROR(ROUND((VLOOKUP($A14,'UT-I(Entry)'!$1:$1048576,8,0))/2,0),VLOOKUP($A14,'UT-I(Entry)'!$1:$1048576,8,0))</f>
        <v>0</v>
      </c>
      <c r="I14" s="25">
        <f t="shared" si="0"/>
        <v>0</v>
      </c>
      <c r="J14" s="25" t="str">
        <f t="shared" si="1"/>
        <v>0 %</v>
      </c>
      <c r="K14" s="3">
        <f>VLOOKUP(A14,'UT-I(Entry)'!$1:$1048576,9,0)</f>
        <v>0</v>
      </c>
      <c r="L14" s="3">
        <f>VLOOKUP(A14,'UT-I(Entry)'!$1:$1048576,10,0)</f>
        <v>0</v>
      </c>
    </row>
    <row r="15" spans="1:12" x14ac:dyDescent="0.3">
      <c r="A15" s="21">
        <f>DETAILS!A14</f>
        <v>1392</v>
      </c>
      <c r="B15" s="3" t="str">
        <f>DETAILS!B14</f>
        <v>ASTITVA  SHYAM TIWARI</v>
      </c>
      <c r="C15" s="25">
        <f>IFERROR(ROUND((VLOOKUP(A15,'UT-I(Entry)'!$1:$1048576,3,0))/2,0),VLOOKUP(A15,'UT-I(Entry)'!$1:$1048576,3,0))</f>
        <v>0</v>
      </c>
      <c r="D15" s="25">
        <f>IFERROR(ROUND((VLOOKUP(A15,'UT-I(Entry)'!$1:$1048576,4,0))/2,0),VLOOKUP(A15,'UT-I(Entry)'!$1:$1048576,4,0))</f>
        <v>0</v>
      </c>
      <c r="E15" s="25">
        <f>IFERROR(ROUND((VLOOKUP(A15,'UT-I(Entry)'!$1:$1048576,5,0))/2,0),VLOOKUP(A15,'UT-I(Entry)'!$1:$1048576,5,0))</f>
        <v>0</v>
      </c>
      <c r="F15" s="25">
        <f>IFERROR(ROUND((VLOOKUP(A15,'UT-I(Entry)'!$1:$1048576,6,0))/2,0),VLOOKUP(A15,'UT-I(Entry)'!$1:$1048576,6,0))</f>
        <v>0</v>
      </c>
      <c r="G15" s="25">
        <f>IFERROR(ROUND((VLOOKUP(A15,'UT-I(Entry)'!$1:$1048576,7,0))/2,0),VLOOKUP(A15,'UT-I(Entry)'!$1:$1048576,7,0))</f>
        <v>0</v>
      </c>
      <c r="H15" s="25">
        <f>IFERROR(ROUND((VLOOKUP($A15,'UT-I(Entry)'!$1:$1048576,8,0))/2,0),VLOOKUP($A15,'UT-I(Entry)'!$1:$1048576,8,0))</f>
        <v>0</v>
      </c>
      <c r="I15" s="25">
        <f t="shared" si="0"/>
        <v>0</v>
      </c>
      <c r="J15" s="25" t="str">
        <f t="shared" si="1"/>
        <v>0 %</v>
      </c>
      <c r="K15" s="3">
        <f>VLOOKUP(A15,'UT-I(Entry)'!$1:$1048576,9,0)</f>
        <v>0</v>
      </c>
      <c r="L15" s="3">
        <f>VLOOKUP(A15,'UT-I(Entry)'!$1:$1048576,10,0)</f>
        <v>0</v>
      </c>
    </row>
    <row r="16" spans="1:12" x14ac:dyDescent="0.3">
      <c r="A16" s="21">
        <f>DETAILS!A15</f>
        <v>759</v>
      </c>
      <c r="B16" s="3" t="str">
        <f>DETAILS!B15</f>
        <v>DEVENDRA PATHAK</v>
      </c>
      <c r="C16" s="25">
        <f>IFERROR(ROUND((VLOOKUP(A16,'UT-I(Entry)'!$1:$1048576,3,0))/2,0),VLOOKUP(A16,'UT-I(Entry)'!$1:$1048576,3,0))</f>
        <v>0</v>
      </c>
      <c r="D16" s="25">
        <f>IFERROR(ROUND((VLOOKUP(A16,'UT-I(Entry)'!$1:$1048576,4,0))/2,0),VLOOKUP(A16,'UT-I(Entry)'!$1:$1048576,4,0))</f>
        <v>0</v>
      </c>
      <c r="E16" s="25">
        <f>IFERROR(ROUND((VLOOKUP(A16,'UT-I(Entry)'!$1:$1048576,5,0))/2,0),VLOOKUP(A16,'UT-I(Entry)'!$1:$1048576,5,0))</f>
        <v>0</v>
      </c>
      <c r="F16" s="25">
        <f>IFERROR(ROUND((VLOOKUP(A16,'UT-I(Entry)'!$1:$1048576,6,0))/2,0),VLOOKUP(A16,'UT-I(Entry)'!$1:$1048576,6,0))</f>
        <v>0</v>
      </c>
      <c r="G16" s="25">
        <f>IFERROR(ROUND((VLOOKUP(A16,'UT-I(Entry)'!$1:$1048576,7,0))/2,0),VLOOKUP(A16,'UT-I(Entry)'!$1:$1048576,7,0))</f>
        <v>0</v>
      </c>
      <c r="H16" s="25">
        <f>IFERROR(ROUND((VLOOKUP($A16,'UT-I(Entry)'!$1:$1048576,8,0))/2,0),VLOOKUP($A16,'UT-I(Entry)'!$1:$1048576,8,0))</f>
        <v>0</v>
      </c>
      <c r="I16" s="25">
        <f t="shared" si="0"/>
        <v>0</v>
      </c>
      <c r="J16" s="25" t="str">
        <f t="shared" si="1"/>
        <v>0 %</v>
      </c>
      <c r="K16" s="3">
        <f>VLOOKUP(A16,'UT-I(Entry)'!$1:$1048576,9,0)</f>
        <v>0</v>
      </c>
      <c r="L16" s="3">
        <f>VLOOKUP(A16,'UT-I(Entry)'!$1:$1048576,10,0)</f>
        <v>0</v>
      </c>
    </row>
    <row r="17" spans="1:12" x14ac:dyDescent="0.3">
      <c r="A17" s="21">
        <f>DETAILS!A16</f>
        <v>1598</v>
      </c>
      <c r="B17" s="3" t="str">
        <f>DETAILS!B16</f>
        <v>DIVYANSHI SINGH</v>
      </c>
      <c r="C17" s="25">
        <f>IFERROR(ROUND((VLOOKUP(A17,'UT-I(Entry)'!$1:$1048576,3,0))/2,0),VLOOKUP(A17,'UT-I(Entry)'!$1:$1048576,3,0))</f>
        <v>0</v>
      </c>
      <c r="D17" s="25">
        <f>IFERROR(ROUND((VLOOKUP(A17,'UT-I(Entry)'!$1:$1048576,4,0))/2,0),VLOOKUP(A17,'UT-I(Entry)'!$1:$1048576,4,0))</f>
        <v>0</v>
      </c>
      <c r="E17" s="25">
        <f>IFERROR(ROUND((VLOOKUP(A17,'UT-I(Entry)'!$1:$1048576,5,0))/2,0),VLOOKUP(A17,'UT-I(Entry)'!$1:$1048576,5,0))</f>
        <v>0</v>
      </c>
      <c r="F17" s="25">
        <f>IFERROR(ROUND((VLOOKUP(A17,'UT-I(Entry)'!$1:$1048576,6,0))/2,0),VLOOKUP(A17,'UT-I(Entry)'!$1:$1048576,6,0))</f>
        <v>0</v>
      </c>
      <c r="G17" s="25">
        <f>IFERROR(ROUND((VLOOKUP(A17,'UT-I(Entry)'!$1:$1048576,7,0))/2,0),VLOOKUP(A17,'UT-I(Entry)'!$1:$1048576,7,0))</f>
        <v>0</v>
      </c>
      <c r="H17" s="25">
        <f>IFERROR(ROUND((VLOOKUP($A17,'UT-I(Entry)'!$1:$1048576,8,0))/2,0),VLOOKUP($A17,'UT-I(Entry)'!$1:$1048576,8,0))</f>
        <v>0</v>
      </c>
      <c r="I17" s="25">
        <f t="shared" si="0"/>
        <v>0</v>
      </c>
      <c r="J17" s="25" t="str">
        <f t="shared" si="1"/>
        <v>0 %</v>
      </c>
      <c r="K17" s="3">
        <f>VLOOKUP(A17,'UT-I(Entry)'!$1:$1048576,9,0)</f>
        <v>0</v>
      </c>
      <c r="L17" s="3">
        <f>VLOOKUP(A17,'UT-I(Entry)'!$1:$1048576,10,0)</f>
        <v>0</v>
      </c>
    </row>
    <row r="18" spans="1:12" x14ac:dyDescent="0.3">
      <c r="A18" s="21">
        <f>DETAILS!A17</f>
        <v>1650</v>
      </c>
      <c r="B18" s="3" t="str">
        <f>DETAILS!B17</f>
        <v>DIVYANSHU YADAV</v>
      </c>
      <c r="C18" s="25">
        <f>IFERROR(ROUND((VLOOKUP(A18,'UT-I(Entry)'!$1:$1048576,3,0))/2,0),VLOOKUP(A18,'UT-I(Entry)'!$1:$1048576,3,0))</f>
        <v>0</v>
      </c>
      <c r="D18" s="25">
        <f>IFERROR(ROUND((VLOOKUP(A18,'UT-I(Entry)'!$1:$1048576,4,0))/2,0),VLOOKUP(A18,'UT-I(Entry)'!$1:$1048576,4,0))</f>
        <v>0</v>
      </c>
      <c r="E18" s="25">
        <f>IFERROR(ROUND((VLOOKUP(A18,'UT-I(Entry)'!$1:$1048576,5,0))/2,0),VLOOKUP(A18,'UT-I(Entry)'!$1:$1048576,5,0))</f>
        <v>0</v>
      </c>
      <c r="F18" s="25">
        <f>IFERROR(ROUND((VLOOKUP(A18,'UT-I(Entry)'!$1:$1048576,6,0))/2,0),VLOOKUP(A18,'UT-I(Entry)'!$1:$1048576,6,0))</f>
        <v>0</v>
      </c>
      <c r="G18" s="25">
        <f>IFERROR(ROUND((VLOOKUP(A18,'UT-I(Entry)'!$1:$1048576,7,0))/2,0),VLOOKUP(A18,'UT-I(Entry)'!$1:$1048576,7,0))</f>
        <v>0</v>
      </c>
      <c r="H18" s="25">
        <f>IFERROR(ROUND((VLOOKUP($A18,'UT-I(Entry)'!$1:$1048576,8,0))/2,0),VLOOKUP($A18,'UT-I(Entry)'!$1:$1048576,8,0))</f>
        <v>0</v>
      </c>
      <c r="I18" s="25">
        <f t="shared" si="0"/>
        <v>0</v>
      </c>
      <c r="J18" s="25" t="str">
        <f t="shared" si="1"/>
        <v>0 %</v>
      </c>
      <c r="K18" s="3">
        <f>VLOOKUP(A18,'UT-I(Entry)'!$1:$1048576,9,0)</f>
        <v>0</v>
      </c>
      <c r="L18" s="3">
        <f>VLOOKUP(A18,'UT-I(Entry)'!$1:$1048576,10,0)</f>
        <v>0</v>
      </c>
    </row>
    <row r="19" spans="1:12" x14ac:dyDescent="0.3">
      <c r="A19" s="21">
        <f>DETAILS!A18</f>
        <v>1661</v>
      </c>
      <c r="B19" s="3" t="str">
        <f>DETAILS!B18</f>
        <v>GARIMA YADAV</v>
      </c>
      <c r="C19" s="25">
        <f>IFERROR(ROUND((VLOOKUP(A19,'UT-I(Entry)'!$1:$1048576,3,0))/2,0),VLOOKUP(A19,'UT-I(Entry)'!$1:$1048576,3,0))</f>
        <v>0</v>
      </c>
      <c r="D19" s="25">
        <f>IFERROR(ROUND((VLOOKUP(A19,'UT-I(Entry)'!$1:$1048576,4,0))/2,0),VLOOKUP(A19,'UT-I(Entry)'!$1:$1048576,4,0))</f>
        <v>0</v>
      </c>
      <c r="E19" s="25">
        <f>IFERROR(ROUND((VLOOKUP(A19,'UT-I(Entry)'!$1:$1048576,5,0))/2,0),VLOOKUP(A19,'UT-I(Entry)'!$1:$1048576,5,0))</f>
        <v>0</v>
      </c>
      <c r="F19" s="25">
        <f>IFERROR(ROUND((VLOOKUP(A19,'UT-I(Entry)'!$1:$1048576,6,0))/2,0),VLOOKUP(A19,'UT-I(Entry)'!$1:$1048576,6,0))</f>
        <v>0</v>
      </c>
      <c r="G19" s="25">
        <f>IFERROR(ROUND((VLOOKUP(A19,'UT-I(Entry)'!$1:$1048576,7,0))/2,0),VLOOKUP(A19,'UT-I(Entry)'!$1:$1048576,7,0))</f>
        <v>0</v>
      </c>
      <c r="H19" s="25">
        <f>IFERROR(ROUND((VLOOKUP($A19,'UT-I(Entry)'!$1:$1048576,8,0))/2,0),VLOOKUP($A19,'UT-I(Entry)'!$1:$1048576,8,0))</f>
        <v>0</v>
      </c>
      <c r="I19" s="25">
        <f t="shared" si="0"/>
        <v>0</v>
      </c>
      <c r="J19" s="25" t="str">
        <f t="shared" si="1"/>
        <v>0 %</v>
      </c>
      <c r="K19" s="3">
        <f>VLOOKUP(A19,'UT-I(Entry)'!$1:$1048576,9,0)</f>
        <v>0</v>
      </c>
      <c r="L19" s="3">
        <f>VLOOKUP(A19,'UT-I(Entry)'!$1:$1048576,10,0)</f>
        <v>0</v>
      </c>
    </row>
    <row r="20" spans="1:12" x14ac:dyDescent="0.3">
      <c r="A20" s="21">
        <f>DETAILS!A19</f>
        <v>1704</v>
      </c>
      <c r="B20" s="3" t="str">
        <f>DETAILS!B19</f>
        <v>HARSH SINGH</v>
      </c>
      <c r="C20" s="25">
        <f>IFERROR(ROUND((VLOOKUP(A20,'UT-I(Entry)'!$1:$1048576,3,0))/2,0),VLOOKUP(A20,'UT-I(Entry)'!$1:$1048576,3,0))</f>
        <v>0</v>
      </c>
      <c r="D20" s="25">
        <f>IFERROR(ROUND((VLOOKUP(A20,'UT-I(Entry)'!$1:$1048576,4,0))/2,0),VLOOKUP(A20,'UT-I(Entry)'!$1:$1048576,4,0))</f>
        <v>0</v>
      </c>
      <c r="E20" s="25">
        <f>IFERROR(ROUND((VLOOKUP(A20,'UT-I(Entry)'!$1:$1048576,5,0))/2,0),VLOOKUP(A20,'UT-I(Entry)'!$1:$1048576,5,0))</f>
        <v>0</v>
      </c>
      <c r="F20" s="25">
        <f>IFERROR(ROUND((VLOOKUP(A20,'UT-I(Entry)'!$1:$1048576,6,0))/2,0),VLOOKUP(A20,'UT-I(Entry)'!$1:$1048576,6,0))</f>
        <v>0</v>
      </c>
      <c r="G20" s="25">
        <f>IFERROR(ROUND((VLOOKUP(A20,'UT-I(Entry)'!$1:$1048576,7,0))/2,0),VLOOKUP(A20,'UT-I(Entry)'!$1:$1048576,7,0))</f>
        <v>0</v>
      </c>
      <c r="H20" s="25">
        <f>IFERROR(ROUND((VLOOKUP($A20,'UT-I(Entry)'!$1:$1048576,8,0))/2,0),VLOOKUP($A20,'UT-I(Entry)'!$1:$1048576,8,0))</f>
        <v>0</v>
      </c>
      <c r="I20" s="25">
        <f t="shared" si="0"/>
        <v>0</v>
      </c>
      <c r="J20" s="25" t="str">
        <f t="shared" si="1"/>
        <v>0 %</v>
      </c>
      <c r="K20" s="3">
        <f>VLOOKUP(A20,'UT-I(Entry)'!$1:$1048576,9,0)</f>
        <v>0</v>
      </c>
      <c r="L20" s="3">
        <f>VLOOKUP(A20,'UT-I(Entry)'!$1:$1048576,10,0)</f>
        <v>0</v>
      </c>
    </row>
    <row r="21" spans="1:12" x14ac:dyDescent="0.3">
      <c r="A21" s="21">
        <f>DETAILS!A20</f>
        <v>1437</v>
      </c>
      <c r="B21" s="3" t="str">
        <f>DETAILS!B20</f>
        <v>KANISHKA YADAV</v>
      </c>
      <c r="C21" s="25">
        <f>IFERROR(ROUND((VLOOKUP(A21,'UT-I(Entry)'!$1:$1048576,3,0))/2,0),VLOOKUP(A21,'UT-I(Entry)'!$1:$1048576,3,0))</f>
        <v>0</v>
      </c>
      <c r="D21" s="25">
        <f>IFERROR(ROUND((VLOOKUP(A21,'UT-I(Entry)'!$1:$1048576,4,0))/2,0),VLOOKUP(A21,'UT-I(Entry)'!$1:$1048576,4,0))</f>
        <v>0</v>
      </c>
      <c r="E21" s="25">
        <f>IFERROR(ROUND((VLOOKUP(A21,'UT-I(Entry)'!$1:$1048576,5,0))/2,0),VLOOKUP(A21,'UT-I(Entry)'!$1:$1048576,5,0))</f>
        <v>0</v>
      </c>
      <c r="F21" s="25">
        <f>IFERROR(ROUND((VLOOKUP(A21,'UT-I(Entry)'!$1:$1048576,6,0))/2,0),VLOOKUP(A21,'UT-I(Entry)'!$1:$1048576,6,0))</f>
        <v>0</v>
      </c>
      <c r="G21" s="25">
        <f>IFERROR(ROUND((VLOOKUP(A21,'UT-I(Entry)'!$1:$1048576,7,0))/2,0),VLOOKUP(A21,'UT-I(Entry)'!$1:$1048576,7,0))</f>
        <v>0</v>
      </c>
      <c r="H21" s="25">
        <f>IFERROR(ROUND((VLOOKUP($A21,'UT-I(Entry)'!$1:$1048576,8,0))/2,0),VLOOKUP($A21,'UT-I(Entry)'!$1:$1048576,8,0))</f>
        <v>0</v>
      </c>
      <c r="I21" s="25">
        <f t="shared" si="0"/>
        <v>0</v>
      </c>
      <c r="J21" s="25" t="str">
        <f t="shared" si="1"/>
        <v>0 %</v>
      </c>
      <c r="K21" s="3">
        <f>VLOOKUP(A21,'UT-I(Entry)'!$1:$1048576,9,0)</f>
        <v>0</v>
      </c>
      <c r="L21" s="3">
        <f>VLOOKUP(A21,'UT-I(Entry)'!$1:$1048576,10,0)</f>
        <v>0</v>
      </c>
    </row>
    <row r="22" spans="1:12" x14ac:dyDescent="0.3">
      <c r="A22" s="21">
        <f>DETAILS!A21</f>
        <v>1605</v>
      </c>
      <c r="B22" s="3" t="str">
        <f>DETAILS!B21</f>
        <v>KARUNESH SINGH</v>
      </c>
      <c r="C22" s="25">
        <f>IFERROR(ROUND((VLOOKUP(A22,'UT-I(Entry)'!$1:$1048576,3,0))/2,0),VLOOKUP(A22,'UT-I(Entry)'!$1:$1048576,3,0))</f>
        <v>0</v>
      </c>
      <c r="D22" s="25">
        <f>IFERROR(ROUND((VLOOKUP(A22,'UT-I(Entry)'!$1:$1048576,4,0))/2,0),VLOOKUP(A22,'UT-I(Entry)'!$1:$1048576,4,0))</f>
        <v>0</v>
      </c>
      <c r="E22" s="25">
        <f>IFERROR(ROUND((VLOOKUP(A22,'UT-I(Entry)'!$1:$1048576,5,0))/2,0),VLOOKUP(A22,'UT-I(Entry)'!$1:$1048576,5,0))</f>
        <v>0</v>
      </c>
      <c r="F22" s="25">
        <f>IFERROR(ROUND((VLOOKUP(A22,'UT-I(Entry)'!$1:$1048576,6,0))/2,0),VLOOKUP(A22,'UT-I(Entry)'!$1:$1048576,6,0))</f>
        <v>0</v>
      </c>
      <c r="G22" s="25">
        <f>IFERROR(ROUND((VLOOKUP(A22,'UT-I(Entry)'!$1:$1048576,7,0))/2,0),VLOOKUP(A22,'UT-I(Entry)'!$1:$1048576,7,0))</f>
        <v>0</v>
      </c>
      <c r="H22" s="25">
        <f>IFERROR(ROUND((VLOOKUP($A22,'UT-I(Entry)'!$1:$1048576,8,0))/2,0),VLOOKUP($A22,'UT-I(Entry)'!$1:$1048576,8,0))</f>
        <v>0</v>
      </c>
      <c r="I22" s="25">
        <f t="shared" si="0"/>
        <v>0</v>
      </c>
      <c r="J22" s="25" t="str">
        <f t="shared" si="1"/>
        <v>0 %</v>
      </c>
      <c r="K22" s="3">
        <f>VLOOKUP(A22,'UT-I(Entry)'!$1:$1048576,9,0)</f>
        <v>0</v>
      </c>
      <c r="L22" s="3">
        <f>VLOOKUP(A22,'UT-I(Entry)'!$1:$1048576,10,0)</f>
        <v>0</v>
      </c>
    </row>
    <row r="23" spans="1:12" x14ac:dyDescent="0.3">
      <c r="A23" s="21">
        <f>DETAILS!A22</f>
        <v>1640</v>
      </c>
      <c r="B23" s="3" t="str">
        <f>DETAILS!B22</f>
        <v>KRISHNA GUPTA</v>
      </c>
      <c r="C23" s="25">
        <f>IFERROR(ROUND((VLOOKUP(A23,'UT-I(Entry)'!$1:$1048576,3,0))/2,0),VLOOKUP(A23,'UT-I(Entry)'!$1:$1048576,3,0))</f>
        <v>0</v>
      </c>
      <c r="D23" s="25">
        <f>IFERROR(ROUND((VLOOKUP(A23,'UT-I(Entry)'!$1:$1048576,4,0))/2,0),VLOOKUP(A23,'UT-I(Entry)'!$1:$1048576,4,0))</f>
        <v>0</v>
      </c>
      <c r="E23" s="25">
        <f>IFERROR(ROUND((VLOOKUP(A23,'UT-I(Entry)'!$1:$1048576,5,0))/2,0),VLOOKUP(A23,'UT-I(Entry)'!$1:$1048576,5,0))</f>
        <v>0</v>
      </c>
      <c r="F23" s="25">
        <f>IFERROR(ROUND((VLOOKUP(A23,'UT-I(Entry)'!$1:$1048576,6,0))/2,0),VLOOKUP(A23,'UT-I(Entry)'!$1:$1048576,6,0))</f>
        <v>0</v>
      </c>
      <c r="G23" s="25">
        <f>IFERROR(ROUND((VLOOKUP(A23,'UT-I(Entry)'!$1:$1048576,7,0))/2,0),VLOOKUP(A23,'UT-I(Entry)'!$1:$1048576,7,0))</f>
        <v>0</v>
      </c>
      <c r="H23" s="25">
        <f>IFERROR(ROUND((VLOOKUP($A23,'UT-I(Entry)'!$1:$1048576,8,0))/2,0),VLOOKUP($A23,'UT-I(Entry)'!$1:$1048576,8,0))</f>
        <v>0</v>
      </c>
      <c r="I23" s="25">
        <f t="shared" si="0"/>
        <v>0</v>
      </c>
      <c r="J23" s="25" t="str">
        <f t="shared" si="1"/>
        <v>0 %</v>
      </c>
      <c r="K23" s="3">
        <f>VLOOKUP(A23,'UT-I(Entry)'!$1:$1048576,9,0)</f>
        <v>0</v>
      </c>
      <c r="L23" s="3">
        <f>VLOOKUP(A23,'UT-I(Entry)'!$1:$1048576,10,0)</f>
        <v>0</v>
      </c>
    </row>
    <row r="24" spans="1:12" x14ac:dyDescent="0.3">
      <c r="A24" s="21">
        <f>DETAILS!A23</f>
        <v>1678</v>
      </c>
      <c r="B24" s="3" t="str">
        <f>DETAILS!B23</f>
        <v>KUNAL DHANUK</v>
      </c>
      <c r="C24" s="25">
        <f>IFERROR(ROUND((VLOOKUP(A24,'UT-I(Entry)'!$1:$1048576,3,0))/2,0),VLOOKUP(A24,'UT-I(Entry)'!$1:$1048576,3,0))</f>
        <v>0</v>
      </c>
      <c r="D24" s="25">
        <f>IFERROR(ROUND((VLOOKUP(A24,'UT-I(Entry)'!$1:$1048576,4,0))/2,0),VLOOKUP(A24,'UT-I(Entry)'!$1:$1048576,4,0))</f>
        <v>0</v>
      </c>
      <c r="E24" s="25">
        <f>IFERROR(ROUND((VLOOKUP(A24,'UT-I(Entry)'!$1:$1048576,5,0))/2,0),VLOOKUP(A24,'UT-I(Entry)'!$1:$1048576,5,0))</f>
        <v>0</v>
      </c>
      <c r="F24" s="25">
        <f>IFERROR(ROUND((VLOOKUP(A24,'UT-I(Entry)'!$1:$1048576,6,0))/2,0),VLOOKUP(A24,'UT-I(Entry)'!$1:$1048576,6,0))</f>
        <v>0</v>
      </c>
      <c r="G24" s="25">
        <f>IFERROR(ROUND((VLOOKUP(A24,'UT-I(Entry)'!$1:$1048576,7,0))/2,0),VLOOKUP(A24,'UT-I(Entry)'!$1:$1048576,7,0))</f>
        <v>0</v>
      </c>
      <c r="H24" s="25">
        <f>IFERROR(ROUND((VLOOKUP($A24,'UT-I(Entry)'!$1:$1048576,8,0))/2,0),VLOOKUP($A24,'UT-I(Entry)'!$1:$1048576,8,0))</f>
        <v>0</v>
      </c>
      <c r="I24" s="25">
        <f t="shared" si="0"/>
        <v>0</v>
      </c>
      <c r="J24" s="25" t="str">
        <f t="shared" si="1"/>
        <v>0 %</v>
      </c>
      <c r="K24" s="3">
        <f>VLOOKUP(A24,'UT-I(Entry)'!$1:$1048576,9,0)</f>
        <v>0</v>
      </c>
      <c r="L24" s="3">
        <f>VLOOKUP(A24,'UT-I(Entry)'!$1:$1048576,10,0)</f>
        <v>0</v>
      </c>
    </row>
    <row r="25" spans="1:12" x14ac:dyDescent="0.3">
      <c r="A25" s="21">
        <f>DETAILS!A24</f>
        <v>1330</v>
      </c>
      <c r="B25" s="3" t="str">
        <f>DETAILS!B24</f>
        <v>KUSHAGRA SINGH</v>
      </c>
      <c r="C25" s="25">
        <f>IFERROR(ROUND((VLOOKUP(A25,'UT-I(Entry)'!$1:$1048576,3,0))/2,0),VLOOKUP(A25,'UT-I(Entry)'!$1:$1048576,3,0))</f>
        <v>0</v>
      </c>
      <c r="D25" s="25">
        <f>IFERROR(ROUND((VLOOKUP(A25,'UT-I(Entry)'!$1:$1048576,4,0))/2,0),VLOOKUP(A25,'UT-I(Entry)'!$1:$1048576,4,0))</f>
        <v>0</v>
      </c>
      <c r="E25" s="25">
        <f>IFERROR(ROUND((VLOOKUP(A25,'UT-I(Entry)'!$1:$1048576,5,0))/2,0),VLOOKUP(A25,'UT-I(Entry)'!$1:$1048576,5,0))</f>
        <v>0</v>
      </c>
      <c r="F25" s="25">
        <f>IFERROR(ROUND((VLOOKUP(A25,'UT-I(Entry)'!$1:$1048576,6,0))/2,0),VLOOKUP(A25,'UT-I(Entry)'!$1:$1048576,6,0))</f>
        <v>0</v>
      </c>
      <c r="G25" s="25">
        <f>IFERROR(ROUND((VLOOKUP(A25,'UT-I(Entry)'!$1:$1048576,7,0))/2,0),VLOOKUP(A25,'UT-I(Entry)'!$1:$1048576,7,0))</f>
        <v>0</v>
      </c>
      <c r="H25" s="25">
        <f>IFERROR(ROUND((VLOOKUP($A25,'UT-I(Entry)'!$1:$1048576,8,0))/2,0),VLOOKUP($A25,'UT-I(Entry)'!$1:$1048576,8,0))</f>
        <v>0</v>
      </c>
      <c r="I25" s="25">
        <f t="shared" si="0"/>
        <v>0</v>
      </c>
      <c r="J25" s="25" t="str">
        <f t="shared" si="1"/>
        <v>0 %</v>
      </c>
      <c r="K25" s="3">
        <f>VLOOKUP(A25,'UT-I(Entry)'!$1:$1048576,9,0)</f>
        <v>0</v>
      </c>
      <c r="L25" s="3">
        <f>VLOOKUP(A25,'UT-I(Entry)'!$1:$1048576,10,0)</f>
        <v>0</v>
      </c>
    </row>
    <row r="26" spans="1:12" x14ac:dyDescent="0.3">
      <c r="A26" s="21">
        <f>DETAILS!A25</f>
        <v>777</v>
      </c>
      <c r="B26" s="3" t="str">
        <f>DETAILS!B25</f>
        <v>MAHEE JAISWAL</v>
      </c>
      <c r="C26" s="25">
        <f>IFERROR(ROUND((VLOOKUP(A26,'UT-I(Entry)'!$1:$1048576,3,0))/2,0),VLOOKUP(A26,'UT-I(Entry)'!$1:$1048576,3,0))</f>
        <v>0</v>
      </c>
      <c r="D26" s="25">
        <f>IFERROR(ROUND((VLOOKUP(A26,'UT-I(Entry)'!$1:$1048576,4,0))/2,0),VLOOKUP(A26,'UT-I(Entry)'!$1:$1048576,4,0))</f>
        <v>0</v>
      </c>
      <c r="E26" s="25">
        <f>IFERROR(ROUND((VLOOKUP(A26,'UT-I(Entry)'!$1:$1048576,5,0))/2,0),VLOOKUP(A26,'UT-I(Entry)'!$1:$1048576,5,0))</f>
        <v>0</v>
      </c>
      <c r="F26" s="25">
        <f>IFERROR(ROUND((VLOOKUP(A26,'UT-I(Entry)'!$1:$1048576,6,0))/2,0),VLOOKUP(A26,'UT-I(Entry)'!$1:$1048576,6,0))</f>
        <v>0</v>
      </c>
      <c r="G26" s="25">
        <f>IFERROR(ROUND((VLOOKUP(A26,'UT-I(Entry)'!$1:$1048576,7,0))/2,0),VLOOKUP(A26,'UT-I(Entry)'!$1:$1048576,7,0))</f>
        <v>0</v>
      </c>
      <c r="H26" s="25">
        <f>IFERROR(ROUND((VLOOKUP($A26,'UT-I(Entry)'!$1:$1048576,8,0))/2,0),VLOOKUP($A26,'UT-I(Entry)'!$1:$1048576,8,0))</f>
        <v>0</v>
      </c>
      <c r="I26" s="25">
        <f t="shared" si="0"/>
        <v>0</v>
      </c>
      <c r="J26" s="25" t="str">
        <f t="shared" si="1"/>
        <v>0 %</v>
      </c>
      <c r="K26" s="3">
        <f>VLOOKUP(A26,'UT-I(Entry)'!$1:$1048576,9,0)</f>
        <v>0</v>
      </c>
      <c r="L26" s="3">
        <f>VLOOKUP(A26,'UT-I(Entry)'!$1:$1048576,10,0)</f>
        <v>0</v>
      </c>
    </row>
    <row r="27" spans="1:12" x14ac:dyDescent="0.3">
      <c r="A27" s="21">
        <f>DETAILS!A26</f>
        <v>763</v>
      </c>
      <c r="B27" s="3" t="str">
        <f>DETAILS!B26</f>
        <v>MAHEK RAWAT</v>
      </c>
      <c r="C27" s="25">
        <f>IFERROR(ROUND((VLOOKUP(A27,'UT-I(Entry)'!$1:$1048576,3,0))/2,0),VLOOKUP(A27,'UT-I(Entry)'!$1:$1048576,3,0))</f>
        <v>0</v>
      </c>
      <c r="D27" s="25">
        <f>IFERROR(ROUND((VLOOKUP(A27,'UT-I(Entry)'!$1:$1048576,4,0))/2,0),VLOOKUP(A27,'UT-I(Entry)'!$1:$1048576,4,0))</f>
        <v>0</v>
      </c>
      <c r="E27" s="25">
        <f>IFERROR(ROUND((VLOOKUP(A27,'UT-I(Entry)'!$1:$1048576,5,0))/2,0),VLOOKUP(A27,'UT-I(Entry)'!$1:$1048576,5,0))</f>
        <v>0</v>
      </c>
      <c r="F27" s="25">
        <f>IFERROR(ROUND((VLOOKUP(A27,'UT-I(Entry)'!$1:$1048576,6,0))/2,0),VLOOKUP(A27,'UT-I(Entry)'!$1:$1048576,6,0))</f>
        <v>0</v>
      </c>
      <c r="G27" s="25">
        <f>IFERROR(ROUND((VLOOKUP(A27,'UT-I(Entry)'!$1:$1048576,7,0))/2,0),VLOOKUP(A27,'UT-I(Entry)'!$1:$1048576,7,0))</f>
        <v>0</v>
      </c>
      <c r="H27" s="25">
        <f>IFERROR(ROUND((VLOOKUP($A27,'UT-I(Entry)'!$1:$1048576,8,0))/2,0),VLOOKUP($A27,'UT-I(Entry)'!$1:$1048576,8,0))</f>
        <v>0</v>
      </c>
      <c r="I27" s="25">
        <f t="shared" si="0"/>
        <v>0</v>
      </c>
      <c r="J27" s="25" t="str">
        <f t="shared" si="1"/>
        <v>0 %</v>
      </c>
      <c r="K27" s="3">
        <f>VLOOKUP(A27,'UT-I(Entry)'!$1:$1048576,9,0)</f>
        <v>0</v>
      </c>
      <c r="L27" s="3">
        <f>VLOOKUP(A27,'UT-I(Entry)'!$1:$1048576,10,0)</f>
        <v>0</v>
      </c>
    </row>
    <row r="28" spans="1:12" x14ac:dyDescent="0.3">
      <c r="A28" s="21">
        <f>DETAILS!A27</f>
        <v>1619</v>
      </c>
      <c r="B28" s="3" t="str">
        <f>DETAILS!B27</f>
        <v>MOHD FAIZ</v>
      </c>
      <c r="C28" s="25">
        <f>IFERROR(ROUND((VLOOKUP(A28,'UT-I(Entry)'!$1:$1048576,3,0))/2,0),VLOOKUP(A28,'UT-I(Entry)'!$1:$1048576,3,0))</f>
        <v>0</v>
      </c>
      <c r="D28" s="25">
        <f>IFERROR(ROUND((VLOOKUP(A28,'UT-I(Entry)'!$1:$1048576,4,0))/2,0),VLOOKUP(A28,'UT-I(Entry)'!$1:$1048576,4,0))</f>
        <v>0</v>
      </c>
      <c r="E28" s="25">
        <f>IFERROR(ROUND((VLOOKUP(A28,'UT-I(Entry)'!$1:$1048576,5,0))/2,0),VLOOKUP(A28,'UT-I(Entry)'!$1:$1048576,5,0))</f>
        <v>0</v>
      </c>
      <c r="F28" s="25">
        <f>IFERROR(ROUND((VLOOKUP(A28,'UT-I(Entry)'!$1:$1048576,6,0))/2,0),VLOOKUP(A28,'UT-I(Entry)'!$1:$1048576,6,0))</f>
        <v>0</v>
      </c>
      <c r="G28" s="25">
        <f>IFERROR(ROUND((VLOOKUP(A28,'UT-I(Entry)'!$1:$1048576,7,0))/2,0),VLOOKUP(A28,'UT-I(Entry)'!$1:$1048576,7,0))</f>
        <v>0</v>
      </c>
      <c r="H28" s="25">
        <f>IFERROR(ROUND((VLOOKUP($A28,'UT-I(Entry)'!$1:$1048576,8,0))/2,0),VLOOKUP($A28,'UT-I(Entry)'!$1:$1048576,8,0))</f>
        <v>0</v>
      </c>
      <c r="I28" s="25">
        <f t="shared" si="0"/>
        <v>0</v>
      </c>
      <c r="J28" s="25" t="str">
        <f t="shared" si="1"/>
        <v>0 %</v>
      </c>
      <c r="K28" s="3">
        <f>VLOOKUP(A28,'UT-I(Entry)'!$1:$1048576,9,0)</f>
        <v>0</v>
      </c>
      <c r="L28" s="3">
        <f>VLOOKUP(A28,'UT-I(Entry)'!$1:$1048576,10,0)</f>
        <v>0</v>
      </c>
    </row>
    <row r="29" spans="1:12" x14ac:dyDescent="0.3">
      <c r="A29" s="21">
        <f>DETAILS!A28</f>
        <v>1687</v>
      </c>
      <c r="B29" s="3" t="str">
        <f>DETAILS!B28</f>
        <v>MOHINI YADAV</v>
      </c>
      <c r="C29" s="25">
        <f>IFERROR(ROUND((VLOOKUP(A29,'UT-I(Entry)'!$1:$1048576,3,0))/2,0),VLOOKUP(A29,'UT-I(Entry)'!$1:$1048576,3,0))</f>
        <v>0</v>
      </c>
      <c r="D29" s="25">
        <f>IFERROR(ROUND((VLOOKUP(A29,'UT-I(Entry)'!$1:$1048576,4,0))/2,0),VLOOKUP(A29,'UT-I(Entry)'!$1:$1048576,4,0))</f>
        <v>0</v>
      </c>
      <c r="E29" s="25">
        <f>IFERROR(ROUND((VLOOKUP(A29,'UT-I(Entry)'!$1:$1048576,5,0))/2,0),VLOOKUP(A29,'UT-I(Entry)'!$1:$1048576,5,0))</f>
        <v>0</v>
      </c>
      <c r="F29" s="25">
        <f>IFERROR(ROUND((VLOOKUP(A29,'UT-I(Entry)'!$1:$1048576,6,0))/2,0),VLOOKUP(A29,'UT-I(Entry)'!$1:$1048576,6,0))</f>
        <v>0</v>
      </c>
      <c r="G29" s="25">
        <f>IFERROR(ROUND((VLOOKUP(A29,'UT-I(Entry)'!$1:$1048576,7,0))/2,0),VLOOKUP(A29,'UT-I(Entry)'!$1:$1048576,7,0))</f>
        <v>0</v>
      </c>
      <c r="H29" s="25">
        <f>IFERROR(ROUND((VLOOKUP($A29,'UT-I(Entry)'!$1:$1048576,8,0))/2,0),VLOOKUP($A29,'UT-I(Entry)'!$1:$1048576,8,0))</f>
        <v>0</v>
      </c>
      <c r="I29" s="25">
        <f t="shared" si="0"/>
        <v>0</v>
      </c>
      <c r="J29" s="25" t="str">
        <f t="shared" si="1"/>
        <v>0 %</v>
      </c>
      <c r="K29" s="3">
        <f>VLOOKUP(A29,'UT-I(Entry)'!$1:$1048576,9,0)</f>
        <v>0</v>
      </c>
      <c r="L29" s="3">
        <f>VLOOKUP(A29,'UT-I(Entry)'!$1:$1048576,10,0)</f>
        <v>0</v>
      </c>
    </row>
    <row r="30" spans="1:12" x14ac:dyDescent="0.3">
      <c r="A30" s="21">
        <f>DETAILS!A29</f>
        <v>1653</v>
      </c>
      <c r="B30" s="3" t="str">
        <f>DETAILS!B29</f>
        <v>MUSKAN MEENA</v>
      </c>
      <c r="C30" s="25">
        <f>IFERROR(ROUND((VLOOKUP(A30,'UT-I(Entry)'!$1:$1048576,3,0))/2,0),VLOOKUP(A30,'UT-I(Entry)'!$1:$1048576,3,0))</f>
        <v>0</v>
      </c>
      <c r="D30" s="25">
        <f>IFERROR(ROUND((VLOOKUP(A30,'UT-I(Entry)'!$1:$1048576,4,0))/2,0),VLOOKUP(A30,'UT-I(Entry)'!$1:$1048576,4,0))</f>
        <v>0</v>
      </c>
      <c r="E30" s="25">
        <f>IFERROR(ROUND((VLOOKUP(A30,'UT-I(Entry)'!$1:$1048576,5,0))/2,0),VLOOKUP(A30,'UT-I(Entry)'!$1:$1048576,5,0))</f>
        <v>0</v>
      </c>
      <c r="F30" s="25">
        <f>IFERROR(ROUND((VLOOKUP(A30,'UT-I(Entry)'!$1:$1048576,6,0))/2,0),VLOOKUP(A30,'UT-I(Entry)'!$1:$1048576,6,0))</f>
        <v>0</v>
      </c>
      <c r="G30" s="25">
        <f>IFERROR(ROUND((VLOOKUP(A30,'UT-I(Entry)'!$1:$1048576,7,0))/2,0),VLOOKUP(A30,'UT-I(Entry)'!$1:$1048576,7,0))</f>
        <v>0</v>
      </c>
      <c r="H30" s="25">
        <f>IFERROR(ROUND((VLOOKUP($A30,'UT-I(Entry)'!$1:$1048576,8,0))/2,0),VLOOKUP($A30,'UT-I(Entry)'!$1:$1048576,8,0))</f>
        <v>0</v>
      </c>
      <c r="I30" s="25">
        <f t="shared" si="0"/>
        <v>0</v>
      </c>
      <c r="J30" s="25" t="str">
        <f t="shared" si="1"/>
        <v>0 %</v>
      </c>
      <c r="K30" s="3">
        <f>VLOOKUP(A30,'UT-I(Entry)'!$1:$1048576,9,0)</f>
        <v>0</v>
      </c>
      <c r="L30" s="3">
        <f>VLOOKUP(A30,'UT-I(Entry)'!$1:$1048576,10,0)</f>
        <v>0</v>
      </c>
    </row>
    <row r="31" spans="1:12" x14ac:dyDescent="0.3">
      <c r="A31" s="21">
        <f>DETAILS!A30</f>
        <v>1700</v>
      </c>
      <c r="B31" s="3" t="str">
        <f>DETAILS!B30</f>
        <v>NASHRA</v>
      </c>
      <c r="C31" s="25">
        <f>IFERROR(ROUND((VLOOKUP(A31,'UT-I(Entry)'!$1:$1048576,3,0))/2,0),VLOOKUP(A31,'UT-I(Entry)'!$1:$1048576,3,0))</f>
        <v>0</v>
      </c>
      <c r="D31" s="25">
        <f>IFERROR(ROUND((VLOOKUP(A31,'UT-I(Entry)'!$1:$1048576,4,0))/2,0),VLOOKUP(A31,'UT-I(Entry)'!$1:$1048576,4,0))</f>
        <v>0</v>
      </c>
      <c r="E31" s="25">
        <f>IFERROR(ROUND((VLOOKUP(A31,'UT-I(Entry)'!$1:$1048576,5,0))/2,0),VLOOKUP(A31,'UT-I(Entry)'!$1:$1048576,5,0))</f>
        <v>0</v>
      </c>
      <c r="F31" s="25">
        <f>IFERROR(ROUND((VLOOKUP(A31,'UT-I(Entry)'!$1:$1048576,6,0))/2,0),VLOOKUP(A31,'UT-I(Entry)'!$1:$1048576,6,0))</f>
        <v>0</v>
      </c>
      <c r="G31" s="25">
        <f>IFERROR(ROUND((VLOOKUP(A31,'UT-I(Entry)'!$1:$1048576,7,0))/2,0),VLOOKUP(A31,'UT-I(Entry)'!$1:$1048576,7,0))</f>
        <v>0</v>
      </c>
      <c r="H31" s="25">
        <f>IFERROR(ROUND((VLOOKUP($A31,'UT-I(Entry)'!$1:$1048576,8,0))/2,0),VLOOKUP($A31,'UT-I(Entry)'!$1:$1048576,8,0))</f>
        <v>0</v>
      </c>
      <c r="I31" s="25">
        <f t="shared" si="0"/>
        <v>0</v>
      </c>
      <c r="J31" s="25" t="str">
        <f t="shared" si="1"/>
        <v>0 %</v>
      </c>
      <c r="K31" s="3">
        <f>VLOOKUP(A31,'UT-I(Entry)'!$1:$1048576,9,0)</f>
        <v>0</v>
      </c>
      <c r="L31" s="3">
        <f>VLOOKUP(A31,'UT-I(Entry)'!$1:$1048576,10,0)</f>
        <v>0</v>
      </c>
    </row>
    <row r="32" spans="1:12" x14ac:dyDescent="0.3">
      <c r="A32" s="21">
        <f>DETAILS!A31</f>
        <v>1603</v>
      </c>
      <c r="B32" s="3" t="str">
        <f>DETAILS!B31</f>
        <v>PRAGATI TIWARI</v>
      </c>
      <c r="C32" s="25">
        <f>IFERROR(ROUND((VLOOKUP(A32,'UT-I(Entry)'!$1:$1048576,3,0))/2,0),VLOOKUP(A32,'UT-I(Entry)'!$1:$1048576,3,0))</f>
        <v>0</v>
      </c>
      <c r="D32" s="25">
        <f>IFERROR(ROUND((VLOOKUP(A32,'UT-I(Entry)'!$1:$1048576,4,0))/2,0),VLOOKUP(A32,'UT-I(Entry)'!$1:$1048576,4,0))</f>
        <v>0</v>
      </c>
      <c r="E32" s="25">
        <f>IFERROR(ROUND((VLOOKUP(A32,'UT-I(Entry)'!$1:$1048576,5,0))/2,0),VLOOKUP(A32,'UT-I(Entry)'!$1:$1048576,5,0))</f>
        <v>0</v>
      </c>
      <c r="F32" s="25">
        <f>IFERROR(ROUND((VLOOKUP(A32,'UT-I(Entry)'!$1:$1048576,6,0))/2,0),VLOOKUP(A32,'UT-I(Entry)'!$1:$1048576,6,0))</f>
        <v>0</v>
      </c>
      <c r="G32" s="25">
        <f>IFERROR(ROUND((VLOOKUP(A32,'UT-I(Entry)'!$1:$1048576,7,0))/2,0),VLOOKUP(A32,'UT-I(Entry)'!$1:$1048576,7,0))</f>
        <v>0</v>
      </c>
      <c r="H32" s="25">
        <f>IFERROR(ROUND((VLOOKUP($A32,'UT-I(Entry)'!$1:$1048576,8,0))/2,0),VLOOKUP($A32,'UT-I(Entry)'!$1:$1048576,8,0))</f>
        <v>0</v>
      </c>
      <c r="I32" s="25">
        <f t="shared" si="0"/>
        <v>0</v>
      </c>
      <c r="J32" s="25" t="str">
        <f t="shared" si="1"/>
        <v>0 %</v>
      </c>
      <c r="K32" s="3">
        <f>VLOOKUP(A32,'UT-I(Entry)'!$1:$1048576,9,0)</f>
        <v>0</v>
      </c>
      <c r="L32" s="3">
        <f>VLOOKUP(A32,'UT-I(Entry)'!$1:$1048576,10,0)</f>
        <v>0</v>
      </c>
    </row>
    <row r="33" spans="1:12" x14ac:dyDescent="0.3">
      <c r="A33" s="21">
        <f>DETAILS!A32</f>
        <v>764</v>
      </c>
      <c r="B33" s="3" t="str">
        <f>DETAILS!B32</f>
        <v>PRAKHAR VERMA</v>
      </c>
      <c r="C33" s="25">
        <f>IFERROR(ROUND((VLOOKUP(A33,'UT-I(Entry)'!$1:$1048576,3,0))/2,0),VLOOKUP(A33,'UT-I(Entry)'!$1:$1048576,3,0))</f>
        <v>0</v>
      </c>
      <c r="D33" s="25">
        <f>IFERROR(ROUND((VLOOKUP(A33,'UT-I(Entry)'!$1:$1048576,4,0))/2,0),VLOOKUP(A33,'UT-I(Entry)'!$1:$1048576,4,0))</f>
        <v>0</v>
      </c>
      <c r="E33" s="25">
        <f>IFERROR(ROUND((VLOOKUP(A33,'UT-I(Entry)'!$1:$1048576,5,0))/2,0),VLOOKUP(A33,'UT-I(Entry)'!$1:$1048576,5,0))</f>
        <v>0</v>
      </c>
      <c r="F33" s="25">
        <f>IFERROR(ROUND((VLOOKUP(A33,'UT-I(Entry)'!$1:$1048576,6,0))/2,0),VLOOKUP(A33,'UT-I(Entry)'!$1:$1048576,6,0))</f>
        <v>0</v>
      </c>
      <c r="G33" s="25">
        <f>IFERROR(ROUND((VLOOKUP(A33,'UT-I(Entry)'!$1:$1048576,7,0))/2,0),VLOOKUP(A33,'UT-I(Entry)'!$1:$1048576,7,0))</f>
        <v>0</v>
      </c>
      <c r="H33" s="25">
        <f>IFERROR(ROUND((VLOOKUP($A33,'UT-I(Entry)'!$1:$1048576,8,0))/2,0),VLOOKUP($A33,'UT-I(Entry)'!$1:$1048576,8,0))</f>
        <v>0</v>
      </c>
      <c r="I33" s="25">
        <f t="shared" si="0"/>
        <v>0</v>
      </c>
      <c r="J33" s="25" t="str">
        <f t="shared" si="1"/>
        <v>0 %</v>
      </c>
      <c r="K33" s="3">
        <f>VLOOKUP(A33,'UT-I(Entry)'!$1:$1048576,9,0)</f>
        <v>0</v>
      </c>
      <c r="L33" s="3">
        <f>VLOOKUP(A33,'UT-I(Entry)'!$1:$1048576,10,0)</f>
        <v>0</v>
      </c>
    </row>
    <row r="34" spans="1:12" x14ac:dyDescent="0.3">
      <c r="A34" s="21">
        <f>DETAILS!A33</f>
        <v>1301</v>
      </c>
      <c r="B34" s="3" t="str">
        <f>DETAILS!B33</f>
        <v>PRASHANT YADAV</v>
      </c>
      <c r="C34" s="25">
        <f>IFERROR(ROUND((VLOOKUP(A34,'UT-I(Entry)'!$1:$1048576,3,0))/2,0),VLOOKUP(A34,'UT-I(Entry)'!$1:$1048576,3,0))</f>
        <v>0</v>
      </c>
      <c r="D34" s="25">
        <f>IFERROR(ROUND((VLOOKUP(A34,'UT-I(Entry)'!$1:$1048576,4,0))/2,0),VLOOKUP(A34,'UT-I(Entry)'!$1:$1048576,4,0))</f>
        <v>0</v>
      </c>
      <c r="E34" s="25">
        <f>IFERROR(ROUND((VLOOKUP(A34,'UT-I(Entry)'!$1:$1048576,5,0))/2,0),VLOOKUP(A34,'UT-I(Entry)'!$1:$1048576,5,0))</f>
        <v>0</v>
      </c>
      <c r="F34" s="25">
        <f>IFERROR(ROUND((VLOOKUP(A34,'UT-I(Entry)'!$1:$1048576,6,0))/2,0),VLOOKUP(A34,'UT-I(Entry)'!$1:$1048576,6,0))</f>
        <v>0</v>
      </c>
      <c r="G34" s="25">
        <f>IFERROR(ROUND((VLOOKUP(A34,'UT-I(Entry)'!$1:$1048576,7,0))/2,0),VLOOKUP(A34,'UT-I(Entry)'!$1:$1048576,7,0))</f>
        <v>0</v>
      </c>
      <c r="H34" s="25">
        <f>IFERROR(ROUND((VLOOKUP($A34,'UT-I(Entry)'!$1:$1048576,8,0))/2,0),VLOOKUP($A34,'UT-I(Entry)'!$1:$1048576,8,0))</f>
        <v>0</v>
      </c>
      <c r="I34" s="25">
        <f t="shared" si="0"/>
        <v>0</v>
      </c>
      <c r="J34" s="25" t="str">
        <f t="shared" si="1"/>
        <v>0 %</v>
      </c>
      <c r="K34" s="3">
        <f>VLOOKUP(A34,'UT-I(Entry)'!$1:$1048576,9,0)</f>
        <v>0</v>
      </c>
      <c r="L34" s="3">
        <f>VLOOKUP(A34,'UT-I(Entry)'!$1:$1048576,10,0)</f>
        <v>0</v>
      </c>
    </row>
    <row r="35" spans="1:12" x14ac:dyDescent="0.3">
      <c r="A35" s="21">
        <f>DETAILS!A34</f>
        <v>1641</v>
      </c>
      <c r="B35" s="3" t="str">
        <f>DETAILS!B34</f>
        <v>PRIYANSHU YADAV</v>
      </c>
      <c r="C35" s="25">
        <f>IFERROR(ROUND((VLOOKUP(A35,'UT-I(Entry)'!$1:$1048576,3,0))/2,0),VLOOKUP(A35,'UT-I(Entry)'!$1:$1048576,3,0))</f>
        <v>0</v>
      </c>
      <c r="D35" s="25">
        <f>IFERROR(ROUND((VLOOKUP(A35,'UT-I(Entry)'!$1:$1048576,4,0))/2,0),VLOOKUP(A35,'UT-I(Entry)'!$1:$1048576,4,0))</f>
        <v>0</v>
      </c>
      <c r="E35" s="25">
        <f>IFERROR(ROUND((VLOOKUP(A35,'UT-I(Entry)'!$1:$1048576,5,0))/2,0),VLOOKUP(A35,'UT-I(Entry)'!$1:$1048576,5,0))</f>
        <v>0</v>
      </c>
      <c r="F35" s="25">
        <f>IFERROR(ROUND((VLOOKUP(A35,'UT-I(Entry)'!$1:$1048576,6,0))/2,0),VLOOKUP(A35,'UT-I(Entry)'!$1:$1048576,6,0))</f>
        <v>0</v>
      </c>
      <c r="G35" s="25">
        <f>IFERROR(ROUND((VLOOKUP(A35,'UT-I(Entry)'!$1:$1048576,7,0))/2,0),VLOOKUP(A35,'UT-I(Entry)'!$1:$1048576,7,0))</f>
        <v>0</v>
      </c>
      <c r="H35" s="25">
        <f>IFERROR(ROUND((VLOOKUP($A35,'UT-I(Entry)'!$1:$1048576,8,0))/2,0),VLOOKUP($A35,'UT-I(Entry)'!$1:$1048576,8,0))</f>
        <v>0</v>
      </c>
      <c r="I35" s="25">
        <f t="shared" si="0"/>
        <v>0</v>
      </c>
      <c r="J35" s="25" t="str">
        <f t="shared" si="1"/>
        <v>0 %</v>
      </c>
      <c r="K35" s="3">
        <f>VLOOKUP(A35,'UT-I(Entry)'!$1:$1048576,9,0)</f>
        <v>0</v>
      </c>
      <c r="L35" s="3">
        <f>VLOOKUP(A35,'UT-I(Entry)'!$1:$1048576,10,0)</f>
        <v>0</v>
      </c>
    </row>
    <row r="36" spans="1:12" x14ac:dyDescent="0.3">
      <c r="A36" s="21">
        <f>DETAILS!A35</f>
        <v>1669</v>
      </c>
      <c r="B36" s="3" t="str">
        <f>DETAILS!B35</f>
        <v>RAUNAK KUMAR</v>
      </c>
      <c r="C36" s="25">
        <f>IFERROR(ROUND((VLOOKUP(A36,'UT-I(Entry)'!$1:$1048576,3,0))/2,0),VLOOKUP(A36,'UT-I(Entry)'!$1:$1048576,3,0))</f>
        <v>0</v>
      </c>
      <c r="D36" s="25">
        <f>IFERROR(ROUND((VLOOKUP(A36,'UT-I(Entry)'!$1:$1048576,4,0))/2,0),VLOOKUP(A36,'UT-I(Entry)'!$1:$1048576,4,0))</f>
        <v>0</v>
      </c>
      <c r="E36" s="25">
        <f>IFERROR(ROUND((VLOOKUP(A36,'UT-I(Entry)'!$1:$1048576,5,0))/2,0),VLOOKUP(A36,'UT-I(Entry)'!$1:$1048576,5,0))</f>
        <v>0</v>
      </c>
      <c r="F36" s="25">
        <f>IFERROR(ROUND((VLOOKUP(A36,'UT-I(Entry)'!$1:$1048576,6,0))/2,0),VLOOKUP(A36,'UT-I(Entry)'!$1:$1048576,6,0))</f>
        <v>0</v>
      </c>
      <c r="G36" s="25">
        <f>IFERROR(ROUND((VLOOKUP(A36,'UT-I(Entry)'!$1:$1048576,7,0))/2,0),VLOOKUP(A36,'UT-I(Entry)'!$1:$1048576,7,0))</f>
        <v>0</v>
      </c>
      <c r="H36" s="25">
        <f>IFERROR(ROUND((VLOOKUP($A36,'UT-I(Entry)'!$1:$1048576,8,0))/2,0),VLOOKUP($A36,'UT-I(Entry)'!$1:$1048576,8,0))</f>
        <v>0</v>
      </c>
      <c r="I36" s="25">
        <f t="shared" si="0"/>
        <v>0</v>
      </c>
      <c r="J36" s="25" t="str">
        <f t="shared" si="1"/>
        <v>0 %</v>
      </c>
      <c r="K36" s="3">
        <f>VLOOKUP(A36,'UT-I(Entry)'!$1:$1048576,9,0)</f>
        <v>0</v>
      </c>
      <c r="L36" s="3">
        <f>VLOOKUP(A36,'UT-I(Entry)'!$1:$1048576,10,0)</f>
        <v>0</v>
      </c>
    </row>
    <row r="37" spans="1:12" x14ac:dyDescent="0.3">
      <c r="A37" s="21">
        <f>DETAILS!A36</f>
        <v>806</v>
      </c>
      <c r="B37" s="3" t="str">
        <f>DETAILS!B36</f>
        <v>SAMRIDH SRIVASTAVA</v>
      </c>
      <c r="C37" s="25">
        <f>IFERROR(ROUND((VLOOKUP(A37,'UT-I(Entry)'!$1:$1048576,3,0))/2,0),VLOOKUP(A37,'UT-I(Entry)'!$1:$1048576,3,0))</f>
        <v>0</v>
      </c>
      <c r="D37" s="25">
        <f>IFERROR(ROUND((VLOOKUP(A37,'UT-I(Entry)'!$1:$1048576,4,0))/2,0),VLOOKUP(A37,'UT-I(Entry)'!$1:$1048576,4,0))</f>
        <v>0</v>
      </c>
      <c r="E37" s="25">
        <f>IFERROR(ROUND((VLOOKUP(A37,'UT-I(Entry)'!$1:$1048576,5,0))/2,0),VLOOKUP(A37,'UT-I(Entry)'!$1:$1048576,5,0))</f>
        <v>0</v>
      </c>
      <c r="F37" s="25">
        <f>IFERROR(ROUND((VLOOKUP(A37,'UT-I(Entry)'!$1:$1048576,6,0))/2,0),VLOOKUP(A37,'UT-I(Entry)'!$1:$1048576,6,0))</f>
        <v>0</v>
      </c>
      <c r="G37" s="25">
        <f>IFERROR(ROUND((VLOOKUP(A37,'UT-I(Entry)'!$1:$1048576,7,0))/2,0),VLOOKUP(A37,'UT-I(Entry)'!$1:$1048576,7,0))</f>
        <v>0</v>
      </c>
      <c r="H37" s="25">
        <f>IFERROR(ROUND((VLOOKUP($A37,'UT-I(Entry)'!$1:$1048576,8,0))/2,0),VLOOKUP($A37,'UT-I(Entry)'!$1:$1048576,8,0))</f>
        <v>0</v>
      </c>
      <c r="I37" s="25">
        <f t="shared" si="0"/>
        <v>0</v>
      </c>
      <c r="J37" s="25" t="str">
        <f t="shared" si="1"/>
        <v>0 %</v>
      </c>
      <c r="K37" s="3">
        <f>VLOOKUP(A37,'UT-I(Entry)'!$1:$1048576,9,0)</f>
        <v>0</v>
      </c>
      <c r="L37" s="3">
        <f>VLOOKUP(A37,'UT-I(Entry)'!$1:$1048576,10,0)</f>
        <v>0</v>
      </c>
    </row>
    <row r="38" spans="1:12" x14ac:dyDescent="0.3">
      <c r="A38" s="21">
        <f>DETAILS!A37</f>
        <v>1367</v>
      </c>
      <c r="B38" s="3" t="str">
        <f>DETAILS!B37</f>
        <v>SATYAM  SINGH</v>
      </c>
      <c r="C38" s="25">
        <f>IFERROR(ROUND((VLOOKUP(A38,'UT-I(Entry)'!$1:$1048576,3,0))/2,0),VLOOKUP(A38,'UT-I(Entry)'!$1:$1048576,3,0))</f>
        <v>0</v>
      </c>
      <c r="D38" s="25">
        <f>IFERROR(ROUND((VLOOKUP(A38,'UT-I(Entry)'!$1:$1048576,4,0))/2,0),VLOOKUP(A38,'UT-I(Entry)'!$1:$1048576,4,0))</f>
        <v>0</v>
      </c>
      <c r="E38" s="25">
        <f>IFERROR(ROUND((VLOOKUP(A38,'UT-I(Entry)'!$1:$1048576,5,0))/2,0),VLOOKUP(A38,'UT-I(Entry)'!$1:$1048576,5,0))</f>
        <v>0</v>
      </c>
      <c r="F38" s="25">
        <f>IFERROR(ROUND((VLOOKUP(A38,'UT-I(Entry)'!$1:$1048576,6,0))/2,0),VLOOKUP(A38,'UT-I(Entry)'!$1:$1048576,6,0))</f>
        <v>0</v>
      </c>
      <c r="G38" s="25">
        <f>IFERROR(ROUND((VLOOKUP(A38,'UT-I(Entry)'!$1:$1048576,7,0))/2,0),VLOOKUP(A38,'UT-I(Entry)'!$1:$1048576,7,0))</f>
        <v>0</v>
      </c>
      <c r="H38" s="25">
        <f>IFERROR(ROUND((VLOOKUP($A38,'UT-I(Entry)'!$1:$1048576,8,0))/2,0),VLOOKUP($A38,'UT-I(Entry)'!$1:$1048576,8,0))</f>
        <v>0</v>
      </c>
      <c r="I38" s="25">
        <f t="shared" si="0"/>
        <v>0</v>
      </c>
      <c r="J38" s="25" t="str">
        <f t="shared" si="1"/>
        <v>0 %</v>
      </c>
      <c r="K38" s="3">
        <f>VLOOKUP(A38,'UT-I(Entry)'!$1:$1048576,9,0)</f>
        <v>0</v>
      </c>
      <c r="L38" s="3">
        <f>VLOOKUP(A38,'UT-I(Entry)'!$1:$1048576,10,0)</f>
        <v>0</v>
      </c>
    </row>
    <row r="39" spans="1:12" x14ac:dyDescent="0.3">
      <c r="A39" s="21">
        <f>DETAILS!A38</f>
        <v>1629</v>
      </c>
      <c r="B39" s="3" t="str">
        <f>DETAILS!B38</f>
        <v>SHAVI JAISWAL</v>
      </c>
      <c r="C39" s="25">
        <f>IFERROR(ROUND((VLOOKUP(A39,'UT-I(Entry)'!$1:$1048576,3,0))/2,0),VLOOKUP(A39,'UT-I(Entry)'!$1:$1048576,3,0))</f>
        <v>0</v>
      </c>
      <c r="D39" s="25">
        <f>IFERROR(ROUND((VLOOKUP(A39,'UT-I(Entry)'!$1:$1048576,4,0))/2,0),VLOOKUP(A39,'UT-I(Entry)'!$1:$1048576,4,0))</f>
        <v>0</v>
      </c>
      <c r="E39" s="25">
        <f>IFERROR(ROUND((VLOOKUP(A39,'UT-I(Entry)'!$1:$1048576,5,0))/2,0),VLOOKUP(A39,'UT-I(Entry)'!$1:$1048576,5,0))</f>
        <v>0</v>
      </c>
      <c r="F39" s="25">
        <f>IFERROR(ROUND((VLOOKUP(A39,'UT-I(Entry)'!$1:$1048576,6,0))/2,0),VLOOKUP(A39,'UT-I(Entry)'!$1:$1048576,6,0))</f>
        <v>0</v>
      </c>
      <c r="G39" s="25">
        <f>IFERROR(ROUND((VLOOKUP(A39,'UT-I(Entry)'!$1:$1048576,7,0))/2,0),VLOOKUP(A39,'UT-I(Entry)'!$1:$1048576,7,0))</f>
        <v>0</v>
      </c>
      <c r="H39" s="25">
        <f>IFERROR(ROUND((VLOOKUP($A39,'UT-I(Entry)'!$1:$1048576,8,0))/2,0),VLOOKUP($A39,'UT-I(Entry)'!$1:$1048576,8,0))</f>
        <v>0</v>
      </c>
      <c r="I39" s="25">
        <f t="shared" si="0"/>
        <v>0</v>
      </c>
      <c r="J39" s="25" t="str">
        <f t="shared" si="1"/>
        <v>0 %</v>
      </c>
      <c r="K39" s="3">
        <f>VLOOKUP(A39,'UT-I(Entry)'!$1:$1048576,9,0)</f>
        <v>0</v>
      </c>
      <c r="L39" s="3">
        <f>VLOOKUP(A39,'UT-I(Entry)'!$1:$1048576,10,0)</f>
        <v>0</v>
      </c>
    </row>
    <row r="40" spans="1:12" x14ac:dyDescent="0.3">
      <c r="A40" s="21">
        <f>DETAILS!A39</f>
        <v>1667</v>
      </c>
      <c r="B40" s="3" t="str">
        <f>DETAILS!B39</f>
        <v>SHIVA VERMA</v>
      </c>
      <c r="C40" s="25">
        <f>IFERROR(ROUND((VLOOKUP(A40,'UT-I(Entry)'!$1:$1048576,3,0))/2,0),VLOOKUP(A40,'UT-I(Entry)'!$1:$1048576,3,0))</f>
        <v>0</v>
      </c>
      <c r="D40" s="25">
        <f>IFERROR(ROUND((VLOOKUP(A40,'UT-I(Entry)'!$1:$1048576,4,0))/2,0),VLOOKUP(A40,'UT-I(Entry)'!$1:$1048576,4,0))</f>
        <v>0</v>
      </c>
      <c r="E40" s="25">
        <f>IFERROR(ROUND((VLOOKUP(A40,'UT-I(Entry)'!$1:$1048576,5,0))/2,0),VLOOKUP(A40,'UT-I(Entry)'!$1:$1048576,5,0))</f>
        <v>0</v>
      </c>
      <c r="F40" s="25">
        <f>IFERROR(ROUND((VLOOKUP(A40,'UT-I(Entry)'!$1:$1048576,6,0))/2,0),VLOOKUP(A40,'UT-I(Entry)'!$1:$1048576,6,0))</f>
        <v>0</v>
      </c>
      <c r="G40" s="25">
        <f>IFERROR(ROUND((VLOOKUP(A40,'UT-I(Entry)'!$1:$1048576,7,0))/2,0),VLOOKUP(A40,'UT-I(Entry)'!$1:$1048576,7,0))</f>
        <v>0</v>
      </c>
      <c r="H40" s="25">
        <f>IFERROR(ROUND((VLOOKUP($A40,'UT-I(Entry)'!$1:$1048576,8,0))/2,0),VLOOKUP($A40,'UT-I(Entry)'!$1:$1048576,8,0))</f>
        <v>0</v>
      </c>
      <c r="I40" s="25">
        <f t="shared" si="0"/>
        <v>0</v>
      </c>
      <c r="J40" s="25" t="str">
        <f t="shared" si="1"/>
        <v>0 %</v>
      </c>
      <c r="K40" s="3">
        <f>VLOOKUP(A40,'UT-I(Entry)'!$1:$1048576,9,0)</f>
        <v>0</v>
      </c>
      <c r="L40" s="3">
        <f>VLOOKUP(A40,'UT-I(Entry)'!$1:$1048576,10,0)</f>
        <v>0</v>
      </c>
    </row>
    <row r="41" spans="1:12" x14ac:dyDescent="0.3">
      <c r="A41" s="21">
        <f>DETAILS!A40</f>
        <v>1614</v>
      </c>
      <c r="B41" s="3" t="str">
        <f>DETAILS!B40</f>
        <v>SHRISTI PATEL</v>
      </c>
      <c r="C41" s="25">
        <f>IFERROR(ROUND((VLOOKUP(A41,'UT-I(Entry)'!$1:$1048576,3,0))/2,0),VLOOKUP(A41,'UT-I(Entry)'!$1:$1048576,3,0))</f>
        <v>0</v>
      </c>
      <c r="D41" s="25">
        <f>IFERROR(ROUND((VLOOKUP(A41,'UT-I(Entry)'!$1:$1048576,4,0))/2,0),VLOOKUP(A41,'UT-I(Entry)'!$1:$1048576,4,0))</f>
        <v>0</v>
      </c>
      <c r="E41" s="25">
        <f>IFERROR(ROUND((VLOOKUP(A41,'UT-I(Entry)'!$1:$1048576,5,0))/2,0),VLOOKUP(A41,'UT-I(Entry)'!$1:$1048576,5,0))</f>
        <v>0</v>
      </c>
      <c r="F41" s="25">
        <f>IFERROR(ROUND((VLOOKUP(A41,'UT-I(Entry)'!$1:$1048576,6,0))/2,0),VLOOKUP(A41,'UT-I(Entry)'!$1:$1048576,6,0))</f>
        <v>0</v>
      </c>
      <c r="G41" s="25">
        <f>IFERROR(ROUND((VLOOKUP(A41,'UT-I(Entry)'!$1:$1048576,7,0))/2,0),VLOOKUP(A41,'UT-I(Entry)'!$1:$1048576,7,0))</f>
        <v>0</v>
      </c>
      <c r="H41" s="25">
        <f>IFERROR(ROUND((VLOOKUP($A41,'UT-I(Entry)'!$1:$1048576,8,0))/2,0),VLOOKUP($A41,'UT-I(Entry)'!$1:$1048576,8,0))</f>
        <v>0</v>
      </c>
      <c r="I41" s="25">
        <f t="shared" si="0"/>
        <v>0</v>
      </c>
      <c r="J41" s="25" t="str">
        <f t="shared" si="1"/>
        <v>0 %</v>
      </c>
      <c r="K41" s="3">
        <f>VLOOKUP(A41,'UT-I(Entry)'!$1:$1048576,9,0)</f>
        <v>0</v>
      </c>
      <c r="L41" s="3">
        <f>VLOOKUP(A41,'UT-I(Entry)'!$1:$1048576,10,0)</f>
        <v>0</v>
      </c>
    </row>
    <row r="42" spans="1:12" x14ac:dyDescent="0.3">
      <c r="A42" s="21">
        <f>DETAILS!A41</f>
        <v>989</v>
      </c>
      <c r="B42" s="3" t="str">
        <f>DETAILS!B41</f>
        <v>SHUBHAM KUMAR VERMA</v>
      </c>
      <c r="C42" s="25">
        <f>IFERROR(ROUND((VLOOKUP(A42,'UT-I(Entry)'!$1:$1048576,3,0))/2,0),VLOOKUP(A42,'UT-I(Entry)'!$1:$1048576,3,0))</f>
        <v>0</v>
      </c>
      <c r="D42" s="25">
        <f>IFERROR(ROUND((VLOOKUP(A42,'UT-I(Entry)'!$1:$1048576,4,0))/2,0),VLOOKUP(A42,'UT-I(Entry)'!$1:$1048576,4,0))</f>
        <v>0</v>
      </c>
      <c r="E42" s="25">
        <f>IFERROR(ROUND((VLOOKUP(A42,'UT-I(Entry)'!$1:$1048576,5,0))/2,0),VLOOKUP(A42,'UT-I(Entry)'!$1:$1048576,5,0))</f>
        <v>0</v>
      </c>
      <c r="F42" s="25">
        <f>IFERROR(ROUND((VLOOKUP(A42,'UT-I(Entry)'!$1:$1048576,6,0))/2,0),VLOOKUP(A42,'UT-I(Entry)'!$1:$1048576,6,0))</f>
        <v>0</v>
      </c>
      <c r="G42" s="25">
        <f>IFERROR(ROUND((VLOOKUP(A42,'UT-I(Entry)'!$1:$1048576,7,0))/2,0),VLOOKUP(A42,'UT-I(Entry)'!$1:$1048576,7,0))</f>
        <v>0</v>
      </c>
      <c r="H42" s="25">
        <f>IFERROR(ROUND((VLOOKUP($A42,'UT-I(Entry)'!$1:$1048576,8,0))/2,0),VLOOKUP($A42,'UT-I(Entry)'!$1:$1048576,8,0))</f>
        <v>0</v>
      </c>
      <c r="I42" s="25">
        <f t="shared" si="0"/>
        <v>0</v>
      </c>
      <c r="J42" s="25" t="str">
        <f t="shared" si="1"/>
        <v>0 %</v>
      </c>
      <c r="K42" s="3">
        <f>VLOOKUP(A42,'UT-I(Entry)'!$1:$1048576,9,0)</f>
        <v>0</v>
      </c>
      <c r="L42" s="3">
        <f>VLOOKUP(A42,'UT-I(Entry)'!$1:$1048576,10,0)</f>
        <v>0</v>
      </c>
    </row>
    <row r="43" spans="1:12" x14ac:dyDescent="0.3">
      <c r="A43" s="21">
        <f>DETAILS!A42</f>
        <v>1645</v>
      </c>
      <c r="B43" s="3" t="str">
        <f>DETAILS!B42</f>
        <v>STUTI JAISWAL</v>
      </c>
      <c r="C43" s="25">
        <f>IFERROR(ROUND((VLOOKUP(A43,'UT-I(Entry)'!$1:$1048576,3,0))/2,0),VLOOKUP(A43,'UT-I(Entry)'!$1:$1048576,3,0))</f>
        <v>0</v>
      </c>
      <c r="D43" s="25">
        <f>IFERROR(ROUND((VLOOKUP(A43,'UT-I(Entry)'!$1:$1048576,4,0))/2,0),VLOOKUP(A43,'UT-I(Entry)'!$1:$1048576,4,0))</f>
        <v>0</v>
      </c>
      <c r="E43" s="25">
        <f>IFERROR(ROUND((VLOOKUP(A43,'UT-I(Entry)'!$1:$1048576,5,0))/2,0),VLOOKUP(A43,'UT-I(Entry)'!$1:$1048576,5,0))</f>
        <v>0</v>
      </c>
      <c r="F43" s="25">
        <f>IFERROR(ROUND((VLOOKUP(A43,'UT-I(Entry)'!$1:$1048576,6,0))/2,0),VLOOKUP(A43,'UT-I(Entry)'!$1:$1048576,6,0))</f>
        <v>0</v>
      </c>
      <c r="G43" s="25">
        <f>IFERROR(ROUND((VLOOKUP(A43,'UT-I(Entry)'!$1:$1048576,7,0))/2,0),VLOOKUP(A43,'UT-I(Entry)'!$1:$1048576,7,0))</f>
        <v>0</v>
      </c>
      <c r="H43" s="25">
        <f>IFERROR(ROUND((VLOOKUP($A43,'UT-I(Entry)'!$1:$1048576,8,0))/2,0),VLOOKUP($A43,'UT-I(Entry)'!$1:$1048576,8,0))</f>
        <v>0</v>
      </c>
      <c r="I43" s="25">
        <f t="shared" ref="I43:I49" si="2">SUM(C43:H43)</f>
        <v>0</v>
      </c>
      <c r="J43" s="25" t="str">
        <f t="shared" ref="J43:J49" si="3">ROUND(I43/1.2,2)&amp;" %"</f>
        <v>0 %</v>
      </c>
      <c r="K43" s="3">
        <f>VLOOKUP(A43,'UT-I(Entry)'!$1:$1048576,9,0)</f>
        <v>0</v>
      </c>
      <c r="L43" s="3">
        <f>VLOOKUP(A43,'UT-I(Entry)'!$1:$1048576,10,0)</f>
        <v>0</v>
      </c>
    </row>
    <row r="44" spans="1:12" x14ac:dyDescent="0.3">
      <c r="A44" s="21">
        <f>DETAILS!A43</f>
        <v>1647</v>
      </c>
      <c r="B44" s="3" t="str">
        <f>DETAILS!B43</f>
        <v>SUDHA</v>
      </c>
      <c r="C44" s="25">
        <f>IFERROR(ROUND((VLOOKUP(A44,'UT-I(Entry)'!$1:$1048576,3,0))/2,0),VLOOKUP(A44,'UT-I(Entry)'!$1:$1048576,3,0))</f>
        <v>0</v>
      </c>
      <c r="D44" s="25">
        <f>IFERROR(ROUND((VLOOKUP(A44,'UT-I(Entry)'!$1:$1048576,4,0))/2,0),VLOOKUP(A44,'UT-I(Entry)'!$1:$1048576,4,0))</f>
        <v>0</v>
      </c>
      <c r="E44" s="25">
        <f>IFERROR(ROUND((VLOOKUP(A44,'UT-I(Entry)'!$1:$1048576,5,0))/2,0),VLOOKUP(A44,'UT-I(Entry)'!$1:$1048576,5,0))</f>
        <v>0</v>
      </c>
      <c r="F44" s="25">
        <f>IFERROR(ROUND((VLOOKUP(A44,'UT-I(Entry)'!$1:$1048576,6,0))/2,0),VLOOKUP(A44,'UT-I(Entry)'!$1:$1048576,6,0))</f>
        <v>0</v>
      </c>
      <c r="G44" s="25">
        <f>IFERROR(ROUND((VLOOKUP(A44,'UT-I(Entry)'!$1:$1048576,7,0))/2,0),VLOOKUP(A44,'UT-I(Entry)'!$1:$1048576,7,0))</f>
        <v>0</v>
      </c>
      <c r="H44" s="25">
        <f>IFERROR(ROUND((VLOOKUP($A44,'UT-I(Entry)'!$1:$1048576,8,0))/2,0),VLOOKUP($A44,'UT-I(Entry)'!$1:$1048576,8,0))</f>
        <v>0</v>
      </c>
      <c r="I44" s="25">
        <f t="shared" si="2"/>
        <v>0</v>
      </c>
      <c r="J44" s="25" t="str">
        <f t="shared" si="3"/>
        <v>0 %</v>
      </c>
      <c r="K44" s="3">
        <f>VLOOKUP(A44,'UT-I(Entry)'!$1:$1048576,9,0)</f>
        <v>0</v>
      </c>
      <c r="L44" s="3">
        <f>VLOOKUP(A44,'UT-I(Entry)'!$1:$1048576,10,0)</f>
        <v>0</v>
      </c>
    </row>
    <row r="45" spans="1:12" x14ac:dyDescent="0.3">
      <c r="A45" s="21">
        <f>DETAILS!A44</f>
        <v>766</v>
      </c>
      <c r="B45" s="3" t="str">
        <f>DETAILS!B44</f>
        <v>SURAJ SHARMA</v>
      </c>
      <c r="C45" s="25">
        <f>IFERROR(ROUND((VLOOKUP(A45,'UT-I(Entry)'!$1:$1048576,3,0))/2,0),VLOOKUP(A45,'UT-I(Entry)'!$1:$1048576,3,0))</f>
        <v>0</v>
      </c>
      <c r="D45" s="25">
        <f>IFERROR(ROUND((VLOOKUP(A45,'UT-I(Entry)'!$1:$1048576,4,0))/2,0),VLOOKUP(A45,'UT-I(Entry)'!$1:$1048576,4,0))</f>
        <v>0</v>
      </c>
      <c r="E45" s="25">
        <f>IFERROR(ROUND((VLOOKUP(A45,'UT-I(Entry)'!$1:$1048576,5,0))/2,0),VLOOKUP(A45,'UT-I(Entry)'!$1:$1048576,5,0))</f>
        <v>0</v>
      </c>
      <c r="F45" s="25">
        <f>IFERROR(ROUND((VLOOKUP(A45,'UT-I(Entry)'!$1:$1048576,6,0))/2,0),VLOOKUP(A45,'UT-I(Entry)'!$1:$1048576,6,0))</f>
        <v>0</v>
      </c>
      <c r="G45" s="25">
        <f>IFERROR(ROUND((VLOOKUP(A45,'UT-I(Entry)'!$1:$1048576,7,0))/2,0),VLOOKUP(A45,'UT-I(Entry)'!$1:$1048576,7,0))</f>
        <v>0</v>
      </c>
      <c r="H45" s="25">
        <f>IFERROR(ROUND((VLOOKUP($A45,'UT-I(Entry)'!$1:$1048576,8,0))/2,0),VLOOKUP($A45,'UT-I(Entry)'!$1:$1048576,8,0))</f>
        <v>0</v>
      </c>
      <c r="I45" s="25">
        <f t="shared" si="2"/>
        <v>0</v>
      </c>
      <c r="J45" s="25" t="str">
        <f t="shared" si="3"/>
        <v>0 %</v>
      </c>
      <c r="K45" s="3">
        <f>VLOOKUP(A45,'UT-I(Entry)'!$1:$1048576,9,0)</f>
        <v>0</v>
      </c>
      <c r="L45" s="3">
        <f>VLOOKUP(A45,'UT-I(Entry)'!$1:$1048576,10,0)</f>
        <v>0</v>
      </c>
    </row>
    <row r="46" spans="1:12" x14ac:dyDescent="0.3">
      <c r="A46" s="21">
        <f>DETAILS!A45</f>
        <v>1617</v>
      </c>
      <c r="B46" s="3" t="str">
        <f>DETAILS!B45</f>
        <v>TRAPTI</v>
      </c>
      <c r="C46" s="25">
        <f>IFERROR(ROUND((VLOOKUP(A46,'UT-I(Entry)'!$1:$1048576,3,0))/2,0),VLOOKUP(A46,'UT-I(Entry)'!$1:$1048576,3,0))</f>
        <v>0</v>
      </c>
      <c r="D46" s="25">
        <f>IFERROR(ROUND((VLOOKUP(A46,'UT-I(Entry)'!$1:$1048576,4,0))/2,0),VLOOKUP(A46,'UT-I(Entry)'!$1:$1048576,4,0))</f>
        <v>0</v>
      </c>
      <c r="E46" s="25">
        <f>IFERROR(ROUND((VLOOKUP(A46,'UT-I(Entry)'!$1:$1048576,5,0))/2,0),VLOOKUP(A46,'UT-I(Entry)'!$1:$1048576,5,0))</f>
        <v>0</v>
      </c>
      <c r="F46" s="25">
        <f>IFERROR(ROUND((VLOOKUP(A46,'UT-I(Entry)'!$1:$1048576,6,0))/2,0),VLOOKUP(A46,'UT-I(Entry)'!$1:$1048576,6,0))</f>
        <v>0</v>
      </c>
      <c r="G46" s="25">
        <f>IFERROR(ROUND((VLOOKUP(A46,'UT-I(Entry)'!$1:$1048576,7,0))/2,0),VLOOKUP(A46,'UT-I(Entry)'!$1:$1048576,7,0))</f>
        <v>0</v>
      </c>
      <c r="H46" s="25">
        <f>IFERROR(ROUND((VLOOKUP($A46,'UT-I(Entry)'!$1:$1048576,8,0))/2,0),VLOOKUP($A46,'UT-I(Entry)'!$1:$1048576,8,0))</f>
        <v>0</v>
      </c>
      <c r="I46" s="25">
        <f t="shared" si="2"/>
        <v>0</v>
      </c>
      <c r="J46" s="25" t="str">
        <f t="shared" si="3"/>
        <v>0 %</v>
      </c>
      <c r="K46" s="3">
        <f>VLOOKUP(A46,'UT-I(Entry)'!$1:$1048576,9,0)</f>
        <v>0</v>
      </c>
      <c r="L46" s="3">
        <f>VLOOKUP(A46,'UT-I(Entry)'!$1:$1048576,10,0)</f>
        <v>0</v>
      </c>
    </row>
    <row r="47" spans="1:12" x14ac:dyDescent="0.3">
      <c r="A47" s="21">
        <f>DETAILS!A46</f>
        <v>1608</v>
      </c>
      <c r="B47" s="3" t="str">
        <f>DETAILS!B46</f>
        <v>VAISHNAVI SINGH</v>
      </c>
      <c r="C47" s="25">
        <f>IFERROR(ROUND((VLOOKUP(A47,'UT-I(Entry)'!$1:$1048576,3,0))/2,0),VLOOKUP(A47,'UT-I(Entry)'!$1:$1048576,3,0))</f>
        <v>0</v>
      </c>
      <c r="D47" s="25">
        <f>IFERROR(ROUND((VLOOKUP(A47,'UT-I(Entry)'!$1:$1048576,4,0))/2,0),VLOOKUP(A47,'UT-I(Entry)'!$1:$1048576,4,0))</f>
        <v>0</v>
      </c>
      <c r="E47" s="25">
        <f>IFERROR(ROUND((VLOOKUP(A47,'UT-I(Entry)'!$1:$1048576,5,0))/2,0),VLOOKUP(A47,'UT-I(Entry)'!$1:$1048576,5,0))</f>
        <v>0</v>
      </c>
      <c r="F47" s="25">
        <f>IFERROR(ROUND((VLOOKUP(A47,'UT-I(Entry)'!$1:$1048576,6,0))/2,0),VLOOKUP(A47,'UT-I(Entry)'!$1:$1048576,6,0))</f>
        <v>0</v>
      </c>
      <c r="G47" s="25">
        <f>IFERROR(ROUND((VLOOKUP(A47,'UT-I(Entry)'!$1:$1048576,7,0))/2,0),VLOOKUP(A47,'UT-I(Entry)'!$1:$1048576,7,0))</f>
        <v>0</v>
      </c>
      <c r="H47" s="25">
        <f>IFERROR(ROUND((VLOOKUP($A47,'UT-I(Entry)'!$1:$1048576,8,0))/2,0),VLOOKUP($A47,'UT-I(Entry)'!$1:$1048576,8,0))</f>
        <v>0</v>
      </c>
      <c r="I47" s="25">
        <f t="shared" si="2"/>
        <v>0</v>
      </c>
      <c r="J47" s="25" t="str">
        <f t="shared" si="3"/>
        <v>0 %</v>
      </c>
      <c r="K47" s="3">
        <f>VLOOKUP(A47,'UT-I(Entry)'!$1:$1048576,9,0)</f>
        <v>0</v>
      </c>
      <c r="L47" s="3">
        <f>VLOOKUP(A47,'UT-I(Entry)'!$1:$1048576,10,0)</f>
        <v>0</v>
      </c>
    </row>
    <row r="48" spans="1:12" x14ac:dyDescent="0.3">
      <c r="A48" s="21">
        <f>DETAILS!A47</f>
        <v>1693</v>
      </c>
      <c r="B48" s="3" t="str">
        <f>DETAILS!B47</f>
        <v>VANSH MISHRA</v>
      </c>
      <c r="C48" s="25">
        <f>IFERROR(ROUND((VLOOKUP(A48,'UT-I(Entry)'!$1:$1048576,3,0))/2,0),VLOOKUP(A48,'UT-I(Entry)'!$1:$1048576,3,0))</f>
        <v>0</v>
      </c>
      <c r="D48" s="25">
        <f>IFERROR(ROUND((VLOOKUP(A48,'UT-I(Entry)'!$1:$1048576,4,0))/2,0),VLOOKUP(A48,'UT-I(Entry)'!$1:$1048576,4,0))</f>
        <v>0</v>
      </c>
      <c r="E48" s="25">
        <f>IFERROR(ROUND((VLOOKUP(A48,'UT-I(Entry)'!$1:$1048576,5,0))/2,0),VLOOKUP(A48,'UT-I(Entry)'!$1:$1048576,5,0))</f>
        <v>0</v>
      </c>
      <c r="F48" s="25">
        <f>IFERROR(ROUND((VLOOKUP(A48,'UT-I(Entry)'!$1:$1048576,6,0))/2,0),VLOOKUP(A48,'UT-I(Entry)'!$1:$1048576,6,0))</f>
        <v>0</v>
      </c>
      <c r="G48" s="25">
        <f>IFERROR(ROUND((VLOOKUP(A48,'UT-I(Entry)'!$1:$1048576,7,0))/2,0),VLOOKUP(A48,'UT-I(Entry)'!$1:$1048576,7,0))</f>
        <v>0</v>
      </c>
      <c r="H48" s="25">
        <f>IFERROR(ROUND((VLOOKUP($A48,'UT-I(Entry)'!$1:$1048576,8,0))/2,0),VLOOKUP($A48,'UT-I(Entry)'!$1:$1048576,8,0))</f>
        <v>0</v>
      </c>
      <c r="I48" s="25">
        <f t="shared" si="2"/>
        <v>0</v>
      </c>
      <c r="J48" s="25" t="str">
        <f t="shared" si="3"/>
        <v>0 %</v>
      </c>
      <c r="K48" s="3">
        <f>VLOOKUP(A48,'UT-I(Entry)'!$1:$1048576,9,0)</f>
        <v>0</v>
      </c>
      <c r="L48" s="3">
        <f>VLOOKUP(A48,'UT-I(Entry)'!$1:$1048576,10,0)</f>
        <v>0</v>
      </c>
    </row>
    <row r="49" spans="1:12" x14ac:dyDescent="0.3">
      <c r="A49" s="21">
        <f>DETAILS!A48</f>
        <v>1104</v>
      </c>
      <c r="B49" s="3" t="str">
        <f>DETAILS!B48</f>
        <v>VARTIKA RANA</v>
      </c>
      <c r="C49" s="25">
        <f>IFERROR(ROUND((VLOOKUP(A49,'UT-I(Entry)'!$1:$1048576,3,0))/2,0),VLOOKUP(A49,'UT-I(Entry)'!$1:$1048576,3,0))</f>
        <v>0</v>
      </c>
      <c r="D49" s="25">
        <f>IFERROR(ROUND((VLOOKUP(A49,'UT-I(Entry)'!$1:$1048576,4,0))/2,0),VLOOKUP(A49,'UT-I(Entry)'!$1:$1048576,4,0))</f>
        <v>0</v>
      </c>
      <c r="E49" s="25">
        <f>IFERROR(ROUND((VLOOKUP(A49,'UT-I(Entry)'!$1:$1048576,5,0))/2,0),VLOOKUP(A49,'UT-I(Entry)'!$1:$1048576,5,0))</f>
        <v>0</v>
      </c>
      <c r="F49" s="25">
        <f>IFERROR(ROUND((VLOOKUP(A49,'UT-I(Entry)'!$1:$1048576,6,0))/2,0),VLOOKUP(A49,'UT-I(Entry)'!$1:$1048576,6,0))</f>
        <v>0</v>
      </c>
      <c r="G49" s="25">
        <f>IFERROR(ROUND((VLOOKUP(A49,'UT-I(Entry)'!$1:$1048576,7,0))/2,0),VLOOKUP(A49,'UT-I(Entry)'!$1:$1048576,7,0))</f>
        <v>0</v>
      </c>
      <c r="H49" s="25">
        <f>IFERROR(ROUND((VLOOKUP($A49,'UT-I(Entry)'!$1:$1048576,8,0))/2,0),VLOOKUP($A49,'UT-I(Entry)'!$1:$1048576,8,0))</f>
        <v>0</v>
      </c>
      <c r="I49" s="25">
        <f t="shared" si="2"/>
        <v>0</v>
      </c>
      <c r="J49" s="25" t="str">
        <f t="shared" si="3"/>
        <v>0 %</v>
      </c>
      <c r="K49" s="3">
        <f>VLOOKUP(A49,'UT-I(Entry)'!$1:$1048576,9,0)</f>
        <v>0</v>
      </c>
      <c r="L49" s="3">
        <f>VLOOKUP(A49,'UT-I(Entry)'!$1:$1048576,10,0)</f>
        <v>0</v>
      </c>
    </row>
  </sheetData>
  <mergeCells count="12">
    <mergeCell ref="H2:H3"/>
    <mergeCell ref="K2:L2"/>
    <mergeCell ref="A1:L1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H10" sqref="H10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78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3" t="s">
        <v>39</v>
      </c>
      <c r="B2" s="23" t="s">
        <v>40</v>
      </c>
      <c r="C2" s="28" t="s">
        <v>7</v>
      </c>
      <c r="D2" s="28" t="s">
        <v>8</v>
      </c>
      <c r="E2" s="28" t="s">
        <v>41</v>
      </c>
      <c r="F2" s="28" t="s">
        <v>73</v>
      </c>
      <c r="G2" s="28" t="s">
        <v>77</v>
      </c>
      <c r="H2" s="23" t="s">
        <v>76</v>
      </c>
      <c r="I2" s="23" t="s">
        <v>43</v>
      </c>
      <c r="J2" s="23" t="s">
        <v>44</v>
      </c>
      <c r="K2" s="23" t="s">
        <v>45</v>
      </c>
      <c r="L2" s="23" t="s">
        <v>46</v>
      </c>
      <c r="M2" s="29" t="s">
        <v>63</v>
      </c>
      <c r="N2" s="29" t="s">
        <v>64</v>
      </c>
      <c r="O2" s="29" t="s">
        <v>65</v>
      </c>
      <c r="P2" s="29" t="s">
        <v>42</v>
      </c>
      <c r="Q2" s="29" t="s">
        <v>58</v>
      </c>
    </row>
    <row r="3" spans="1:17" x14ac:dyDescent="0.3">
      <c r="A3" s="21">
        <f>DETAILS!A3</f>
        <v>1454</v>
      </c>
      <c r="B3" s="3" t="str">
        <f>DETAILS!B3</f>
        <v>AARUSH SONI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5" t="str">
        <f>ROUND(P3/6,2)&amp;" %"</f>
        <v>0 %</v>
      </c>
    </row>
    <row r="4" spans="1:17" x14ac:dyDescent="0.3">
      <c r="A4" s="21">
        <f>DETAILS!A4</f>
        <v>1680</v>
      </c>
      <c r="B4" s="3" t="str">
        <f>DETAILS!B4</f>
        <v>AARVI JAISWAL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5" t="str">
        <f t="shared" ref="Q4:Q41" si="1">ROUND(P4/6,2)&amp;" %"</f>
        <v>0 %</v>
      </c>
    </row>
    <row r="5" spans="1:17" x14ac:dyDescent="0.3">
      <c r="A5" s="21">
        <f>DETAILS!A5</f>
        <v>758</v>
      </c>
      <c r="B5" s="3" t="str">
        <f>DETAILS!B5</f>
        <v>ABDUL AHAD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5" t="str">
        <f t="shared" si="1"/>
        <v>0 %</v>
      </c>
    </row>
    <row r="6" spans="1:17" x14ac:dyDescent="0.3">
      <c r="A6" s="21">
        <f>DETAILS!A6</f>
        <v>1616</v>
      </c>
      <c r="B6" s="3" t="str">
        <f>DETAILS!B6</f>
        <v>ANAV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5" t="str">
        <f t="shared" si="1"/>
        <v>0 %</v>
      </c>
    </row>
    <row r="7" spans="1:17" x14ac:dyDescent="0.3">
      <c r="A7" s="21">
        <f>DETAILS!A7</f>
        <v>1443</v>
      </c>
      <c r="B7" s="3" t="str">
        <f>DETAILS!B7</f>
        <v>ANKIT KUMAR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5" t="str">
        <f t="shared" si="1"/>
        <v>0 %</v>
      </c>
    </row>
    <row r="8" spans="1:17" x14ac:dyDescent="0.3">
      <c r="A8" s="21">
        <f>DETAILS!A8</f>
        <v>2100</v>
      </c>
      <c r="B8" s="3" t="str">
        <f>DETAILS!B8</f>
        <v>ANSH SHUKLA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5" t="str">
        <f t="shared" si="1"/>
        <v>0 %</v>
      </c>
    </row>
    <row r="9" spans="1:17" x14ac:dyDescent="0.3">
      <c r="A9" s="21">
        <f>DETAILS!A9</f>
        <v>1767</v>
      </c>
      <c r="B9" s="3" t="str">
        <f>DETAILS!B9</f>
        <v>ANSHIKA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5" t="str">
        <f t="shared" si="1"/>
        <v>0 %</v>
      </c>
    </row>
    <row r="10" spans="1:17" x14ac:dyDescent="0.3">
      <c r="A10" s="21">
        <f>DETAILS!A10</f>
        <v>1486</v>
      </c>
      <c r="B10" s="3" t="str">
        <f>DETAILS!B10</f>
        <v>ANUBHAV CHOUDHARY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5" t="str">
        <f t="shared" si="1"/>
        <v>0 %</v>
      </c>
    </row>
    <row r="11" spans="1:17" x14ac:dyDescent="0.3">
      <c r="A11" s="21">
        <f>DETAILS!A11</f>
        <v>1615</v>
      </c>
      <c r="B11" s="3" t="str">
        <f>DETAILS!B11</f>
        <v>ARADHYA TIWARI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5" t="str">
        <f t="shared" si="1"/>
        <v>0 %</v>
      </c>
    </row>
    <row r="12" spans="1:17" x14ac:dyDescent="0.3">
      <c r="A12" s="21">
        <f>DETAILS!A12</f>
        <v>993</v>
      </c>
      <c r="B12" s="3" t="str">
        <f>DETAILS!B12</f>
        <v>ARYAN MAURYA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5" t="str">
        <f t="shared" si="1"/>
        <v>0 %</v>
      </c>
    </row>
    <row r="13" spans="1:17" x14ac:dyDescent="0.3">
      <c r="A13" s="21">
        <f>DETAILS!A13</f>
        <v>1296</v>
      </c>
      <c r="B13" s="3" t="str">
        <f>DETAILS!B13</f>
        <v>ARYAN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5" t="str">
        <f t="shared" si="1"/>
        <v>0 %</v>
      </c>
    </row>
    <row r="14" spans="1:17" x14ac:dyDescent="0.3">
      <c r="A14" s="21">
        <f>DETAILS!A14</f>
        <v>1392</v>
      </c>
      <c r="B14" s="3" t="str">
        <f>DETAILS!B14</f>
        <v>ASTITVA  SHYAM TIWARI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5" t="str">
        <f t="shared" si="1"/>
        <v>0 %</v>
      </c>
    </row>
    <row r="15" spans="1:17" x14ac:dyDescent="0.3">
      <c r="A15" s="21">
        <f>DETAILS!A15</f>
        <v>759</v>
      </c>
      <c r="B15" s="3" t="str">
        <f>DETAILS!B15</f>
        <v>DEVENDRA PATHAK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5" t="str">
        <f t="shared" si="1"/>
        <v>0 %</v>
      </c>
    </row>
    <row r="16" spans="1:17" x14ac:dyDescent="0.3">
      <c r="A16" s="21">
        <f>DETAILS!A16</f>
        <v>1598</v>
      </c>
      <c r="B16" s="3" t="str">
        <f>DETAILS!B16</f>
        <v>DIVYANSHI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5" t="str">
        <f t="shared" si="1"/>
        <v>0 %</v>
      </c>
    </row>
    <row r="17" spans="1:17" x14ac:dyDescent="0.3">
      <c r="A17" s="21">
        <f>DETAILS!A17</f>
        <v>1650</v>
      </c>
      <c r="B17" s="3" t="str">
        <f>DETAILS!B17</f>
        <v>DIVYANSHU YADAV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5" t="str">
        <f t="shared" si="1"/>
        <v>0 %</v>
      </c>
    </row>
    <row r="18" spans="1:17" x14ac:dyDescent="0.3">
      <c r="A18" s="21">
        <f>DETAILS!A18</f>
        <v>1661</v>
      </c>
      <c r="B18" s="3" t="str">
        <f>DETAILS!B18</f>
        <v>GARIMA YADAV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5" t="str">
        <f t="shared" si="1"/>
        <v>0 %</v>
      </c>
    </row>
    <row r="19" spans="1:17" x14ac:dyDescent="0.3">
      <c r="A19" s="21">
        <f>DETAILS!A19</f>
        <v>1704</v>
      </c>
      <c r="B19" s="3" t="str">
        <f>DETAILS!B19</f>
        <v>HARSH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5" t="str">
        <f t="shared" si="1"/>
        <v>0 %</v>
      </c>
    </row>
    <row r="20" spans="1:17" x14ac:dyDescent="0.3">
      <c r="A20" s="21">
        <f>DETAILS!A20</f>
        <v>1437</v>
      </c>
      <c r="B20" s="3" t="str">
        <f>DETAILS!B20</f>
        <v>KANISHKA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5" t="str">
        <f t="shared" si="1"/>
        <v>0 %</v>
      </c>
    </row>
    <row r="21" spans="1:17" x14ac:dyDescent="0.3">
      <c r="A21" s="21">
        <f>DETAILS!A21</f>
        <v>1605</v>
      </c>
      <c r="B21" s="3" t="str">
        <f>DETAILS!B21</f>
        <v>KARUNESH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5" t="str">
        <f t="shared" si="1"/>
        <v>0 %</v>
      </c>
    </row>
    <row r="22" spans="1:17" x14ac:dyDescent="0.3">
      <c r="A22" s="21">
        <f>DETAILS!A22</f>
        <v>1640</v>
      </c>
      <c r="B22" s="3" t="str">
        <f>DETAILS!B22</f>
        <v>KRISHNA GUPTA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5" t="str">
        <f t="shared" si="1"/>
        <v>0 %</v>
      </c>
    </row>
    <row r="23" spans="1:17" x14ac:dyDescent="0.3">
      <c r="A23" s="21">
        <f>DETAILS!A23</f>
        <v>1678</v>
      </c>
      <c r="B23" s="3" t="str">
        <f>DETAILS!B23</f>
        <v>KUNAL DHANUK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5" t="str">
        <f t="shared" si="1"/>
        <v>0 %</v>
      </c>
    </row>
    <row r="24" spans="1:17" x14ac:dyDescent="0.3">
      <c r="A24" s="21">
        <f>DETAILS!A24</f>
        <v>1330</v>
      </c>
      <c r="B24" s="3" t="str">
        <f>DETAILS!B24</f>
        <v>KUSHAGRA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5" t="str">
        <f t="shared" si="1"/>
        <v>0 %</v>
      </c>
    </row>
    <row r="25" spans="1:17" x14ac:dyDescent="0.3">
      <c r="A25" s="21">
        <f>DETAILS!A25</f>
        <v>777</v>
      </c>
      <c r="B25" s="3" t="str">
        <f>DETAILS!B25</f>
        <v>MAHEE JAISWAL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5" t="str">
        <f t="shared" si="1"/>
        <v>0 %</v>
      </c>
    </row>
    <row r="26" spans="1:17" x14ac:dyDescent="0.3">
      <c r="A26" s="21">
        <f>DETAILS!A26</f>
        <v>763</v>
      </c>
      <c r="B26" s="3" t="str">
        <f>DETAILS!B26</f>
        <v>MAHEK RAWAT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5" t="str">
        <f t="shared" si="1"/>
        <v>0 %</v>
      </c>
    </row>
    <row r="27" spans="1:17" x14ac:dyDescent="0.3">
      <c r="A27" s="21">
        <f>DETAILS!A27</f>
        <v>1619</v>
      </c>
      <c r="B27" s="3" t="str">
        <f>DETAILS!B27</f>
        <v>MOHD FAIZ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5" t="str">
        <f t="shared" si="1"/>
        <v>0 %</v>
      </c>
    </row>
    <row r="28" spans="1:17" x14ac:dyDescent="0.3">
      <c r="A28" s="21">
        <f>DETAILS!A28</f>
        <v>1687</v>
      </c>
      <c r="B28" s="3" t="str">
        <f>DETAILS!B28</f>
        <v>MOHINI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5" t="str">
        <f t="shared" si="1"/>
        <v>0 %</v>
      </c>
    </row>
    <row r="29" spans="1:17" x14ac:dyDescent="0.3">
      <c r="A29" s="21">
        <f>DETAILS!A29</f>
        <v>1653</v>
      </c>
      <c r="B29" s="3" t="str">
        <f>DETAILS!B29</f>
        <v>MUSKAN MEENA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5" t="str">
        <f t="shared" si="1"/>
        <v>0 %</v>
      </c>
    </row>
    <row r="30" spans="1:17" x14ac:dyDescent="0.3">
      <c r="A30" s="21">
        <f>DETAILS!A30</f>
        <v>1700</v>
      </c>
      <c r="B30" s="3" t="str">
        <f>DETAILS!B30</f>
        <v>NASHRA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5" t="str">
        <f t="shared" si="1"/>
        <v>0 %</v>
      </c>
    </row>
    <row r="31" spans="1:17" x14ac:dyDescent="0.3">
      <c r="A31" s="21">
        <f>DETAILS!A31</f>
        <v>1603</v>
      </c>
      <c r="B31" s="3" t="str">
        <f>DETAILS!B31</f>
        <v>PRAGATI TIWARI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5" t="str">
        <f t="shared" si="1"/>
        <v>0 %</v>
      </c>
    </row>
    <row r="32" spans="1:17" x14ac:dyDescent="0.3">
      <c r="A32" s="21">
        <f>DETAILS!A32</f>
        <v>764</v>
      </c>
      <c r="B32" s="3" t="str">
        <f>DETAILS!B32</f>
        <v>PRAKHAR VERMA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5" t="str">
        <f t="shared" si="1"/>
        <v>0 %</v>
      </c>
    </row>
    <row r="33" spans="1:17" x14ac:dyDescent="0.3">
      <c r="A33" s="21">
        <f>DETAILS!A33</f>
        <v>1301</v>
      </c>
      <c r="B33" s="3" t="str">
        <f>DETAILS!B33</f>
        <v>PRASHANT YADAV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5" t="str">
        <f t="shared" si="1"/>
        <v>0 %</v>
      </c>
    </row>
    <row r="34" spans="1:17" x14ac:dyDescent="0.3">
      <c r="A34" s="21">
        <f>DETAILS!A34</f>
        <v>1641</v>
      </c>
      <c r="B34" s="3" t="str">
        <f>DETAILS!B34</f>
        <v>PRIYANSHU YADAV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5" t="str">
        <f t="shared" si="1"/>
        <v>0 %</v>
      </c>
    </row>
    <row r="35" spans="1:17" x14ac:dyDescent="0.3">
      <c r="A35" s="21">
        <f>DETAILS!A35</f>
        <v>1669</v>
      </c>
      <c r="B35" s="3" t="str">
        <f>DETAILS!B35</f>
        <v>RAUNAK KUMAR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5" t="str">
        <f t="shared" si="1"/>
        <v>0 %</v>
      </c>
    </row>
    <row r="36" spans="1:17" x14ac:dyDescent="0.3">
      <c r="A36" s="21">
        <f>DETAILS!A36</f>
        <v>806</v>
      </c>
      <c r="B36" s="3" t="str">
        <f>DETAILS!B36</f>
        <v>SAMRIDH SRIVASTAVA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5" t="str">
        <f t="shared" si="1"/>
        <v>0 %</v>
      </c>
    </row>
    <row r="37" spans="1:17" x14ac:dyDescent="0.3">
      <c r="A37" s="21">
        <f>DETAILS!A37</f>
        <v>1367</v>
      </c>
      <c r="B37" s="3" t="str">
        <f>DETAILS!B37</f>
        <v>SATYAM 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5" t="str">
        <f t="shared" si="1"/>
        <v>0 %</v>
      </c>
    </row>
    <row r="38" spans="1:17" x14ac:dyDescent="0.3">
      <c r="A38" s="21">
        <f>DETAILS!A38</f>
        <v>1629</v>
      </c>
      <c r="B38" s="3" t="str">
        <f>DETAILS!B38</f>
        <v>SHAVI JAISWAL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5" t="str">
        <f t="shared" si="1"/>
        <v>0 %</v>
      </c>
    </row>
    <row r="39" spans="1:17" x14ac:dyDescent="0.3">
      <c r="A39" s="21">
        <f>DETAILS!A39</f>
        <v>1667</v>
      </c>
      <c r="B39" s="3" t="str">
        <f>DETAILS!B39</f>
        <v>SHIVA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5" t="str">
        <f t="shared" si="1"/>
        <v>0 %</v>
      </c>
    </row>
    <row r="40" spans="1:17" x14ac:dyDescent="0.3">
      <c r="A40" s="21">
        <f>DETAILS!A40</f>
        <v>1614</v>
      </c>
      <c r="B40" s="3" t="str">
        <f>DETAILS!B40</f>
        <v>SHRISTI PATEL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5" t="str">
        <f t="shared" si="1"/>
        <v>0 %</v>
      </c>
    </row>
    <row r="41" spans="1:17" x14ac:dyDescent="0.3">
      <c r="A41" s="21">
        <f>DETAILS!A41</f>
        <v>989</v>
      </c>
      <c r="B41" s="3" t="str">
        <f>DETAILS!B41</f>
        <v>SHUBHAM KUMAR VERMA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5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3" t="s">
        <v>78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3" t="s">
        <v>39</v>
      </c>
      <c r="B2" s="23" t="s">
        <v>40</v>
      </c>
      <c r="C2" s="28" t="s">
        <v>7</v>
      </c>
      <c r="D2" s="28" t="s">
        <v>8</v>
      </c>
      <c r="E2" s="28" t="s">
        <v>41</v>
      </c>
      <c r="F2" s="28" t="s">
        <v>73</v>
      </c>
      <c r="G2" s="28" t="s">
        <v>77</v>
      </c>
      <c r="H2" s="23" t="s">
        <v>76</v>
      </c>
      <c r="I2" s="23" t="s">
        <v>43</v>
      </c>
      <c r="J2" s="23" t="s">
        <v>44</v>
      </c>
      <c r="K2" s="23" t="s">
        <v>45</v>
      </c>
      <c r="L2" s="23" t="s">
        <v>46</v>
      </c>
      <c r="M2" s="29" t="s">
        <v>63</v>
      </c>
      <c r="N2" s="29" t="s">
        <v>64</v>
      </c>
      <c r="O2" s="29" t="s">
        <v>65</v>
      </c>
      <c r="P2" s="29" t="s">
        <v>42</v>
      </c>
      <c r="Q2" s="29" t="s">
        <v>58</v>
      </c>
    </row>
    <row r="3" spans="1:17" x14ac:dyDescent="0.3">
      <c r="A3" s="21">
        <f>DETAILS!A3</f>
        <v>1454</v>
      </c>
      <c r="B3" s="3" t="str">
        <f>DETAILS!B3</f>
        <v>AARUSH SONI</v>
      </c>
      <c r="C3" s="25">
        <f>VLOOKUP($A3,'HALF YEARLY(Entry)'!$1:$1048576,3,0)</f>
        <v>0</v>
      </c>
      <c r="D3" s="25">
        <f>VLOOKUP($A3,'HALF YEARLY(Entry)'!$1:$1048576,4,0)</f>
        <v>0</v>
      </c>
      <c r="E3" s="25">
        <f>VLOOKUP($A3,'HALF YEARLY(Entry)'!$1:$1048576,5,0)</f>
        <v>0</v>
      </c>
      <c r="F3" s="25">
        <f>VLOOKUP($A3,'HALF YEARLY(Entry)'!$1:$1048576,6,0)</f>
        <v>0</v>
      </c>
      <c r="G3" s="25">
        <f>VLOOKUP($A3,'HALF YEARLY(Entry)'!$1:$1048576,7,0)</f>
        <v>0</v>
      </c>
      <c r="H3" s="25">
        <f>VLOOKUP($A3,'HALF YEARLY(Entry)'!$1:$1048576,8,0)</f>
        <v>0</v>
      </c>
      <c r="I3" s="25">
        <f>VLOOKUP($A3,'HALF YEARLY(Entry)'!$1:$1048576,9,0)</f>
        <v>0</v>
      </c>
      <c r="J3" s="25">
        <f>VLOOKUP($A3,'HALF YEARLY(Entry)'!$1:$1048576,10,0)</f>
        <v>0</v>
      </c>
      <c r="K3" s="25">
        <f>VLOOKUP($A3,'HALF YEARLY(Entry)'!$1:$1048576,11,0)</f>
        <v>0</v>
      </c>
      <c r="L3" s="25">
        <f>VLOOKUP($A3,'HALF YEARLY(Entry)'!$1:$1048576,12,0)</f>
        <v>0</v>
      </c>
      <c r="M3" s="25">
        <f>VLOOKUP($A3,'HALF YEARLY(Entry)'!$1:$1048576,13,0)</f>
        <v>0</v>
      </c>
      <c r="N3" s="25">
        <f>VLOOKUP($A3,'HALF YEARLY(Entry)'!$1:$1048576,14,0)</f>
        <v>0</v>
      </c>
      <c r="O3" s="30">
        <f>VLOOKUP($A3,'HALF YEARLY(Entry)'!$1:$1048576,15,0)</f>
        <v>0</v>
      </c>
      <c r="P3" s="25">
        <f>SUM(C3:H3)</f>
        <v>0</v>
      </c>
      <c r="Q3" s="25" t="str">
        <f>ROUND(P3/6,2)&amp;" %"</f>
        <v>0 %</v>
      </c>
    </row>
    <row r="4" spans="1:17" x14ac:dyDescent="0.3">
      <c r="A4" s="21">
        <f>DETAILS!A4</f>
        <v>1680</v>
      </c>
      <c r="B4" s="3" t="str">
        <f>DETAILS!B4</f>
        <v>AARVI JAISWAL</v>
      </c>
      <c r="C4" s="25">
        <f>VLOOKUP($A4,'HALF YEARLY(Entry)'!$1:$1048576,3,0)</f>
        <v>0</v>
      </c>
      <c r="D4" s="25">
        <f>VLOOKUP($A4,'HALF YEARLY(Entry)'!$1:$1048576,4,0)</f>
        <v>0</v>
      </c>
      <c r="E4" s="25">
        <f>VLOOKUP($A4,'HALF YEARLY(Entry)'!$1:$1048576,5,0)</f>
        <v>0</v>
      </c>
      <c r="F4" s="25">
        <f>VLOOKUP($A4,'HALF YEARLY(Entry)'!$1:$1048576,6,0)</f>
        <v>0</v>
      </c>
      <c r="G4" s="25">
        <f>VLOOKUP($A4,'HALF YEARLY(Entry)'!$1:$1048576,7,0)</f>
        <v>0</v>
      </c>
      <c r="H4" s="25">
        <f>VLOOKUP($A4,'HALF YEARLY(Entry)'!$1:$1048576,8,0)</f>
        <v>0</v>
      </c>
      <c r="I4" s="25">
        <f>VLOOKUP($A4,'HALF YEARLY(Entry)'!$1:$1048576,9,0)</f>
        <v>0</v>
      </c>
      <c r="J4" s="25">
        <f>VLOOKUP($A4,'HALF YEARLY(Entry)'!$1:$1048576,10,0)</f>
        <v>0</v>
      </c>
      <c r="K4" s="25">
        <f>VLOOKUP($A4,'HALF YEARLY(Entry)'!$1:$1048576,11,0)</f>
        <v>0</v>
      </c>
      <c r="L4" s="25">
        <f>VLOOKUP($A4,'HALF YEARLY(Entry)'!$1:$1048576,12,0)</f>
        <v>0</v>
      </c>
      <c r="M4" s="25">
        <f>VLOOKUP($A4,'HALF YEARLY(Entry)'!$1:$1048576,13,0)</f>
        <v>0</v>
      </c>
      <c r="N4" s="25">
        <f>VLOOKUP($A4,'HALF YEARLY(Entry)'!$1:$1048576,14,0)</f>
        <v>0</v>
      </c>
      <c r="O4" s="30">
        <f>VLOOKUP($A4,'HALF YEARLY(Entry)'!$1:$1048576,15,0)</f>
        <v>0</v>
      </c>
      <c r="P4" s="25">
        <f t="shared" ref="P4:P41" si="0">SUM(C4:H4)</f>
        <v>0</v>
      </c>
      <c r="Q4" s="25" t="str">
        <f t="shared" ref="Q4:Q41" si="1">ROUND(P4/6,2)&amp;" %"</f>
        <v>0 %</v>
      </c>
    </row>
    <row r="5" spans="1:17" x14ac:dyDescent="0.3">
      <c r="A5" s="21">
        <f>DETAILS!A5</f>
        <v>758</v>
      </c>
      <c r="B5" s="3" t="str">
        <f>DETAILS!B5</f>
        <v>ABDUL AHAD</v>
      </c>
      <c r="C5" s="25">
        <f>VLOOKUP($A5,'HALF YEARLY(Entry)'!$1:$1048576,3,0)</f>
        <v>0</v>
      </c>
      <c r="D5" s="25">
        <f>VLOOKUP($A5,'HALF YEARLY(Entry)'!$1:$1048576,4,0)</f>
        <v>0</v>
      </c>
      <c r="E5" s="25">
        <f>VLOOKUP($A5,'HALF YEARLY(Entry)'!$1:$1048576,5,0)</f>
        <v>0</v>
      </c>
      <c r="F5" s="25">
        <f>VLOOKUP($A5,'HALF YEARLY(Entry)'!$1:$1048576,6,0)</f>
        <v>0</v>
      </c>
      <c r="G5" s="25">
        <f>VLOOKUP($A5,'HALF YEARLY(Entry)'!$1:$1048576,7,0)</f>
        <v>0</v>
      </c>
      <c r="H5" s="25">
        <f>VLOOKUP($A5,'HALF YEARLY(Entry)'!$1:$1048576,8,0)</f>
        <v>0</v>
      </c>
      <c r="I5" s="25">
        <f>VLOOKUP($A5,'HALF YEARLY(Entry)'!$1:$1048576,9,0)</f>
        <v>0</v>
      </c>
      <c r="J5" s="25">
        <f>VLOOKUP($A5,'HALF YEARLY(Entry)'!$1:$1048576,10,0)</f>
        <v>0</v>
      </c>
      <c r="K5" s="25">
        <f>VLOOKUP($A5,'HALF YEARLY(Entry)'!$1:$1048576,11,0)</f>
        <v>0</v>
      </c>
      <c r="L5" s="25">
        <f>VLOOKUP($A5,'HALF YEARLY(Entry)'!$1:$1048576,12,0)</f>
        <v>0</v>
      </c>
      <c r="M5" s="25">
        <f>VLOOKUP($A5,'HALF YEARLY(Entry)'!$1:$1048576,13,0)</f>
        <v>0</v>
      </c>
      <c r="N5" s="25">
        <f>VLOOKUP($A5,'HALF YEARLY(Entry)'!$1:$1048576,14,0)</f>
        <v>0</v>
      </c>
      <c r="O5" s="30">
        <f>VLOOKUP($A5,'HALF YEARLY(Entry)'!$1:$1048576,15,0)</f>
        <v>0</v>
      </c>
      <c r="P5" s="25">
        <f t="shared" si="0"/>
        <v>0</v>
      </c>
      <c r="Q5" s="25" t="str">
        <f t="shared" si="1"/>
        <v>0 %</v>
      </c>
    </row>
    <row r="6" spans="1:17" x14ac:dyDescent="0.3">
      <c r="A6" s="21">
        <f>DETAILS!A6</f>
        <v>1616</v>
      </c>
      <c r="B6" s="3" t="str">
        <f>DETAILS!B6</f>
        <v>ANAV SINGH</v>
      </c>
      <c r="C6" s="25">
        <f>VLOOKUP($A6,'HALF YEARLY(Entry)'!$1:$1048576,3,0)</f>
        <v>0</v>
      </c>
      <c r="D6" s="25">
        <f>VLOOKUP($A6,'HALF YEARLY(Entry)'!$1:$1048576,4,0)</f>
        <v>0</v>
      </c>
      <c r="E6" s="25">
        <f>VLOOKUP($A6,'HALF YEARLY(Entry)'!$1:$1048576,5,0)</f>
        <v>0</v>
      </c>
      <c r="F6" s="25">
        <f>VLOOKUP($A6,'HALF YEARLY(Entry)'!$1:$1048576,6,0)</f>
        <v>0</v>
      </c>
      <c r="G6" s="25">
        <f>VLOOKUP($A6,'HALF YEARLY(Entry)'!$1:$1048576,7,0)</f>
        <v>0</v>
      </c>
      <c r="H6" s="25">
        <f>VLOOKUP($A6,'HALF YEARLY(Entry)'!$1:$1048576,8,0)</f>
        <v>0</v>
      </c>
      <c r="I6" s="25">
        <f>VLOOKUP($A6,'HALF YEARLY(Entry)'!$1:$1048576,9,0)</f>
        <v>0</v>
      </c>
      <c r="J6" s="25">
        <f>VLOOKUP($A6,'HALF YEARLY(Entry)'!$1:$1048576,10,0)</f>
        <v>0</v>
      </c>
      <c r="K6" s="25">
        <f>VLOOKUP($A6,'HALF YEARLY(Entry)'!$1:$1048576,11,0)</f>
        <v>0</v>
      </c>
      <c r="L6" s="25">
        <f>VLOOKUP($A6,'HALF YEARLY(Entry)'!$1:$1048576,12,0)</f>
        <v>0</v>
      </c>
      <c r="M6" s="25">
        <f>VLOOKUP($A6,'HALF YEARLY(Entry)'!$1:$1048576,13,0)</f>
        <v>0</v>
      </c>
      <c r="N6" s="25">
        <f>VLOOKUP($A6,'HALF YEARLY(Entry)'!$1:$1048576,14,0)</f>
        <v>0</v>
      </c>
      <c r="O6" s="30">
        <f>VLOOKUP($A6,'HALF YEARLY(Entry)'!$1:$1048576,15,0)</f>
        <v>0</v>
      </c>
      <c r="P6" s="25">
        <f t="shared" si="0"/>
        <v>0</v>
      </c>
      <c r="Q6" s="25" t="str">
        <f t="shared" si="1"/>
        <v>0 %</v>
      </c>
    </row>
    <row r="7" spans="1:17" x14ac:dyDescent="0.3">
      <c r="A7" s="21">
        <f>DETAILS!A7</f>
        <v>1443</v>
      </c>
      <c r="B7" s="3" t="str">
        <f>DETAILS!B7</f>
        <v>ANKIT KUMAR</v>
      </c>
      <c r="C7" s="25">
        <f>VLOOKUP($A7,'HALF YEARLY(Entry)'!$1:$1048576,3,0)</f>
        <v>0</v>
      </c>
      <c r="D7" s="25">
        <f>VLOOKUP($A7,'HALF YEARLY(Entry)'!$1:$1048576,4,0)</f>
        <v>0</v>
      </c>
      <c r="E7" s="25">
        <f>VLOOKUP($A7,'HALF YEARLY(Entry)'!$1:$1048576,5,0)</f>
        <v>0</v>
      </c>
      <c r="F7" s="25">
        <f>VLOOKUP($A7,'HALF YEARLY(Entry)'!$1:$1048576,6,0)</f>
        <v>0</v>
      </c>
      <c r="G7" s="25">
        <f>VLOOKUP($A7,'HALF YEARLY(Entry)'!$1:$1048576,7,0)</f>
        <v>0</v>
      </c>
      <c r="H7" s="25">
        <f>VLOOKUP($A7,'HALF YEARLY(Entry)'!$1:$1048576,8,0)</f>
        <v>0</v>
      </c>
      <c r="I7" s="25">
        <f>VLOOKUP($A7,'HALF YEARLY(Entry)'!$1:$1048576,9,0)</f>
        <v>0</v>
      </c>
      <c r="J7" s="25">
        <f>VLOOKUP($A7,'HALF YEARLY(Entry)'!$1:$1048576,10,0)</f>
        <v>0</v>
      </c>
      <c r="K7" s="25">
        <f>VLOOKUP($A7,'HALF YEARLY(Entry)'!$1:$1048576,11,0)</f>
        <v>0</v>
      </c>
      <c r="L7" s="25">
        <f>VLOOKUP($A7,'HALF YEARLY(Entry)'!$1:$1048576,12,0)</f>
        <v>0</v>
      </c>
      <c r="M7" s="25">
        <f>VLOOKUP($A7,'HALF YEARLY(Entry)'!$1:$1048576,13,0)</f>
        <v>0</v>
      </c>
      <c r="N7" s="25">
        <f>VLOOKUP($A7,'HALF YEARLY(Entry)'!$1:$1048576,14,0)</f>
        <v>0</v>
      </c>
      <c r="O7" s="30">
        <f>VLOOKUP($A7,'HALF YEARLY(Entry)'!$1:$1048576,15,0)</f>
        <v>0</v>
      </c>
      <c r="P7" s="25">
        <f t="shared" si="0"/>
        <v>0</v>
      </c>
      <c r="Q7" s="25" t="str">
        <f t="shared" si="1"/>
        <v>0 %</v>
      </c>
    </row>
    <row r="8" spans="1:17" x14ac:dyDescent="0.3">
      <c r="A8" s="21">
        <f>DETAILS!A8</f>
        <v>2100</v>
      </c>
      <c r="B8" s="3" t="str">
        <f>DETAILS!B8</f>
        <v>ANSH SHUKLA</v>
      </c>
      <c r="C8" s="25">
        <f>VLOOKUP($A8,'HALF YEARLY(Entry)'!$1:$1048576,3,0)</f>
        <v>0</v>
      </c>
      <c r="D8" s="25">
        <f>VLOOKUP($A8,'HALF YEARLY(Entry)'!$1:$1048576,4,0)</f>
        <v>0</v>
      </c>
      <c r="E8" s="25">
        <f>VLOOKUP($A8,'HALF YEARLY(Entry)'!$1:$1048576,5,0)</f>
        <v>0</v>
      </c>
      <c r="F8" s="25">
        <f>VLOOKUP($A8,'HALF YEARLY(Entry)'!$1:$1048576,6,0)</f>
        <v>0</v>
      </c>
      <c r="G8" s="25">
        <f>VLOOKUP($A8,'HALF YEARLY(Entry)'!$1:$1048576,7,0)</f>
        <v>0</v>
      </c>
      <c r="H8" s="25">
        <f>VLOOKUP($A8,'HALF YEARLY(Entry)'!$1:$1048576,8,0)</f>
        <v>0</v>
      </c>
      <c r="I8" s="25">
        <f>VLOOKUP($A8,'HALF YEARLY(Entry)'!$1:$1048576,9,0)</f>
        <v>0</v>
      </c>
      <c r="J8" s="25">
        <f>VLOOKUP($A8,'HALF YEARLY(Entry)'!$1:$1048576,10,0)</f>
        <v>0</v>
      </c>
      <c r="K8" s="25">
        <f>VLOOKUP($A8,'HALF YEARLY(Entry)'!$1:$1048576,11,0)</f>
        <v>0</v>
      </c>
      <c r="L8" s="25">
        <f>VLOOKUP($A8,'HALF YEARLY(Entry)'!$1:$1048576,12,0)</f>
        <v>0</v>
      </c>
      <c r="M8" s="25">
        <f>VLOOKUP($A8,'HALF YEARLY(Entry)'!$1:$1048576,13,0)</f>
        <v>0</v>
      </c>
      <c r="N8" s="25">
        <f>VLOOKUP($A8,'HALF YEARLY(Entry)'!$1:$1048576,14,0)</f>
        <v>0</v>
      </c>
      <c r="O8" s="30">
        <f>VLOOKUP($A8,'HALF YEARLY(Entry)'!$1:$1048576,15,0)</f>
        <v>0</v>
      </c>
      <c r="P8" s="25">
        <f t="shared" si="0"/>
        <v>0</v>
      </c>
      <c r="Q8" s="25" t="str">
        <f t="shared" si="1"/>
        <v>0 %</v>
      </c>
    </row>
    <row r="9" spans="1:17" x14ac:dyDescent="0.3">
      <c r="A9" s="21">
        <f>DETAILS!A9</f>
        <v>1767</v>
      </c>
      <c r="B9" s="3" t="str">
        <f>DETAILS!B9</f>
        <v>ANSHIKA MISHRA</v>
      </c>
      <c r="C9" s="25">
        <f>VLOOKUP($A9,'HALF YEARLY(Entry)'!$1:$1048576,3,0)</f>
        <v>0</v>
      </c>
      <c r="D9" s="25">
        <f>VLOOKUP($A9,'HALF YEARLY(Entry)'!$1:$1048576,4,0)</f>
        <v>0</v>
      </c>
      <c r="E9" s="25">
        <f>VLOOKUP($A9,'HALF YEARLY(Entry)'!$1:$1048576,5,0)</f>
        <v>0</v>
      </c>
      <c r="F9" s="25">
        <f>VLOOKUP($A9,'HALF YEARLY(Entry)'!$1:$1048576,6,0)</f>
        <v>0</v>
      </c>
      <c r="G9" s="25">
        <f>VLOOKUP($A9,'HALF YEARLY(Entry)'!$1:$1048576,7,0)</f>
        <v>0</v>
      </c>
      <c r="H9" s="25">
        <f>VLOOKUP($A9,'HALF YEARLY(Entry)'!$1:$1048576,8,0)</f>
        <v>0</v>
      </c>
      <c r="I9" s="25">
        <f>VLOOKUP($A9,'HALF YEARLY(Entry)'!$1:$1048576,9,0)</f>
        <v>0</v>
      </c>
      <c r="J9" s="25">
        <f>VLOOKUP($A9,'HALF YEARLY(Entry)'!$1:$1048576,10,0)</f>
        <v>0</v>
      </c>
      <c r="K9" s="25">
        <f>VLOOKUP($A9,'HALF YEARLY(Entry)'!$1:$1048576,11,0)</f>
        <v>0</v>
      </c>
      <c r="L9" s="25">
        <f>VLOOKUP($A9,'HALF YEARLY(Entry)'!$1:$1048576,12,0)</f>
        <v>0</v>
      </c>
      <c r="M9" s="25">
        <f>VLOOKUP($A9,'HALF YEARLY(Entry)'!$1:$1048576,13,0)</f>
        <v>0</v>
      </c>
      <c r="N9" s="25">
        <f>VLOOKUP($A9,'HALF YEARLY(Entry)'!$1:$1048576,14,0)</f>
        <v>0</v>
      </c>
      <c r="O9" s="30">
        <f>VLOOKUP($A9,'HALF YEARLY(Entry)'!$1:$1048576,15,0)</f>
        <v>0</v>
      </c>
      <c r="P9" s="25">
        <f t="shared" si="0"/>
        <v>0</v>
      </c>
      <c r="Q9" s="25" t="str">
        <f t="shared" si="1"/>
        <v>0 %</v>
      </c>
    </row>
    <row r="10" spans="1:17" x14ac:dyDescent="0.3">
      <c r="A10" s="21">
        <f>DETAILS!A10</f>
        <v>1486</v>
      </c>
      <c r="B10" s="3" t="str">
        <f>DETAILS!B10</f>
        <v>ANUBHAV CHOUDHARY</v>
      </c>
      <c r="C10" s="25">
        <f>VLOOKUP($A10,'HALF YEARLY(Entry)'!$1:$1048576,3,0)</f>
        <v>0</v>
      </c>
      <c r="D10" s="25">
        <f>VLOOKUP($A10,'HALF YEARLY(Entry)'!$1:$1048576,4,0)</f>
        <v>0</v>
      </c>
      <c r="E10" s="25">
        <f>VLOOKUP($A10,'HALF YEARLY(Entry)'!$1:$1048576,5,0)</f>
        <v>0</v>
      </c>
      <c r="F10" s="25">
        <f>VLOOKUP($A10,'HALF YEARLY(Entry)'!$1:$1048576,6,0)</f>
        <v>0</v>
      </c>
      <c r="G10" s="25">
        <f>VLOOKUP($A10,'HALF YEARLY(Entry)'!$1:$1048576,7,0)</f>
        <v>0</v>
      </c>
      <c r="H10" s="25">
        <f>VLOOKUP($A10,'HALF YEARLY(Entry)'!$1:$1048576,8,0)</f>
        <v>0</v>
      </c>
      <c r="I10" s="25">
        <f>VLOOKUP($A10,'HALF YEARLY(Entry)'!$1:$1048576,9,0)</f>
        <v>0</v>
      </c>
      <c r="J10" s="25">
        <f>VLOOKUP($A10,'HALF YEARLY(Entry)'!$1:$1048576,10,0)</f>
        <v>0</v>
      </c>
      <c r="K10" s="25">
        <f>VLOOKUP($A10,'HALF YEARLY(Entry)'!$1:$1048576,11,0)</f>
        <v>0</v>
      </c>
      <c r="L10" s="25">
        <f>VLOOKUP($A10,'HALF YEARLY(Entry)'!$1:$1048576,12,0)</f>
        <v>0</v>
      </c>
      <c r="M10" s="25">
        <f>VLOOKUP($A10,'HALF YEARLY(Entry)'!$1:$1048576,13,0)</f>
        <v>0</v>
      </c>
      <c r="N10" s="25">
        <f>VLOOKUP($A10,'HALF YEARLY(Entry)'!$1:$1048576,14,0)</f>
        <v>0</v>
      </c>
      <c r="O10" s="30">
        <f>VLOOKUP($A10,'HALF YEARLY(Entry)'!$1:$1048576,15,0)</f>
        <v>0</v>
      </c>
      <c r="P10" s="25">
        <f t="shared" si="0"/>
        <v>0</v>
      </c>
      <c r="Q10" s="25" t="str">
        <f t="shared" si="1"/>
        <v>0 %</v>
      </c>
    </row>
    <row r="11" spans="1:17" x14ac:dyDescent="0.3">
      <c r="A11" s="21">
        <f>DETAILS!A11</f>
        <v>1615</v>
      </c>
      <c r="B11" s="3" t="str">
        <f>DETAILS!B11</f>
        <v>ARADHYA TIWARI</v>
      </c>
      <c r="C11" s="25">
        <f>VLOOKUP($A11,'HALF YEARLY(Entry)'!$1:$1048576,3,0)</f>
        <v>0</v>
      </c>
      <c r="D11" s="25">
        <f>VLOOKUP($A11,'HALF YEARLY(Entry)'!$1:$1048576,4,0)</f>
        <v>0</v>
      </c>
      <c r="E11" s="25">
        <f>VLOOKUP($A11,'HALF YEARLY(Entry)'!$1:$1048576,5,0)</f>
        <v>0</v>
      </c>
      <c r="F11" s="25">
        <f>VLOOKUP($A11,'HALF YEARLY(Entry)'!$1:$1048576,6,0)</f>
        <v>0</v>
      </c>
      <c r="G11" s="25">
        <f>VLOOKUP($A11,'HALF YEARLY(Entry)'!$1:$1048576,7,0)</f>
        <v>0</v>
      </c>
      <c r="H11" s="25">
        <f>VLOOKUP($A11,'HALF YEARLY(Entry)'!$1:$1048576,8,0)</f>
        <v>0</v>
      </c>
      <c r="I11" s="25">
        <f>VLOOKUP($A11,'HALF YEARLY(Entry)'!$1:$1048576,9,0)</f>
        <v>0</v>
      </c>
      <c r="J11" s="25">
        <f>VLOOKUP($A11,'HALF YEARLY(Entry)'!$1:$1048576,10,0)</f>
        <v>0</v>
      </c>
      <c r="K11" s="25">
        <f>VLOOKUP($A11,'HALF YEARLY(Entry)'!$1:$1048576,11,0)</f>
        <v>0</v>
      </c>
      <c r="L11" s="25">
        <f>VLOOKUP($A11,'HALF YEARLY(Entry)'!$1:$1048576,12,0)</f>
        <v>0</v>
      </c>
      <c r="M11" s="25">
        <f>VLOOKUP($A11,'HALF YEARLY(Entry)'!$1:$1048576,13,0)</f>
        <v>0</v>
      </c>
      <c r="N11" s="25">
        <f>VLOOKUP($A11,'HALF YEARLY(Entry)'!$1:$1048576,14,0)</f>
        <v>0</v>
      </c>
      <c r="O11" s="30">
        <f>VLOOKUP($A11,'HALF YEARLY(Entry)'!$1:$1048576,15,0)</f>
        <v>0</v>
      </c>
      <c r="P11" s="25">
        <f t="shared" si="0"/>
        <v>0</v>
      </c>
      <c r="Q11" s="25" t="str">
        <f t="shared" si="1"/>
        <v>0 %</v>
      </c>
    </row>
    <row r="12" spans="1:17" x14ac:dyDescent="0.3">
      <c r="A12" s="21">
        <f>DETAILS!A12</f>
        <v>993</v>
      </c>
      <c r="B12" s="3" t="str">
        <f>DETAILS!B12</f>
        <v>ARYAN MAURYA</v>
      </c>
      <c r="C12" s="25">
        <f>VLOOKUP($A12,'HALF YEARLY(Entry)'!$1:$1048576,3,0)</f>
        <v>0</v>
      </c>
      <c r="D12" s="25">
        <f>VLOOKUP($A12,'HALF YEARLY(Entry)'!$1:$1048576,4,0)</f>
        <v>0</v>
      </c>
      <c r="E12" s="25">
        <f>VLOOKUP($A12,'HALF YEARLY(Entry)'!$1:$1048576,5,0)</f>
        <v>0</v>
      </c>
      <c r="F12" s="25">
        <f>VLOOKUP($A12,'HALF YEARLY(Entry)'!$1:$1048576,6,0)</f>
        <v>0</v>
      </c>
      <c r="G12" s="25">
        <f>VLOOKUP($A12,'HALF YEARLY(Entry)'!$1:$1048576,7,0)</f>
        <v>0</v>
      </c>
      <c r="H12" s="25">
        <f>VLOOKUP($A12,'HALF YEARLY(Entry)'!$1:$1048576,8,0)</f>
        <v>0</v>
      </c>
      <c r="I12" s="25">
        <f>VLOOKUP($A12,'HALF YEARLY(Entry)'!$1:$1048576,9,0)</f>
        <v>0</v>
      </c>
      <c r="J12" s="25">
        <f>VLOOKUP($A12,'HALF YEARLY(Entry)'!$1:$1048576,10,0)</f>
        <v>0</v>
      </c>
      <c r="K12" s="25">
        <f>VLOOKUP($A12,'HALF YEARLY(Entry)'!$1:$1048576,11,0)</f>
        <v>0</v>
      </c>
      <c r="L12" s="25">
        <f>VLOOKUP($A12,'HALF YEARLY(Entry)'!$1:$1048576,12,0)</f>
        <v>0</v>
      </c>
      <c r="M12" s="25">
        <f>VLOOKUP($A12,'HALF YEARLY(Entry)'!$1:$1048576,13,0)</f>
        <v>0</v>
      </c>
      <c r="N12" s="25">
        <f>VLOOKUP($A12,'HALF YEARLY(Entry)'!$1:$1048576,14,0)</f>
        <v>0</v>
      </c>
      <c r="O12" s="30">
        <f>VLOOKUP($A12,'HALF YEARLY(Entry)'!$1:$1048576,15,0)</f>
        <v>0</v>
      </c>
      <c r="P12" s="25">
        <f t="shared" si="0"/>
        <v>0</v>
      </c>
      <c r="Q12" s="25" t="str">
        <f t="shared" si="1"/>
        <v>0 %</v>
      </c>
    </row>
    <row r="13" spans="1:17" x14ac:dyDescent="0.3">
      <c r="A13" s="21">
        <f>DETAILS!A13</f>
        <v>1296</v>
      </c>
      <c r="B13" s="3" t="str">
        <f>DETAILS!B13</f>
        <v>ARYAN SINGH</v>
      </c>
      <c r="C13" s="25">
        <f>VLOOKUP($A13,'HALF YEARLY(Entry)'!$1:$1048576,3,0)</f>
        <v>0</v>
      </c>
      <c r="D13" s="25">
        <f>VLOOKUP($A13,'HALF YEARLY(Entry)'!$1:$1048576,4,0)</f>
        <v>0</v>
      </c>
      <c r="E13" s="25">
        <f>VLOOKUP($A13,'HALF YEARLY(Entry)'!$1:$1048576,5,0)</f>
        <v>0</v>
      </c>
      <c r="F13" s="25">
        <f>VLOOKUP($A13,'HALF YEARLY(Entry)'!$1:$1048576,6,0)</f>
        <v>0</v>
      </c>
      <c r="G13" s="25">
        <f>VLOOKUP($A13,'HALF YEARLY(Entry)'!$1:$1048576,7,0)</f>
        <v>0</v>
      </c>
      <c r="H13" s="25">
        <f>VLOOKUP($A13,'HALF YEARLY(Entry)'!$1:$1048576,8,0)</f>
        <v>0</v>
      </c>
      <c r="I13" s="25">
        <f>VLOOKUP($A13,'HALF YEARLY(Entry)'!$1:$1048576,9,0)</f>
        <v>0</v>
      </c>
      <c r="J13" s="25">
        <f>VLOOKUP($A13,'HALF YEARLY(Entry)'!$1:$1048576,10,0)</f>
        <v>0</v>
      </c>
      <c r="K13" s="25">
        <f>VLOOKUP($A13,'HALF YEARLY(Entry)'!$1:$1048576,11,0)</f>
        <v>0</v>
      </c>
      <c r="L13" s="25">
        <f>VLOOKUP($A13,'HALF YEARLY(Entry)'!$1:$1048576,12,0)</f>
        <v>0</v>
      </c>
      <c r="M13" s="25">
        <f>VLOOKUP($A13,'HALF YEARLY(Entry)'!$1:$1048576,13,0)</f>
        <v>0</v>
      </c>
      <c r="N13" s="25">
        <f>VLOOKUP($A13,'HALF YEARLY(Entry)'!$1:$1048576,14,0)</f>
        <v>0</v>
      </c>
      <c r="O13" s="30">
        <f>VLOOKUP($A13,'HALF YEARLY(Entry)'!$1:$1048576,15,0)</f>
        <v>0</v>
      </c>
      <c r="P13" s="25">
        <f t="shared" si="0"/>
        <v>0</v>
      </c>
      <c r="Q13" s="25" t="str">
        <f t="shared" si="1"/>
        <v>0 %</v>
      </c>
    </row>
    <row r="14" spans="1:17" x14ac:dyDescent="0.3">
      <c r="A14" s="21">
        <f>DETAILS!A14</f>
        <v>1392</v>
      </c>
      <c r="B14" s="3" t="str">
        <f>DETAILS!B14</f>
        <v>ASTITVA  SHYAM TIWARI</v>
      </c>
      <c r="C14" s="25">
        <f>VLOOKUP($A14,'HALF YEARLY(Entry)'!$1:$1048576,3,0)</f>
        <v>0</v>
      </c>
      <c r="D14" s="25">
        <f>VLOOKUP($A14,'HALF YEARLY(Entry)'!$1:$1048576,4,0)</f>
        <v>0</v>
      </c>
      <c r="E14" s="25">
        <f>VLOOKUP($A14,'HALF YEARLY(Entry)'!$1:$1048576,5,0)</f>
        <v>0</v>
      </c>
      <c r="F14" s="25">
        <f>VLOOKUP($A14,'HALF YEARLY(Entry)'!$1:$1048576,6,0)</f>
        <v>0</v>
      </c>
      <c r="G14" s="25">
        <f>VLOOKUP($A14,'HALF YEARLY(Entry)'!$1:$1048576,7,0)</f>
        <v>0</v>
      </c>
      <c r="H14" s="25">
        <f>VLOOKUP($A14,'HALF YEARLY(Entry)'!$1:$1048576,8,0)</f>
        <v>0</v>
      </c>
      <c r="I14" s="25">
        <f>VLOOKUP($A14,'HALF YEARLY(Entry)'!$1:$1048576,9,0)</f>
        <v>0</v>
      </c>
      <c r="J14" s="25">
        <f>VLOOKUP($A14,'HALF YEARLY(Entry)'!$1:$1048576,10,0)</f>
        <v>0</v>
      </c>
      <c r="K14" s="25">
        <f>VLOOKUP($A14,'HALF YEARLY(Entry)'!$1:$1048576,11,0)</f>
        <v>0</v>
      </c>
      <c r="L14" s="25">
        <f>VLOOKUP($A14,'HALF YEARLY(Entry)'!$1:$1048576,12,0)</f>
        <v>0</v>
      </c>
      <c r="M14" s="25">
        <f>VLOOKUP($A14,'HALF YEARLY(Entry)'!$1:$1048576,13,0)</f>
        <v>0</v>
      </c>
      <c r="N14" s="25">
        <f>VLOOKUP($A14,'HALF YEARLY(Entry)'!$1:$1048576,14,0)</f>
        <v>0</v>
      </c>
      <c r="O14" s="30">
        <f>VLOOKUP($A14,'HALF YEARLY(Entry)'!$1:$1048576,15,0)</f>
        <v>0</v>
      </c>
      <c r="P14" s="25">
        <f t="shared" si="0"/>
        <v>0</v>
      </c>
      <c r="Q14" s="25" t="str">
        <f t="shared" si="1"/>
        <v>0 %</v>
      </c>
    </row>
    <row r="15" spans="1:17" x14ac:dyDescent="0.3">
      <c r="A15" s="21">
        <f>DETAILS!A15</f>
        <v>759</v>
      </c>
      <c r="B15" s="3" t="str">
        <f>DETAILS!B15</f>
        <v>DEVENDRA PATHAK</v>
      </c>
      <c r="C15" s="25">
        <f>VLOOKUP($A15,'HALF YEARLY(Entry)'!$1:$1048576,3,0)</f>
        <v>0</v>
      </c>
      <c r="D15" s="25">
        <f>VLOOKUP($A15,'HALF YEARLY(Entry)'!$1:$1048576,4,0)</f>
        <v>0</v>
      </c>
      <c r="E15" s="25">
        <f>VLOOKUP($A15,'HALF YEARLY(Entry)'!$1:$1048576,5,0)</f>
        <v>0</v>
      </c>
      <c r="F15" s="25">
        <f>VLOOKUP($A15,'HALF YEARLY(Entry)'!$1:$1048576,6,0)</f>
        <v>0</v>
      </c>
      <c r="G15" s="25">
        <f>VLOOKUP($A15,'HALF YEARLY(Entry)'!$1:$1048576,7,0)</f>
        <v>0</v>
      </c>
      <c r="H15" s="25">
        <f>VLOOKUP($A15,'HALF YEARLY(Entry)'!$1:$1048576,8,0)</f>
        <v>0</v>
      </c>
      <c r="I15" s="25">
        <f>VLOOKUP($A15,'HALF YEARLY(Entry)'!$1:$1048576,9,0)</f>
        <v>0</v>
      </c>
      <c r="J15" s="25">
        <f>VLOOKUP($A15,'HALF YEARLY(Entry)'!$1:$1048576,10,0)</f>
        <v>0</v>
      </c>
      <c r="K15" s="25">
        <f>VLOOKUP($A15,'HALF YEARLY(Entry)'!$1:$1048576,11,0)</f>
        <v>0</v>
      </c>
      <c r="L15" s="25">
        <f>VLOOKUP($A15,'HALF YEARLY(Entry)'!$1:$1048576,12,0)</f>
        <v>0</v>
      </c>
      <c r="M15" s="25">
        <f>VLOOKUP($A15,'HALF YEARLY(Entry)'!$1:$1048576,13,0)</f>
        <v>0</v>
      </c>
      <c r="N15" s="25">
        <f>VLOOKUP($A15,'HALF YEARLY(Entry)'!$1:$1048576,14,0)</f>
        <v>0</v>
      </c>
      <c r="O15" s="30">
        <f>VLOOKUP($A15,'HALF YEARLY(Entry)'!$1:$1048576,15,0)</f>
        <v>0</v>
      </c>
      <c r="P15" s="25">
        <f t="shared" si="0"/>
        <v>0</v>
      </c>
      <c r="Q15" s="25" t="str">
        <f t="shared" si="1"/>
        <v>0 %</v>
      </c>
    </row>
    <row r="16" spans="1:17" x14ac:dyDescent="0.3">
      <c r="A16" s="21">
        <f>DETAILS!A16</f>
        <v>1598</v>
      </c>
      <c r="B16" s="3" t="str">
        <f>DETAILS!B16</f>
        <v>DIVYANSHI SINGH</v>
      </c>
      <c r="C16" s="25">
        <f>VLOOKUP($A16,'HALF YEARLY(Entry)'!$1:$1048576,3,0)</f>
        <v>0</v>
      </c>
      <c r="D16" s="25">
        <f>VLOOKUP($A16,'HALF YEARLY(Entry)'!$1:$1048576,4,0)</f>
        <v>0</v>
      </c>
      <c r="E16" s="25">
        <f>VLOOKUP($A16,'HALF YEARLY(Entry)'!$1:$1048576,5,0)</f>
        <v>0</v>
      </c>
      <c r="F16" s="25">
        <f>VLOOKUP($A16,'HALF YEARLY(Entry)'!$1:$1048576,6,0)</f>
        <v>0</v>
      </c>
      <c r="G16" s="25">
        <f>VLOOKUP($A16,'HALF YEARLY(Entry)'!$1:$1048576,7,0)</f>
        <v>0</v>
      </c>
      <c r="H16" s="25">
        <f>VLOOKUP($A16,'HALF YEARLY(Entry)'!$1:$1048576,8,0)</f>
        <v>0</v>
      </c>
      <c r="I16" s="25">
        <f>VLOOKUP($A16,'HALF YEARLY(Entry)'!$1:$1048576,9,0)</f>
        <v>0</v>
      </c>
      <c r="J16" s="25">
        <f>VLOOKUP($A16,'HALF YEARLY(Entry)'!$1:$1048576,10,0)</f>
        <v>0</v>
      </c>
      <c r="K16" s="25">
        <f>VLOOKUP($A16,'HALF YEARLY(Entry)'!$1:$1048576,11,0)</f>
        <v>0</v>
      </c>
      <c r="L16" s="25">
        <f>VLOOKUP($A16,'HALF YEARLY(Entry)'!$1:$1048576,12,0)</f>
        <v>0</v>
      </c>
      <c r="M16" s="25">
        <f>VLOOKUP($A16,'HALF YEARLY(Entry)'!$1:$1048576,13,0)</f>
        <v>0</v>
      </c>
      <c r="N16" s="25">
        <f>VLOOKUP($A16,'HALF YEARLY(Entry)'!$1:$1048576,14,0)</f>
        <v>0</v>
      </c>
      <c r="O16" s="30">
        <f>VLOOKUP($A16,'HALF YEARLY(Entry)'!$1:$1048576,15,0)</f>
        <v>0</v>
      </c>
      <c r="P16" s="25">
        <f t="shared" si="0"/>
        <v>0</v>
      </c>
      <c r="Q16" s="25" t="str">
        <f t="shared" si="1"/>
        <v>0 %</v>
      </c>
    </row>
    <row r="17" spans="1:17" x14ac:dyDescent="0.3">
      <c r="A17" s="21">
        <f>DETAILS!A17</f>
        <v>1650</v>
      </c>
      <c r="B17" s="3" t="str">
        <f>DETAILS!B17</f>
        <v>DIVYANSHU YADAV</v>
      </c>
      <c r="C17" s="25">
        <f>VLOOKUP($A17,'HALF YEARLY(Entry)'!$1:$1048576,3,0)</f>
        <v>0</v>
      </c>
      <c r="D17" s="25">
        <f>VLOOKUP($A17,'HALF YEARLY(Entry)'!$1:$1048576,4,0)</f>
        <v>0</v>
      </c>
      <c r="E17" s="25">
        <f>VLOOKUP($A17,'HALF YEARLY(Entry)'!$1:$1048576,5,0)</f>
        <v>0</v>
      </c>
      <c r="F17" s="25">
        <f>VLOOKUP($A17,'HALF YEARLY(Entry)'!$1:$1048576,6,0)</f>
        <v>0</v>
      </c>
      <c r="G17" s="25">
        <f>VLOOKUP($A17,'HALF YEARLY(Entry)'!$1:$1048576,7,0)</f>
        <v>0</v>
      </c>
      <c r="H17" s="25">
        <f>VLOOKUP($A17,'HALF YEARLY(Entry)'!$1:$1048576,8,0)</f>
        <v>0</v>
      </c>
      <c r="I17" s="25">
        <f>VLOOKUP($A17,'HALF YEARLY(Entry)'!$1:$1048576,9,0)</f>
        <v>0</v>
      </c>
      <c r="J17" s="25">
        <f>VLOOKUP($A17,'HALF YEARLY(Entry)'!$1:$1048576,10,0)</f>
        <v>0</v>
      </c>
      <c r="K17" s="25">
        <f>VLOOKUP($A17,'HALF YEARLY(Entry)'!$1:$1048576,11,0)</f>
        <v>0</v>
      </c>
      <c r="L17" s="25">
        <f>VLOOKUP($A17,'HALF YEARLY(Entry)'!$1:$1048576,12,0)</f>
        <v>0</v>
      </c>
      <c r="M17" s="25">
        <f>VLOOKUP($A17,'HALF YEARLY(Entry)'!$1:$1048576,13,0)</f>
        <v>0</v>
      </c>
      <c r="N17" s="25">
        <f>VLOOKUP($A17,'HALF YEARLY(Entry)'!$1:$1048576,14,0)</f>
        <v>0</v>
      </c>
      <c r="O17" s="30">
        <f>VLOOKUP($A17,'HALF YEARLY(Entry)'!$1:$1048576,15,0)</f>
        <v>0</v>
      </c>
      <c r="P17" s="25">
        <f t="shared" si="0"/>
        <v>0</v>
      </c>
      <c r="Q17" s="25" t="str">
        <f t="shared" si="1"/>
        <v>0 %</v>
      </c>
    </row>
    <row r="18" spans="1:17" x14ac:dyDescent="0.3">
      <c r="A18" s="21">
        <f>DETAILS!A18</f>
        <v>1661</v>
      </c>
      <c r="B18" s="3" t="str">
        <f>DETAILS!B18</f>
        <v>GARIMA YADAV</v>
      </c>
      <c r="C18" s="25">
        <f>VLOOKUP($A18,'HALF YEARLY(Entry)'!$1:$1048576,3,0)</f>
        <v>0</v>
      </c>
      <c r="D18" s="25">
        <f>VLOOKUP($A18,'HALF YEARLY(Entry)'!$1:$1048576,4,0)</f>
        <v>0</v>
      </c>
      <c r="E18" s="25">
        <f>VLOOKUP($A18,'HALF YEARLY(Entry)'!$1:$1048576,5,0)</f>
        <v>0</v>
      </c>
      <c r="F18" s="25">
        <f>VLOOKUP($A18,'HALF YEARLY(Entry)'!$1:$1048576,6,0)</f>
        <v>0</v>
      </c>
      <c r="G18" s="25">
        <f>VLOOKUP($A18,'HALF YEARLY(Entry)'!$1:$1048576,7,0)</f>
        <v>0</v>
      </c>
      <c r="H18" s="25">
        <f>VLOOKUP($A18,'HALF YEARLY(Entry)'!$1:$1048576,8,0)</f>
        <v>0</v>
      </c>
      <c r="I18" s="25">
        <f>VLOOKUP($A18,'HALF YEARLY(Entry)'!$1:$1048576,9,0)</f>
        <v>0</v>
      </c>
      <c r="J18" s="25">
        <f>VLOOKUP($A18,'HALF YEARLY(Entry)'!$1:$1048576,10,0)</f>
        <v>0</v>
      </c>
      <c r="K18" s="25">
        <f>VLOOKUP($A18,'HALF YEARLY(Entry)'!$1:$1048576,11,0)</f>
        <v>0</v>
      </c>
      <c r="L18" s="25">
        <f>VLOOKUP($A18,'HALF YEARLY(Entry)'!$1:$1048576,12,0)</f>
        <v>0</v>
      </c>
      <c r="M18" s="25">
        <f>VLOOKUP($A18,'HALF YEARLY(Entry)'!$1:$1048576,13,0)</f>
        <v>0</v>
      </c>
      <c r="N18" s="25">
        <f>VLOOKUP($A18,'HALF YEARLY(Entry)'!$1:$1048576,14,0)</f>
        <v>0</v>
      </c>
      <c r="O18" s="30">
        <f>VLOOKUP($A18,'HALF YEARLY(Entry)'!$1:$1048576,15,0)</f>
        <v>0</v>
      </c>
      <c r="P18" s="25">
        <f t="shared" si="0"/>
        <v>0</v>
      </c>
      <c r="Q18" s="25" t="str">
        <f t="shared" si="1"/>
        <v>0 %</v>
      </c>
    </row>
    <row r="19" spans="1:17" x14ac:dyDescent="0.3">
      <c r="A19" s="21">
        <f>DETAILS!A19</f>
        <v>1704</v>
      </c>
      <c r="B19" s="3" t="str">
        <f>DETAILS!B19</f>
        <v>HARSH SINGH</v>
      </c>
      <c r="C19" s="25">
        <f>VLOOKUP($A19,'HALF YEARLY(Entry)'!$1:$1048576,3,0)</f>
        <v>0</v>
      </c>
      <c r="D19" s="25">
        <f>VLOOKUP($A19,'HALF YEARLY(Entry)'!$1:$1048576,4,0)</f>
        <v>0</v>
      </c>
      <c r="E19" s="25">
        <f>VLOOKUP($A19,'HALF YEARLY(Entry)'!$1:$1048576,5,0)</f>
        <v>0</v>
      </c>
      <c r="F19" s="25">
        <f>VLOOKUP($A19,'HALF YEARLY(Entry)'!$1:$1048576,6,0)</f>
        <v>0</v>
      </c>
      <c r="G19" s="25">
        <f>VLOOKUP($A19,'HALF YEARLY(Entry)'!$1:$1048576,7,0)</f>
        <v>0</v>
      </c>
      <c r="H19" s="25">
        <f>VLOOKUP($A19,'HALF YEARLY(Entry)'!$1:$1048576,8,0)</f>
        <v>0</v>
      </c>
      <c r="I19" s="25">
        <f>VLOOKUP($A19,'HALF YEARLY(Entry)'!$1:$1048576,9,0)</f>
        <v>0</v>
      </c>
      <c r="J19" s="25">
        <f>VLOOKUP($A19,'HALF YEARLY(Entry)'!$1:$1048576,10,0)</f>
        <v>0</v>
      </c>
      <c r="K19" s="25">
        <f>VLOOKUP($A19,'HALF YEARLY(Entry)'!$1:$1048576,11,0)</f>
        <v>0</v>
      </c>
      <c r="L19" s="25">
        <f>VLOOKUP($A19,'HALF YEARLY(Entry)'!$1:$1048576,12,0)</f>
        <v>0</v>
      </c>
      <c r="M19" s="25">
        <f>VLOOKUP($A19,'HALF YEARLY(Entry)'!$1:$1048576,13,0)</f>
        <v>0</v>
      </c>
      <c r="N19" s="25">
        <f>VLOOKUP($A19,'HALF YEARLY(Entry)'!$1:$1048576,14,0)</f>
        <v>0</v>
      </c>
      <c r="O19" s="30">
        <f>VLOOKUP($A19,'HALF YEARLY(Entry)'!$1:$1048576,15,0)</f>
        <v>0</v>
      </c>
      <c r="P19" s="25">
        <f t="shared" si="0"/>
        <v>0</v>
      </c>
      <c r="Q19" s="25" t="str">
        <f t="shared" si="1"/>
        <v>0 %</v>
      </c>
    </row>
    <row r="20" spans="1:17" x14ac:dyDescent="0.3">
      <c r="A20" s="21">
        <f>DETAILS!A20</f>
        <v>1437</v>
      </c>
      <c r="B20" s="3" t="str">
        <f>DETAILS!B20</f>
        <v>KANISHKA YADAV</v>
      </c>
      <c r="C20" s="25">
        <f>VLOOKUP($A20,'HALF YEARLY(Entry)'!$1:$1048576,3,0)</f>
        <v>0</v>
      </c>
      <c r="D20" s="25">
        <f>VLOOKUP($A20,'HALF YEARLY(Entry)'!$1:$1048576,4,0)</f>
        <v>0</v>
      </c>
      <c r="E20" s="25">
        <f>VLOOKUP($A20,'HALF YEARLY(Entry)'!$1:$1048576,5,0)</f>
        <v>0</v>
      </c>
      <c r="F20" s="25">
        <f>VLOOKUP($A20,'HALF YEARLY(Entry)'!$1:$1048576,6,0)</f>
        <v>0</v>
      </c>
      <c r="G20" s="25">
        <f>VLOOKUP($A20,'HALF YEARLY(Entry)'!$1:$1048576,7,0)</f>
        <v>0</v>
      </c>
      <c r="H20" s="25">
        <f>VLOOKUP($A20,'HALF YEARLY(Entry)'!$1:$1048576,8,0)</f>
        <v>0</v>
      </c>
      <c r="I20" s="25">
        <f>VLOOKUP($A20,'HALF YEARLY(Entry)'!$1:$1048576,9,0)</f>
        <v>0</v>
      </c>
      <c r="J20" s="25">
        <f>VLOOKUP($A20,'HALF YEARLY(Entry)'!$1:$1048576,10,0)</f>
        <v>0</v>
      </c>
      <c r="K20" s="25">
        <f>VLOOKUP($A20,'HALF YEARLY(Entry)'!$1:$1048576,11,0)</f>
        <v>0</v>
      </c>
      <c r="L20" s="25">
        <f>VLOOKUP($A20,'HALF YEARLY(Entry)'!$1:$1048576,12,0)</f>
        <v>0</v>
      </c>
      <c r="M20" s="25">
        <f>VLOOKUP($A20,'HALF YEARLY(Entry)'!$1:$1048576,13,0)</f>
        <v>0</v>
      </c>
      <c r="N20" s="25">
        <f>VLOOKUP($A20,'HALF YEARLY(Entry)'!$1:$1048576,14,0)</f>
        <v>0</v>
      </c>
      <c r="O20" s="30">
        <f>VLOOKUP($A20,'HALF YEARLY(Entry)'!$1:$1048576,15,0)</f>
        <v>0</v>
      </c>
      <c r="P20" s="25">
        <f t="shared" si="0"/>
        <v>0</v>
      </c>
      <c r="Q20" s="25" t="str">
        <f t="shared" si="1"/>
        <v>0 %</v>
      </c>
    </row>
    <row r="21" spans="1:17" x14ac:dyDescent="0.3">
      <c r="A21" s="21">
        <f>DETAILS!A21</f>
        <v>1605</v>
      </c>
      <c r="B21" s="3" t="str">
        <f>DETAILS!B21</f>
        <v>KARUNESH SINGH</v>
      </c>
      <c r="C21" s="25">
        <f>VLOOKUP($A21,'HALF YEARLY(Entry)'!$1:$1048576,3,0)</f>
        <v>0</v>
      </c>
      <c r="D21" s="25">
        <f>VLOOKUP($A21,'HALF YEARLY(Entry)'!$1:$1048576,4,0)</f>
        <v>0</v>
      </c>
      <c r="E21" s="25">
        <f>VLOOKUP($A21,'HALF YEARLY(Entry)'!$1:$1048576,5,0)</f>
        <v>0</v>
      </c>
      <c r="F21" s="25">
        <f>VLOOKUP($A21,'HALF YEARLY(Entry)'!$1:$1048576,6,0)</f>
        <v>0</v>
      </c>
      <c r="G21" s="25">
        <f>VLOOKUP($A21,'HALF YEARLY(Entry)'!$1:$1048576,7,0)</f>
        <v>0</v>
      </c>
      <c r="H21" s="25">
        <f>VLOOKUP($A21,'HALF YEARLY(Entry)'!$1:$1048576,8,0)</f>
        <v>0</v>
      </c>
      <c r="I21" s="25">
        <f>VLOOKUP($A21,'HALF YEARLY(Entry)'!$1:$1048576,9,0)</f>
        <v>0</v>
      </c>
      <c r="J21" s="25">
        <f>VLOOKUP($A21,'HALF YEARLY(Entry)'!$1:$1048576,10,0)</f>
        <v>0</v>
      </c>
      <c r="K21" s="25">
        <f>VLOOKUP($A21,'HALF YEARLY(Entry)'!$1:$1048576,11,0)</f>
        <v>0</v>
      </c>
      <c r="L21" s="25">
        <f>VLOOKUP($A21,'HALF YEARLY(Entry)'!$1:$1048576,12,0)</f>
        <v>0</v>
      </c>
      <c r="M21" s="25">
        <f>VLOOKUP($A21,'HALF YEARLY(Entry)'!$1:$1048576,13,0)</f>
        <v>0</v>
      </c>
      <c r="N21" s="25">
        <f>VLOOKUP($A21,'HALF YEARLY(Entry)'!$1:$1048576,14,0)</f>
        <v>0</v>
      </c>
      <c r="O21" s="30">
        <f>VLOOKUP($A21,'HALF YEARLY(Entry)'!$1:$1048576,15,0)</f>
        <v>0</v>
      </c>
      <c r="P21" s="25">
        <f t="shared" si="0"/>
        <v>0</v>
      </c>
      <c r="Q21" s="25" t="str">
        <f t="shared" si="1"/>
        <v>0 %</v>
      </c>
    </row>
    <row r="22" spans="1:17" x14ac:dyDescent="0.3">
      <c r="A22" s="21">
        <f>DETAILS!A22</f>
        <v>1640</v>
      </c>
      <c r="B22" s="3" t="str">
        <f>DETAILS!B22</f>
        <v>KRISHNA GUPTA</v>
      </c>
      <c r="C22" s="25">
        <f>VLOOKUP($A22,'HALF YEARLY(Entry)'!$1:$1048576,3,0)</f>
        <v>0</v>
      </c>
      <c r="D22" s="25">
        <f>VLOOKUP($A22,'HALF YEARLY(Entry)'!$1:$1048576,4,0)</f>
        <v>0</v>
      </c>
      <c r="E22" s="25">
        <f>VLOOKUP($A22,'HALF YEARLY(Entry)'!$1:$1048576,5,0)</f>
        <v>0</v>
      </c>
      <c r="F22" s="25">
        <f>VLOOKUP($A22,'HALF YEARLY(Entry)'!$1:$1048576,6,0)</f>
        <v>0</v>
      </c>
      <c r="G22" s="25">
        <f>VLOOKUP($A22,'HALF YEARLY(Entry)'!$1:$1048576,7,0)</f>
        <v>0</v>
      </c>
      <c r="H22" s="25">
        <f>VLOOKUP($A22,'HALF YEARLY(Entry)'!$1:$1048576,8,0)</f>
        <v>0</v>
      </c>
      <c r="I22" s="25">
        <f>VLOOKUP($A22,'HALF YEARLY(Entry)'!$1:$1048576,9,0)</f>
        <v>0</v>
      </c>
      <c r="J22" s="25">
        <f>VLOOKUP($A22,'HALF YEARLY(Entry)'!$1:$1048576,10,0)</f>
        <v>0</v>
      </c>
      <c r="K22" s="25">
        <f>VLOOKUP($A22,'HALF YEARLY(Entry)'!$1:$1048576,11,0)</f>
        <v>0</v>
      </c>
      <c r="L22" s="25">
        <f>VLOOKUP($A22,'HALF YEARLY(Entry)'!$1:$1048576,12,0)</f>
        <v>0</v>
      </c>
      <c r="M22" s="25">
        <f>VLOOKUP($A22,'HALF YEARLY(Entry)'!$1:$1048576,13,0)</f>
        <v>0</v>
      </c>
      <c r="N22" s="25">
        <f>VLOOKUP($A22,'HALF YEARLY(Entry)'!$1:$1048576,14,0)</f>
        <v>0</v>
      </c>
      <c r="O22" s="30">
        <f>VLOOKUP($A22,'HALF YEARLY(Entry)'!$1:$1048576,15,0)</f>
        <v>0</v>
      </c>
      <c r="P22" s="25">
        <f t="shared" si="0"/>
        <v>0</v>
      </c>
      <c r="Q22" s="25" t="str">
        <f t="shared" si="1"/>
        <v>0 %</v>
      </c>
    </row>
    <row r="23" spans="1:17" x14ac:dyDescent="0.3">
      <c r="A23" s="21">
        <f>DETAILS!A23</f>
        <v>1678</v>
      </c>
      <c r="B23" s="3" t="str">
        <f>DETAILS!B23</f>
        <v>KUNAL DHANUK</v>
      </c>
      <c r="C23" s="25">
        <f>VLOOKUP($A23,'HALF YEARLY(Entry)'!$1:$1048576,3,0)</f>
        <v>0</v>
      </c>
      <c r="D23" s="25">
        <f>VLOOKUP($A23,'HALF YEARLY(Entry)'!$1:$1048576,4,0)</f>
        <v>0</v>
      </c>
      <c r="E23" s="25">
        <f>VLOOKUP($A23,'HALF YEARLY(Entry)'!$1:$1048576,5,0)</f>
        <v>0</v>
      </c>
      <c r="F23" s="25">
        <f>VLOOKUP($A23,'HALF YEARLY(Entry)'!$1:$1048576,6,0)</f>
        <v>0</v>
      </c>
      <c r="G23" s="25">
        <f>VLOOKUP($A23,'HALF YEARLY(Entry)'!$1:$1048576,7,0)</f>
        <v>0</v>
      </c>
      <c r="H23" s="25">
        <f>VLOOKUP($A23,'HALF YEARLY(Entry)'!$1:$1048576,8,0)</f>
        <v>0</v>
      </c>
      <c r="I23" s="25">
        <f>VLOOKUP($A23,'HALF YEARLY(Entry)'!$1:$1048576,9,0)</f>
        <v>0</v>
      </c>
      <c r="J23" s="25">
        <f>VLOOKUP($A23,'HALF YEARLY(Entry)'!$1:$1048576,10,0)</f>
        <v>0</v>
      </c>
      <c r="K23" s="25">
        <f>VLOOKUP($A23,'HALF YEARLY(Entry)'!$1:$1048576,11,0)</f>
        <v>0</v>
      </c>
      <c r="L23" s="25">
        <f>VLOOKUP($A23,'HALF YEARLY(Entry)'!$1:$1048576,12,0)</f>
        <v>0</v>
      </c>
      <c r="M23" s="25">
        <f>VLOOKUP($A23,'HALF YEARLY(Entry)'!$1:$1048576,13,0)</f>
        <v>0</v>
      </c>
      <c r="N23" s="25">
        <f>VLOOKUP($A23,'HALF YEARLY(Entry)'!$1:$1048576,14,0)</f>
        <v>0</v>
      </c>
      <c r="O23" s="30">
        <f>VLOOKUP($A23,'HALF YEARLY(Entry)'!$1:$1048576,15,0)</f>
        <v>0</v>
      </c>
      <c r="P23" s="25">
        <f t="shared" si="0"/>
        <v>0</v>
      </c>
      <c r="Q23" s="25" t="str">
        <f t="shared" si="1"/>
        <v>0 %</v>
      </c>
    </row>
    <row r="24" spans="1:17" x14ac:dyDescent="0.3">
      <c r="A24" s="21">
        <f>DETAILS!A24</f>
        <v>1330</v>
      </c>
      <c r="B24" s="3" t="str">
        <f>DETAILS!B24</f>
        <v>KUSHAGRA SINGH</v>
      </c>
      <c r="C24" s="25">
        <f>VLOOKUP($A24,'HALF YEARLY(Entry)'!$1:$1048576,3,0)</f>
        <v>0</v>
      </c>
      <c r="D24" s="25">
        <f>VLOOKUP($A24,'HALF YEARLY(Entry)'!$1:$1048576,4,0)</f>
        <v>0</v>
      </c>
      <c r="E24" s="25">
        <f>VLOOKUP($A24,'HALF YEARLY(Entry)'!$1:$1048576,5,0)</f>
        <v>0</v>
      </c>
      <c r="F24" s="25">
        <f>VLOOKUP($A24,'HALF YEARLY(Entry)'!$1:$1048576,6,0)</f>
        <v>0</v>
      </c>
      <c r="G24" s="25">
        <f>VLOOKUP($A24,'HALF YEARLY(Entry)'!$1:$1048576,7,0)</f>
        <v>0</v>
      </c>
      <c r="H24" s="25">
        <f>VLOOKUP($A24,'HALF YEARLY(Entry)'!$1:$1048576,8,0)</f>
        <v>0</v>
      </c>
      <c r="I24" s="25">
        <f>VLOOKUP($A24,'HALF YEARLY(Entry)'!$1:$1048576,9,0)</f>
        <v>0</v>
      </c>
      <c r="J24" s="25">
        <f>VLOOKUP($A24,'HALF YEARLY(Entry)'!$1:$1048576,10,0)</f>
        <v>0</v>
      </c>
      <c r="K24" s="25">
        <f>VLOOKUP($A24,'HALF YEARLY(Entry)'!$1:$1048576,11,0)</f>
        <v>0</v>
      </c>
      <c r="L24" s="25">
        <f>VLOOKUP($A24,'HALF YEARLY(Entry)'!$1:$1048576,12,0)</f>
        <v>0</v>
      </c>
      <c r="M24" s="25">
        <f>VLOOKUP($A24,'HALF YEARLY(Entry)'!$1:$1048576,13,0)</f>
        <v>0</v>
      </c>
      <c r="N24" s="25">
        <f>VLOOKUP($A24,'HALF YEARLY(Entry)'!$1:$1048576,14,0)</f>
        <v>0</v>
      </c>
      <c r="O24" s="30">
        <f>VLOOKUP($A24,'HALF YEARLY(Entry)'!$1:$1048576,15,0)</f>
        <v>0</v>
      </c>
      <c r="P24" s="25">
        <f t="shared" si="0"/>
        <v>0</v>
      </c>
      <c r="Q24" s="25" t="str">
        <f t="shared" si="1"/>
        <v>0 %</v>
      </c>
    </row>
    <row r="25" spans="1:17" x14ac:dyDescent="0.3">
      <c r="A25" s="21">
        <f>DETAILS!A25</f>
        <v>777</v>
      </c>
      <c r="B25" s="3" t="str">
        <f>DETAILS!B25</f>
        <v>MAHEE JAISWAL</v>
      </c>
      <c r="C25" s="25">
        <f>VLOOKUP($A25,'HALF YEARLY(Entry)'!$1:$1048576,3,0)</f>
        <v>0</v>
      </c>
      <c r="D25" s="25">
        <f>VLOOKUP($A25,'HALF YEARLY(Entry)'!$1:$1048576,4,0)</f>
        <v>0</v>
      </c>
      <c r="E25" s="25">
        <f>VLOOKUP($A25,'HALF YEARLY(Entry)'!$1:$1048576,5,0)</f>
        <v>0</v>
      </c>
      <c r="F25" s="25">
        <f>VLOOKUP($A25,'HALF YEARLY(Entry)'!$1:$1048576,6,0)</f>
        <v>0</v>
      </c>
      <c r="G25" s="25">
        <f>VLOOKUP($A25,'HALF YEARLY(Entry)'!$1:$1048576,7,0)</f>
        <v>0</v>
      </c>
      <c r="H25" s="25">
        <f>VLOOKUP($A25,'HALF YEARLY(Entry)'!$1:$1048576,8,0)</f>
        <v>0</v>
      </c>
      <c r="I25" s="25">
        <f>VLOOKUP($A25,'HALF YEARLY(Entry)'!$1:$1048576,9,0)</f>
        <v>0</v>
      </c>
      <c r="J25" s="25">
        <f>VLOOKUP($A25,'HALF YEARLY(Entry)'!$1:$1048576,10,0)</f>
        <v>0</v>
      </c>
      <c r="K25" s="25">
        <f>VLOOKUP($A25,'HALF YEARLY(Entry)'!$1:$1048576,11,0)</f>
        <v>0</v>
      </c>
      <c r="L25" s="25">
        <f>VLOOKUP($A25,'HALF YEARLY(Entry)'!$1:$1048576,12,0)</f>
        <v>0</v>
      </c>
      <c r="M25" s="25">
        <f>VLOOKUP($A25,'HALF YEARLY(Entry)'!$1:$1048576,13,0)</f>
        <v>0</v>
      </c>
      <c r="N25" s="25">
        <f>VLOOKUP($A25,'HALF YEARLY(Entry)'!$1:$1048576,14,0)</f>
        <v>0</v>
      </c>
      <c r="O25" s="30">
        <f>VLOOKUP($A25,'HALF YEARLY(Entry)'!$1:$1048576,15,0)</f>
        <v>0</v>
      </c>
      <c r="P25" s="25">
        <f t="shared" si="0"/>
        <v>0</v>
      </c>
      <c r="Q25" s="25" t="str">
        <f t="shared" si="1"/>
        <v>0 %</v>
      </c>
    </row>
    <row r="26" spans="1:17" x14ac:dyDescent="0.3">
      <c r="A26" s="21">
        <f>DETAILS!A26</f>
        <v>763</v>
      </c>
      <c r="B26" s="3" t="str">
        <f>DETAILS!B26</f>
        <v>MAHEK RAWAT</v>
      </c>
      <c r="C26" s="25">
        <f>VLOOKUP($A26,'HALF YEARLY(Entry)'!$1:$1048576,3,0)</f>
        <v>0</v>
      </c>
      <c r="D26" s="25">
        <f>VLOOKUP($A26,'HALF YEARLY(Entry)'!$1:$1048576,4,0)</f>
        <v>0</v>
      </c>
      <c r="E26" s="25">
        <f>VLOOKUP($A26,'HALF YEARLY(Entry)'!$1:$1048576,5,0)</f>
        <v>0</v>
      </c>
      <c r="F26" s="25">
        <f>VLOOKUP($A26,'HALF YEARLY(Entry)'!$1:$1048576,6,0)</f>
        <v>0</v>
      </c>
      <c r="G26" s="25">
        <f>VLOOKUP($A26,'HALF YEARLY(Entry)'!$1:$1048576,7,0)</f>
        <v>0</v>
      </c>
      <c r="H26" s="25">
        <f>VLOOKUP($A26,'HALF YEARLY(Entry)'!$1:$1048576,8,0)</f>
        <v>0</v>
      </c>
      <c r="I26" s="25">
        <f>VLOOKUP($A26,'HALF YEARLY(Entry)'!$1:$1048576,9,0)</f>
        <v>0</v>
      </c>
      <c r="J26" s="25">
        <f>VLOOKUP($A26,'HALF YEARLY(Entry)'!$1:$1048576,10,0)</f>
        <v>0</v>
      </c>
      <c r="K26" s="25">
        <f>VLOOKUP($A26,'HALF YEARLY(Entry)'!$1:$1048576,11,0)</f>
        <v>0</v>
      </c>
      <c r="L26" s="25">
        <f>VLOOKUP($A26,'HALF YEARLY(Entry)'!$1:$1048576,12,0)</f>
        <v>0</v>
      </c>
      <c r="M26" s="25">
        <f>VLOOKUP($A26,'HALF YEARLY(Entry)'!$1:$1048576,13,0)</f>
        <v>0</v>
      </c>
      <c r="N26" s="25">
        <f>VLOOKUP($A26,'HALF YEARLY(Entry)'!$1:$1048576,14,0)</f>
        <v>0</v>
      </c>
      <c r="O26" s="30">
        <f>VLOOKUP($A26,'HALF YEARLY(Entry)'!$1:$1048576,15,0)</f>
        <v>0</v>
      </c>
      <c r="P26" s="25">
        <f t="shared" si="0"/>
        <v>0</v>
      </c>
      <c r="Q26" s="25" t="str">
        <f t="shared" si="1"/>
        <v>0 %</v>
      </c>
    </row>
    <row r="27" spans="1:17" x14ac:dyDescent="0.3">
      <c r="A27" s="21">
        <f>DETAILS!A27</f>
        <v>1619</v>
      </c>
      <c r="B27" s="3" t="str">
        <f>DETAILS!B27</f>
        <v>MOHD FAIZ</v>
      </c>
      <c r="C27" s="25">
        <f>VLOOKUP($A27,'HALF YEARLY(Entry)'!$1:$1048576,3,0)</f>
        <v>0</v>
      </c>
      <c r="D27" s="25">
        <f>VLOOKUP($A27,'HALF YEARLY(Entry)'!$1:$1048576,4,0)</f>
        <v>0</v>
      </c>
      <c r="E27" s="25">
        <f>VLOOKUP($A27,'HALF YEARLY(Entry)'!$1:$1048576,5,0)</f>
        <v>0</v>
      </c>
      <c r="F27" s="25">
        <f>VLOOKUP($A27,'HALF YEARLY(Entry)'!$1:$1048576,6,0)</f>
        <v>0</v>
      </c>
      <c r="G27" s="25">
        <f>VLOOKUP($A27,'HALF YEARLY(Entry)'!$1:$1048576,7,0)</f>
        <v>0</v>
      </c>
      <c r="H27" s="25">
        <f>VLOOKUP($A27,'HALF YEARLY(Entry)'!$1:$1048576,8,0)</f>
        <v>0</v>
      </c>
      <c r="I27" s="25">
        <f>VLOOKUP($A27,'HALF YEARLY(Entry)'!$1:$1048576,9,0)</f>
        <v>0</v>
      </c>
      <c r="J27" s="25">
        <f>VLOOKUP($A27,'HALF YEARLY(Entry)'!$1:$1048576,10,0)</f>
        <v>0</v>
      </c>
      <c r="K27" s="25">
        <f>VLOOKUP($A27,'HALF YEARLY(Entry)'!$1:$1048576,11,0)</f>
        <v>0</v>
      </c>
      <c r="L27" s="25">
        <f>VLOOKUP($A27,'HALF YEARLY(Entry)'!$1:$1048576,12,0)</f>
        <v>0</v>
      </c>
      <c r="M27" s="25">
        <f>VLOOKUP($A27,'HALF YEARLY(Entry)'!$1:$1048576,13,0)</f>
        <v>0</v>
      </c>
      <c r="N27" s="25">
        <f>VLOOKUP($A27,'HALF YEARLY(Entry)'!$1:$1048576,14,0)</f>
        <v>0</v>
      </c>
      <c r="O27" s="30">
        <f>VLOOKUP($A27,'HALF YEARLY(Entry)'!$1:$1048576,15,0)</f>
        <v>0</v>
      </c>
      <c r="P27" s="25">
        <f t="shared" si="0"/>
        <v>0</v>
      </c>
      <c r="Q27" s="25" t="str">
        <f t="shared" si="1"/>
        <v>0 %</v>
      </c>
    </row>
    <row r="28" spans="1:17" x14ac:dyDescent="0.3">
      <c r="A28" s="21">
        <f>DETAILS!A28</f>
        <v>1687</v>
      </c>
      <c r="B28" s="3" t="str">
        <f>DETAILS!B28</f>
        <v>MOHINI YADAV</v>
      </c>
      <c r="C28" s="25">
        <f>VLOOKUP($A28,'HALF YEARLY(Entry)'!$1:$1048576,3,0)</f>
        <v>0</v>
      </c>
      <c r="D28" s="25">
        <f>VLOOKUP($A28,'HALF YEARLY(Entry)'!$1:$1048576,4,0)</f>
        <v>0</v>
      </c>
      <c r="E28" s="25">
        <f>VLOOKUP($A28,'HALF YEARLY(Entry)'!$1:$1048576,5,0)</f>
        <v>0</v>
      </c>
      <c r="F28" s="25">
        <f>VLOOKUP($A28,'HALF YEARLY(Entry)'!$1:$1048576,6,0)</f>
        <v>0</v>
      </c>
      <c r="G28" s="25">
        <f>VLOOKUP($A28,'HALF YEARLY(Entry)'!$1:$1048576,7,0)</f>
        <v>0</v>
      </c>
      <c r="H28" s="25">
        <f>VLOOKUP($A28,'HALF YEARLY(Entry)'!$1:$1048576,8,0)</f>
        <v>0</v>
      </c>
      <c r="I28" s="25">
        <f>VLOOKUP($A28,'HALF YEARLY(Entry)'!$1:$1048576,9,0)</f>
        <v>0</v>
      </c>
      <c r="J28" s="25">
        <f>VLOOKUP($A28,'HALF YEARLY(Entry)'!$1:$1048576,10,0)</f>
        <v>0</v>
      </c>
      <c r="K28" s="25">
        <f>VLOOKUP($A28,'HALF YEARLY(Entry)'!$1:$1048576,11,0)</f>
        <v>0</v>
      </c>
      <c r="L28" s="25">
        <f>VLOOKUP($A28,'HALF YEARLY(Entry)'!$1:$1048576,12,0)</f>
        <v>0</v>
      </c>
      <c r="M28" s="25">
        <f>VLOOKUP($A28,'HALF YEARLY(Entry)'!$1:$1048576,13,0)</f>
        <v>0</v>
      </c>
      <c r="N28" s="25">
        <f>VLOOKUP($A28,'HALF YEARLY(Entry)'!$1:$1048576,14,0)</f>
        <v>0</v>
      </c>
      <c r="O28" s="30">
        <f>VLOOKUP($A28,'HALF YEARLY(Entry)'!$1:$1048576,15,0)</f>
        <v>0</v>
      </c>
      <c r="P28" s="25">
        <f t="shared" si="0"/>
        <v>0</v>
      </c>
      <c r="Q28" s="25" t="str">
        <f t="shared" si="1"/>
        <v>0 %</v>
      </c>
    </row>
    <row r="29" spans="1:17" x14ac:dyDescent="0.3">
      <c r="A29" s="21">
        <f>DETAILS!A29</f>
        <v>1653</v>
      </c>
      <c r="B29" s="3" t="str">
        <f>DETAILS!B29</f>
        <v>MUSKAN MEENA</v>
      </c>
      <c r="C29" s="25">
        <f>VLOOKUP($A29,'HALF YEARLY(Entry)'!$1:$1048576,3,0)</f>
        <v>0</v>
      </c>
      <c r="D29" s="25">
        <f>VLOOKUP($A29,'HALF YEARLY(Entry)'!$1:$1048576,4,0)</f>
        <v>0</v>
      </c>
      <c r="E29" s="25">
        <f>VLOOKUP($A29,'HALF YEARLY(Entry)'!$1:$1048576,5,0)</f>
        <v>0</v>
      </c>
      <c r="F29" s="25">
        <f>VLOOKUP($A29,'HALF YEARLY(Entry)'!$1:$1048576,6,0)</f>
        <v>0</v>
      </c>
      <c r="G29" s="25">
        <f>VLOOKUP($A29,'HALF YEARLY(Entry)'!$1:$1048576,7,0)</f>
        <v>0</v>
      </c>
      <c r="H29" s="25">
        <f>VLOOKUP($A29,'HALF YEARLY(Entry)'!$1:$1048576,8,0)</f>
        <v>0</v>
      </c>
      <c r="I29" s="25">
        <f>VLOOKUP($A29,'HALF YEARLY(Entry)'!$1:$1048576,9,0)</f>
        <v>0</v>
      </c>
      <c r="J29" s="25">
        <f>VLOOKUP($A29,'HALF YEARLY(Entry)'!$1:$1048576,10,0)</f>
        <v>0</v>
      </c>
      <c r="K29" s="25">
        <f>VLOOKUP($A29,'HALF YEARLY(Entry)'!$1:$1048576,11,0)</f>
        <v>0</v>
      </c>
      <c r="L29" s="25">
        <f>VLOOKUP($A29,'HALF YEARLY(Entry)'!$1:$1048576,12,0)</f>
        <v>0</v>
      </c>
      <c r="M29" s="25">
        <f>VLOOKUP($A29,'HALF YEARLY(Entry)'!$1:$1048576,13,0)</f>
        <v>0</v>
      </c>
      <c r="N29" s="25">
        <f>VLOOKUP($A29,'HALF YEARLY(Entry)'!$1:$1048576,14,0)</f>
        <v>0</v>
      </c>
      <c r="O29" s="30">
        <f>VLOOKUP($A29,'HALF YEARLY(Entry)'!$1:$1048576,15,0)</f>
        <v>0</v>
      </c>
      <c r="P29" s="25">
        <f t="shared" si="0"/>
        <v>0</v>
      </c>
      <c r="Q29" s="25" t="str">
        <f t="shared" si="1"/>
        <v>0 %</v>
      </c>
    </row>
    <row r="30" spans="1:17" x14ac:dyDescent="0.3">
      <c r="A30" s="21">
        <f>DETAILS!A30</f>
        <v>1700</v>
      </c>
      <c r="B30" s="3" t="str">
        <f>DETAILS!B30</f>
        <v>NASHRA</v>
      </c>
      <c r="C30" s="25">
        <f>VLOOKUP($A30,'HALF YEARLY(Entry)'!$1:$1048576,3,0)</f>
        <v>0</v>
      </c>
      <c r="D30" s="25">
        <f>VLOOKUP($A30,'HALF YEARLY(Entry)'!$1:$1048576,4,0)</f>
        <v>0</v>
      </c>
      <c r="E30" s="25">
        <f>VLOOKUP($A30,'HALF YEARLY(Entry)'!$1:$1048576,5,0)</f>
        <v>0</v>
      </c>
      <c r="F30" s="25">
        <f>VLOOKUP($A30,'HALF YEARLY(Entry)'!$1:$1048576,6,0)</f>
        <v>0</v>
      </c>
      <c r="G30" s="25">
        <f>VLOOKUP($A30,'HALF YEARLY(Entry)'!$1:$1048576,7,0)</f>
        <v>0</v>
      </c>
      <c r="H30" s="25">
        <f>VLOOKUP($A30,'HALF YEARLY(Entry)'!$1:$1048576,8,0)</f>
        <v>0</v>
      </c>
      <c r="I30" s="25">
        <f>VLOOKUP($A30,'HALF YEARLY(Entry)'!$1:$1048576,9,0)</f>
        <v>0</v>
      </c>
      <c r="J30" s="25">
        <f>VLOOKUP($A30,'HALF YEARLY(Entry)'!$1:$1048576,10,0)</f>
        <v>0</v>
      </c>
      <c r="K30" s="25">
        <f>VLOOKUP($A30,'HALF YEARLY(Entry)'!$1:$1048576,11,0)</f>
        <v>0</v>
      </c>
      <c r="L30" s="25">
        <f>VLOOKUP($A30,'HALF YEARLY(Entry)'!$1:$1048576,12,0)</f>
        <v>0</v>
      </c>
      <c r="M30" s="25">
        <f>VLOOKUP($A30,'HALF YEARLY(Entry)'!$1:$1048576,13,0)</f>
        <v>0</v>
      </c>
      <c r="N30" s="25">
        <f>VLOOKUP($A30,'HALF YEARLY(Entry)'!$1:$1048576,14,0)</f>
        <v>0</v>
      </c>
      <c r="O30" s="30">
        <f>VLOOKUP($A30,'HALF YEARLY(Entry)'!$1:$1048576,15,0)</f>
        <v>0</v>
      </c>
      <c r="P30" s="25">
        <f t="shared" si="0"/>
        <v>0</v>
      </c>
      <c r="Q30" s="25" t="str">
        <f t="shared" si="1"/>
        <v>0 %</v>
      </c>
    </row>
    <row r="31" spans="1:17" x14ac:dyDescent="0.3">
      <c r="A31" s="21">
        <f>DETAILS!A31</f>
        <v>1603</v>
      </c>
      <c r="B31" s="3" t="str">
        <f>DETAILS!B31</f>
        <v>PRAGATI TIWARI</v>
      </c>
      <c r="C31" s="25">
        <f>VLOOKUP($A31,'HALF YEARLY(Entry)'!$1:$1048576,3,0)</f>
        <v>0</v>
      </c>
      <c r="D31" s="25">
        <f>VLOOKUP($A31,'HALF YEARLY(Entry)'!$1:$1048576,4,0)</f>
        <v>0</v>
      </c>
      <c r="E31" s="25">
        <f>VLOOKUP($A31,'HALF YEARLY(Entry)'!$1:$1048576,5,0)</f>
        <v>0</v>
      </c>
      <c r="F31" s="25">
        <f>VLOOKUP($A31,'HALF YEARLY(Entry)'!$1:$1048576,6,0)</f>
        <v>0</v>
      </c>
      <c r="G31" s="25">
        <f>VLOOKUP($A31,'HALF YEARLY(Entry)'!$1:$1048576,7,0)</f>
        <v>0</v>
      </c>
      <c r="H31" s="25">
        <f>VLOOKUP($A31,'HALF YEARLY(Entry)'!$1:$1048576,8,0)</f>
        <v>0</v>
      </c>
      <c r="I31" s="25">
        <f>VLOOKUP($A31,'HALF YEARLY(Entry)'!$1:$1048576,9,0)</f>
        <v>0</v>
      </c>
      <c r="J31" s="25">
        <f>VLOOKUP($A31,'HALF YEARLY(Entry)'!$1:$1048576,10,0)</f>
        <v>0</v>
      </c>
      <c r="K31" s="25">
        <f>VLOOKUP($A31,'HALF YEARLY(Entry)'!$1:$1048576,11,0)</f>
        <v>0</v>
      </c>
      <c r="L31" s="25">
        <f>VLOOKUP($A31,'HALF YEARLY(Entry)'!$1:$1048576,12,0)</f>
        <v>0</v>
      </c>
      <c r="M31" s="25">
        <f>VLOOKUP($A31,'HALF YEARLY(Entry)'!$1:$1048576,13,0)</f>
        <v>0</v>
      </c>
      <c r="N31" s="25">
        <f>VLOOKUP($A31,'HALF YEARLY(Entry)'!$1:$1048576,14,0)</f>
        <v>0</v>
      </c>
      <c r="O31" s="30">
        <f>VLOOKUP($A31,'HALF YEARLY(Entry)'!$1:$1048576,15,0)</f>
        <v>0</v>
      </c>
      <c r="P31" s="25">
        <f t="shared" si="0"/>
        <v>0</v>
      </c>
      <c r="Q31" s="25" t="str">
        <f t="shared" si="1"/>
        <v>0 %</v>
      </c>
    </row>
    <row r="32" spans="1:17" x14ac:dyDescent="0.3">
      <c r="A32" s="21">
        <f>DETAILS!A32</f>
        <v>764</v>
      </c>
      <c r="B32" s="3" t="str">
        <f>DETAILS!B32</f>
        <v>PRAKHAR VERMA</v>
      </c>
      <c r="C32" s="25">
        <f>VLOOKUP($A32,'HALF YEARLY(Entry)'!$1:$1048576,3,0)</f>
        <v>0</v>
      </c>
      <c r="D32" s="25">
        <f>VLOOKUP($A32,'HALF YEARLY(Entry)'!$1:$1048576,4,0)</f>
        <v>0</v>
      </c>
      <c r="E32" s="25">
        <f>VLOOKUP($A32,'HALF YEARLY(Entry)'!$1:$1048576,5,0)</f>
        <v>0</v>
      </c>
      <c r="F32" s="25">
        <f>VLOOKUP($A32,'HALF YEARLY(Entry)'!$1:$1048576,6,0)</f>
        <v>0</v>
      </c>
      <c r="G32" s="25">
        <f>VLOOKUP($A32,'HALF YEARLY(Entry)'!$1:$1048576,7,0)</f>
        <v>0</v>
      </c>
      <c r="H32" s="25">
        <f>VLOOKUP($A32,'HALF YEARLY(Entry)'!$1:$1048576,8,0)</f>
        <v>0</v>
      </c>
      <c r="I32" s="25">
        <f>VLOOKUP($A32,'HALF YEARLY(Entry)'!$1:$1048576,9,0)</f>
        <v>0</v>
      </c>
      <c r="J32" s="25">
        <f>VLOOKUP($A32,'HALF YEARLY(Entry)'!$1:$1048576,10,0)</f>
        <v>0</v>
      </c>
      <c r="K32" s="25">
        <f>VLOOKUP($A32,'HALF YEARLY(Entry)'!$1:$1048576,11,0)</f>
        <v>0</v>
      </c>
      <c r="L32" s="25">
        <f>VLOOKUP($A32,'HALF YEARLY(Entry)'!$1:$1048576,12,0)</f>
        <v>0</v>
      </c>
      <c r="M32" s="25">
        <f>VLOOKUP($A32,'HALF YEARLY(Entry)'!$1:$1048576,13,0)</f>
        <v>0</v>
      </c>
      <c r="N32" s="25">
        <f>VLOOKUP($A32,'HALF YEARLY(Entry)'!$1:$1048576,14,0)</f>
        <v>0</v>
      </c>
      <c r="O32" s="30">
        <f>VLOOKUP($A32,'HALF YEARLY(Entry)'!$1:$1048576,15,0)</f>
        <v>0</v>
      </c>
      <c r="P32" s="25">
        <f t="shared" si="0"/>
        <v>0</v>
      </c>
      <c r="Q32" s="25" t="str">
        <f t="shared" si="1"/>
        <v>0 %</v>
      </c>
    </row>
    <row r="33" spans="1:17" x14ac:dyDescent="0.3">
      <c r="A33" s="21">
        <f>DETAILS!A33</f>
        <v>1301</v>
      </c>
      <c r="B33" s="3" t="str">
        <f>DETAILS!B33</f>
        <v>PRASHANT YADAV</v>
      </c>
      <c r="C33" s="25">
        <f>VLOOKUP($A33,'HALF YEARLY(Entry)'!$1:$1048576,3,0)</f>
        <v>0</v>
      </c>
      <c r="D33" s="25">
        <f>VLOOKUP($A33,'HALF YEARLY(Entry)'!$1:$1048576,4,0)</f>
        <v>0</v>
      </c>
      <c r="E33" s="25">
        <f>VLOOKUP($A33,'HALF YEARLY(Entry)'!$1:$1048576,5,0)</f>
        <v>0</v>
      </c>
      <c r="F33" s="25">
        <f>VLOOKUP($A33,'HALF YEARLY(Entry)'!$1:$1048576,6,0)</f>
        <v>0</v>
      </c>
      <c r="G33" s="25">
        <f>VLOOKUP($A33,'HALF YEARLY(Entry)'!$1:$1048576,7,0)</f>
        <v>0</v>
      </c>
      <c r="H33" s="25">
        <f>VLOOKUP($A33,'HALF YEARLY(Entry)'!$1:$1048576,8,0)</f>
        <v>0</v>
      </c>
      <c r="I33" s="25">
        <f>VLOOKUP($A33,'HALF YEARLY(Entry)'!$1:$1048576,9,0)</f>
        <v>0</v>
      </c>
      <c r="J33" s="25">
        <f>VLOOKUP($A33,'HALF YEARLY(Entry)'!$1:$1048576,10,0)</f>
        <v>0</v>
      </c>
      <c r="K33" s="25">
        <f>VLOOKUP($A33,'HALF YEARLY(Entry)'!$1:$1048576,11,0)</f>
        <v>0</v>
      </c>
      <c r="L33" s="25">
        <f>VLOOKUP($A33,'HALF YEARLY(Entry)'!$1:$1048576,12,0)</f>
        <v>0</v>
      </c>
      <c r="M33" s="25">
        <f>VLOOKUP($A33,'HALF YEARLY(Entry)'!$1:$1048576,13,0)</f>
        <v>0</v>
      </c>
      <c r="N33" s="25">
        <f>VLOOKUP($A33,'HALF YEARLY(Entry)'!$1:$1048576,14,0)</f>
        <v>0</v>
      </c>
      <c r="O33" s="30">
        <f>VLOOKUP($A33,'HALF YEARLY(Entry)'!$1:$1048576,15,0)</f>
        <v>0</v>
      </c>
      <c r="P33" s="25">
        <f t="shared" si="0"/>
        <v>0</v>
      </c>
      <c r="Q33" s="25" t="str">
        <f t="shared" si="1"/>
        <v>0 %</v>
      </c>
    </row>
    <row r="34" spans="1:17" x14ac:dyDescent="0.3">
      <c r="A34" s="21">
        <f>DETAILS!A34</f>
        <v>1641</v>
      </c>
      <c r="B34" s="3" t="str">
        <f>DETAILS!B34</f>
        <v>PRIYANSHU YADAV</v>
      </c>
      <c r="C34" s="25">
        <f>VLOOKUP($A34,'HALF YEARLY(Entry)'!$1:$1048576,3,0)</f>
        <v>0</v>
      </c>
      <c r="D34" s="25">
        <f>VLOOKUP($A34,'HALF YEARLY(Entry)'!$1:$1048576,4,0)</f>
        <v>0</v>
      </c>
      <c r="E34" s="25">
        <f>VLOOKUP($A34,'HALF YEARLY(Entry)'!$1:$1048576,5,0)</f>
        <v>0</v>
      </c>
      <c r="F34" s="25">
        <f>VLOOKUP($A34,'HALF YEARLY(Entry)'!$1:$1048576,6,0)</f>
        <v>0</v>
      </c>
      <c r="G34" s="25">
        <f>VLOOKUP($A34,'HALF YEARLY(Entry)'!$1:$1048576,7,0)</f>
        <v>0</v>
      </c>
      <c r="H34" s="25">
        <f>VLOOKUP($A34,'HALF YEARLY(Entry)'!$1:$1048576,8,0)</f>
        <v>0</v>
      </c>
      <c r="I34" s="25">
        <f>VLOOKUP($A34,'HALF YEARLY(Entry)'!$1:$1048576,9,0)</f>
        <v>0</v>
      </c>
      <c r="J34" s="25">
        <f>VLOOKUP($A34,'HALF YEARLY(Entry)'!$1:$1048576,10,0)</f>
        <v>0</v>
      </c>
      <c r="K34" s="25">
        <f>VLOOKUP($A34,'HALF YEARLY(Entry)'!$1:$1048576,11,0)</f>
        <v>0</v>
      </c>
      <c r="L34" s="25">
        <f>VLOOKUP($A34,'HALF YEARLY(Entry)'!$1:$1048576,12,0)</f>
        <v>0</v>
      </c>
      <c r="M34" s="25">
        <f>VLOOKUP($A34,'HALF YEARLY(Entry)'!$1:$1048576,13,0)</f>
        <v>0</v>
      </c>
      <c r="N34" s="25">
        <f>VLOOKUP($A34,'HALF YEARLY(Entry)'!$1:$1048576,14,0)</f>
        <v>0</v>
      </c>
      <c r="O34" s="30">
        <f>VLOOKUP($A34,'HALF YEARLY(Entry)'!$1:$1048576,15,0)</f>
        <v>0</v>
      </c>
      <c r="P34" s="25">
        <f t="shared" si="0"/>
        <v>0</v>
      </c>
      <c r="Q34" s="25" t="str">
        <f t="shared" si="1"/>
        <v>0 %</v>
      </c>
    </row>
    <row r="35" spans="1:17" x14ac:dyDescent="0.3">
      <c r="A35" s="21">
        <f>DETAILS!A35</f>
        <v>1669</v>
      </c>
      <c r="B35" s="3" t="str">
        <f>DETAILS!B35</f>
        <v>RAUNAK KUMAR</v>
      </c>
      <c r="C35" s="25">
        <f>VLOOKUP($A35,'HALF YEARLY(Entry)'!$1:$1048576,3,0)</f>
        <v>0</v>
      </c>
      <c r="D35" s="25">
        <f>VLOOKUP($A35,'HALF YEARLY(Entry)'!$1:$1048576,4,0)</f>
        <v>0</v>
      </c>
      <c r="E35" s="25">
        <f>VLOOKUP($A35,'HALF YEARLY(Entry)'!$1:$1048576,5,0)</f>
        <v>0</v>
      </c>
      <c r="F35" s="25">
        <f>VLOOKUP($A35,'HALF YEARLY(Entry)'!$1:$1048576,6,0)</f>
        <v>0</v>
      </c>
      <c r="G35" s="25">
        <f>VLOOKUP($A35,'HALF YEARLY(Entry)'!$1:$1048576,7,0)</f>
        <v>0</v>
      </c>
      <c r="H35" s="25">
        <f>VLOOKUP($A35,'HALF YEARLY(Entry)'!$1:$1048576,8,0)</f>
        <v>0</v>
      </c>
      <c r="I35" s="25">
        <f>VLOOKUP($A35,'HALF YEARLY(Entry)'!$1:$1048576,9,0)</f>
        <v>0</v>
      </c>
      <c r="J35" s="25">
        <f>VLOOKUP($A35,'HALF YEARLY(Entry)'!$1:$1048576,10,0)</f>
        <v>0</v>
      </c>
      <c r="K35" s="25">
        <f>VLOOKUP($A35,'HALF YEARLY(Entry)'!$1:$1048576,11,0)</f>
        <v>0</v>
      </c>
      <c r="L35" s="25">
        <f>VLOOKUP($A35,'HALF YEARLY(Entry)'!$1:$1048576,12,0)</f>
        <v>0</v>
      </c>
      <c r="M35" s="25">
        <f>VLOOKUP($A35,'HALF YEARLY(Entry)'!$1:$1048576,13,0)</f>
        <v>0</v>
      </c>
      <c r="N35" s="25">
        <f>VLOOKUP($A35,'HALF YEARLY(Entry)'!$1:$1048576,14,0)</f>
        <v>0</v>
      </c>
      <c r="O35" s="30">
        <f>VLOOKUP($A35,'HALF YEARLY(Entry)'!$1:$1048576,15,0)</f>
        <v>0</v>
      </c>
      <c r="P35" s="25">
        <f t="shared" si="0"/>
        <v>0</v>
      </c>
      <c r="Q35" s="25" t="str">
        <f t="shared" si="1"/>
        <v>0 %</v>
      </c>
    </row>
    <row r="36" spans="1:17" x14ac:dyDescent="0.3">
      <c r="A36" s="21">
        <f>DETAILS!A36</f>
        <v>806</v>
      </c>
      <c r="B36" s="3" t="str">
        <f>DETAILS!B36</f>
        <v>SAMRIDH SRIVASTAVA</v>
      </c>
      <c r="C36" s="25">
        <f>VLOOKUP($A36,'HALF YEARLY(Entry)'!$1:$1048576,3,0)</f>
        <v>0</v>
      </c>
      <c r="D36" s="25">
        <f>VLOOKUP($A36,'HALF YEARLY(Entry)'!$1:$1048576,4,0)</f>
        <v>0</v>
      </c>
      <c r="E36" s="25">
        <f>VLOOKUP($A36,'HALF YEARLY(Entry)'!$1:$1048576,5,0)</f>
        <v>0</v>
      </c>
      <c r="F36" s="25">
        <f>VLOOKUP($A36,'HALF YEARLY(Entry)'!$1:$1048576,6,0)</f>
        <v>0</v>
      </c>
      <c r="G36" s="25">
        <f>VLOOKUP($A36,'HALF YEARLY(Entry)'!$1:$1048576,7,0)</f>
        <v>0</v>
      </c>
      <c r="H36" s="25">
        <f>VLOOKUP($A36,'HALF YEARLY(Entry)'!$1:$1048576,8,0)</f>
        <v>0</v>
      </c>
      <c r="I36" s="25">
        <f>VLOOKUP($A36,'HALF YEARLY(Entry)'!$1:$1048576,9,0)</f>
        <v>0</v>
      </c>
      <c r="J36" s="25">
        <f>VLOOKUP($A36,'HALF YEARLY(Entry)'!$1:$1048576,10,0)</f>
        <v>0</v>
      </c>
      <c r="K36" s="25">
        <f>VLOOKUP($A36,'HALF YEARLY(Entry)'!$1:$1048576,11,0)</f>
        <v>0</v>
      </c>
      <c r="L36" s="25">
        <f>VLOOKUP($A36,'HALF YEARLY(Entry)'!$1:$1048576,12,0)</f>
        <v>0</v>
      </c>
      <c r="M36" s="25">
        <f>VLOOKUP($A36,'HALF YEARLY(Entry)'!$1:$1048576,13,0)</f>
        <v>0</v>
      </c>
      <c r="N36" s="25">
        <f>VLOOKUP($A36,'HALF YEARLY(Entry)'!$1:$1048576,14,0)</f>
        <v>0</v>
      </c>
      <c r="O36" s="30">
        <f>VLOOKUP($A36,'HALF YEARLY(Entry)'!$1:$1048576,15,0)</f>
        <v>0</v>
      </c>
      <c r="P36" s="25">
        <f t="shared" si="0"/>
        <v>0</v>
      </c>
      <c r="Q36" s="25" t="str">
        <f t="shared" si="1"/>
        <v>0 %</v>
      </c>
    </row>
    <row r="37" spans="1:17" x14ac:dyDescent="0.3">
      <c r="A37" s="21">
        <f>DETAILS!A37</f>
        <v>1367</v>
      </c>
      <c r="B37" s="3" t="str">
        <f>DETAILS!B37</f>
        <v>SATYAM  SINGH</v>
      </c>
      <c r="C37" s="25">
        <f>VLOOKUP($A37,'HALF YEARLY(Entry)'!$1:$1048576,3,0)</f>
        <v>0</v>
      </c>
      <c r="D37" s="25">
        <f>VLOOKUP($A37,'HALF YEARLY(Entry)'!$1:$1048576,4,0)</f>
        <v>0</v>
      </c>
      <c r="E37" s="25">
        <f>VLOOKUP($A37,'HALF YEARLY(Entry)'!$1:$1048576,5,0)</f>
        <v>0</v>
      </c>
      <c r="F37" s="25">
        <f>VLOOKUP($A37,'HALF YEARLY(Entry)'!$1:$1048576,6,0)</f>
        <v>0</v>
      </c>
      <c r="G37" s="25">
        <f>VLOOKUP($A37,'HALF YEARLY(Entry)'!$1:$1048576,7,0)</f>
        <v>0</v>
      </c>
      <c r="H37" s="25">
        <f>VLOOKUP($A37,'HALF YEARLY(Entry)'!$1:$1048576,8,0)</f>
        <v>0</v>
      </c>
      <c r="I37" s="25">
        <f>VLOOKUP($A37,'HALF YEARLY(Entry)'!$1:$1048576,9,0)</f>
        <v>0</v>
      </c>
      <c r="J37" s="25">
        <f>VLOOKUP($A37,'HALF YEARLY(Entry)'!$1:$1048576,10,0)</f>
        <v>0</v>
      </c>
      <c r="K37" s="25">
        <f>VLOOKUP($A37,'HALF YEARLY(Entry)'!$1:$1048576,11,0)</f>
        <v>0</v>
      </c>
      <c r="L37" s="25">
        <f>VLOOKUP($A37,'HALF YEARLY(Entry)'!$1:$1048576,12,0)</f>
        <v>0</v>
      </c>
      <c r="M37" s="25">
        <f>VLOOKUP($A37,'HALF YEARLY(Entry)'!$1:$1048576,13,0)</f>
        <v>0</v>
      </c>
      <c r="N37" s="25">
        <f>VLOOKUP($A37,'HALF YEARLY(Entry)'!$1:$1048576,14,0)</f>
        <v>0</v>
      </c>
      <c r="O37" s="30">
        <f>VLOOKUP($A37,'HALF YEARLY(Entry)'!$1:$1048576,15,0)</f>
        <v>0</v>
      </c>
      <c r="P37" s="25">
        <f t="shared" si="0"/>
        <v>0</v>
      </c>
      <c r="Q37" s="25" t="str">
        <f t="shared" si="1"/>
        <v>0 %</v>
      </c>
    </row>
    <row r="38" spans="1:17" x14ac:dyDescent="0.3">
      <c r="A38" s="21">
        <f>DETAILS!A38</f>
        <v>1629</v>
      </c>
      <c r="B38" s="3" t="str">
        <f>DETAILS!B38</f>
        <v>SHAVI JAISWAL</v>
      </c>
      <c r="C38" s="25">
        <f>VLOOKUP($A38,'HALF YEARLY(Entry)'!$1:$1048576,3,0)</f>
        <v>0</v>
      </c>
      <c r="D38" s="25">
        <f>VLOOKUP($A38,'HALF YEARLY(Entry)'!$1:$1048576,4,0)</f>
        <v>0</v>
      </c>
      <c r="E38" s="25">
        <f>VLOOKUP($A38,'HALF YEARLY(Entry)'!$1:$1048576,5,0)</f>
        <v>0</v>
      </c>
      <c r="F38" s="25">
        <f>VLOOKUP($A38,'HALF YEARLY(Entry)'!$1:$1048576,6,0)</f>
        <v>0</v>
      </c>
      <c r="G38" s="25">
        <f>VLOOKUP($A38,'HALF YEARLY(Entry)'!$1:$1048576,7,0)</f>
        <v>0</v>
      </c>
      <c r="H38" s="25">
        <f>VLOOKUP($A38,'HALF YEARLY(Entry)'!$1:$1048576,8,0)</f>
        <v>0</v>
      </c>
      <c r="I38" s="25">
        <f>VLOOKUP($A38,'HALF YEARLY(Entry)'!$1:$1048576,9,0)</f>
        <v>0</v>
      </c>
      <c r="J38" s="25">
        <f>VLOOKUP($A38,'HALF YEARLY(Entry)'!$1:$1048576,10,0)</f>
        <v>0</v>
      </c>
      <c r="K38" s="25">
        <f>VLOOKUP($A38,'HALF YEARLY(Entry)'!$1:$1048576,11,0)</f>
        <v>0</v>
      </c>
      <c r="L38" s="25">
        <f>VLOOKUP($A38,'HALF YEARLY(Entry)'!$1:$1048576,12,0)</f>
        <v>0</v>
      </c>
      <c r="M38" s="25">
        <f>VLOOKUP($A38,'HALF YEARLY(Entry)'!$1:$1048576,13,0)</f>
        <v>0</v>
      </c>
      <c r="N38" s="25">
        <f>VLOOKUP($A38,'HALF YEARLY(Entry)'!$1:$1048576,14,0)</f>
        <v>0</v>
      </c>
      <c r="O38" s="30">
        <f>VLOOKUP($A38,'HALF YEARLY(Entry)'!$1:$1048576,15,0)</f>
        <v>0</v>
      </c>
      <c r="P38" s="25">
        <f t="shared" si="0"/>
        <v>0</v>
      </c>
      <c r="Q38" s="25" t="str">
        <f t="shared" si="1"/>
        <v>0 %</v>
      </c>
    </row>
    <row r="39" spans="1:17" x14ac:dyDescent="0.3">
      <c r="A39" s="21">
        <f>DETAILS!A39</f>
        <v>1667</v>
      </c>
      <c r="B39" s="3" t="str">
        <f>DETAILS!B39</f>
        <v>SHIVA VERMA</v>
      </c>
      <c r="C39" s="25">
        <f>VLOOKUP($A39,'HALF YEARLY(Entry)'!$1:$1048576,3,0)</f>
        <v>0</v>
      </c>
      <c r="D39" s="25">
        <f>VLOOKUP($A39,'HALF YEARLY(Entry)'!$1:$1048576,4,0)</f>
        <v>0</v>
      </c>
      <c r="E39" s="25">
        <f>VLOOKUP($A39,'HALF YEARLY(Entry)'!$1:$1048576,5,0)</f>
        <v>0</v>
      </c>
      <c r="F39" s="25">
        <f>VLOOKUP($A39,'HALF YEARLY(Entry)'!$1:$1048576,6,0)</f>
        <v>0</v>
      </c>
      <c r="G39" s="25">
        <f>VLOOKUP($A39,'HALF YEARLY(Entry)'!$1:$1048576,7,0)</f>
        <v>0</v>
      </c>
      <c r="H39" s="25">
        <f>VLOOKUP($A39,'HALF YEARLY(Entry)'!$1:$1048576,8,0)</f>
        <v>0</v>
      </c>
      <c r="I39" s="25">
        <f>VLOOKUP($A39,'HALF YEARLY(Entry)'!$1:$1048576,9,0)</f>
        <v>0</v>
      </c>
      <c r="J39" s="25">
        <f>VLOOKUP($A39,'HALF YEARLY(Entry)'!$1:$1048576,10,0)</f>
        <v>0</v>
      </c>
      <c r="K39" s="25">
        <f>VLOOKUP($A39,'HALF YEARLY(Entry)'!$1:$1048576,11,0)</f>
        <v>0</v>
      </c>
      <c r="L39" s="25">
        <f>VLOOKUP($A39,'HALF YEARLY(Entry)'!$1:$1048576,12,0)</f>
        <v>0</v>
      </c>
      <c r="M39" s="25">
        <f>VLOOKUP($A39,'HALF YEARLY(Entry)'!$1:$1048576,13,0)</f>
        <v>0</v>
      </c>
      <c r="N39" s="25">
        <f>VLOOKUP($A39,'HALF YEARLY(Entry)'!$1:$1048576,14,0)</f>
        <v>0</v>
      </c>
      <c r="O39" s="30">
        <f>VLOOKUP($A39,'HALF YEARLY(Entry)'!$1:$1048576,15,0)</f>
        <v>0</v>
      </c>
      <c r="P39" s="25">
        <f t="shared" si="0"/>
        <v>0</v>
      </c>
      <c r="Q39" s="25" t="str">
        <f t="shared" si="1"/>
        <v>0 %</v>
      </c>
    </row>
    <row r="40" spans="1:17" x14ac:dyDescent="0.3">
      <c r="A40" s="21">
        <f>DETAILS!A40</f>
        <v>1614</v>
      </c>
      <c r="B40" s="3" t="str">
        <f>DETAILS!B40</f>
        <v>SHRISTI PATEL</v>
      </c>
      <c r="C40" s="25">
        <f>VLOOKUP($A40,'HALF YEARLY(Entry)'!$1:$1048576,3,0)</f>
        <v>0</v>
      </c>
      <c r="D40" s="25">
        <f>VLOOKUP($A40,'HALF YEARLY(Entry)'!$1:$1048576,4,0)</f>
        <v>0</v>
      </c>
      <c r="E40" s="25">
        <f>VLOOKUP($A40,'HALF YEARLY(Entry)'!$1:$1048576,5,0)</f>
        <v>0</v>
      </c>
      <c r="F40" s="25">
        <f>VLOOKUP($A40,'HALF YEARLY(Entry)'!$1:$1048576,6,0)</f>
        <v>0</v>
      </c>
      <c r="G40" s="25">
        <f>VLOOKUP($A40,'HALF YEARLY(Entry)'!$1:$1048576,7,0)</f>
        <v>0</v>
      </c>
      <c r="H40" s="25">
        <f>VLOOKUP($A40,'HALF YEARLY(Entry)'!$1:$1048576,8,0)</f>
        <v>0</v>
      </c>
      <c r="I40" s="25">
        <f>VLOOKUP($A40,'HALF YEARLY(Entry)'!$1:$1048576,9,0)</f>
        <v>0</v>
      </c>
      <c r="J40" s="25">
        <f>VLOOKUP($A40,'HALF YEARLY(Entry)'!$1:$1048576,10,0)</f>
        <v>0</v>
      </c>
      <c r="K40" s="25">
        <f>VLOOKUP($A40,'HALF YEARLY(Entry)'!$1:$1048576,11,0)</f>
        <v>0</v>
      </c>
      <c r="L40" s="25">
        <f>VLOOKUP($A40,'HALF YEARLY(Entry)'!$1:$1048576,12,0)</f>
        <v>0</v>
      </c>
      <c r="M40" s="25">
        <f>VLOOKUP($A40,'HALF YEARLY(Entry)'!$1:$1048576,13,0)</f>
        <v>0</v>
      </c>
      <c r="N40" s="25">
        <f>VLOOKUP($A40,'HALF YEARLY(Entry)'!$1:$1048576,14,0)</f>
        <v>0</v>
      </c>
      <c r="O40" s="30">
        <f>VLOOKUP($A40,'HALF YEARLY(Entry)'!$1:$1048576,15,0)</f>
        <v>0</v>
      </c>
      <c r="P40" s="25">
        <f t="shared" si="0"/>
        <v>0</v>
      </c>
      <c r="Q40" s="25" t="str">
        <f t="shared" si="1"/>
        <v>0 %</v>
      </c>
    </row>
    <row r="41" spans="1:17" x14ac:dyDescent="0.3">
      <c r="A41" s="21">
        <f>DETAILS!A41</f>
        <v>989</v>
      </c>
      <c r="B41" s="3" t="str">
        <f>DETAILS!B41</f>
        <v>SHUBHAM KUMAR VERMA</v>
      </c>
      <c r="C41" s="25">
        <f>VLOOKUP($A41,'HALF YEARLY(Entry)'!$1:$1048576,3,0)</f>
        <v>0</v>
      </c>
      <c r="D41" s="25">
        <f>VLOOKUP($A41,'HALF YEARLY(Entry)'!$1:$1048576,4,0)</f>
        <v>0</v>
      </c>
      <c r="E41" s="25">
        <f>VLOOKUP($A41,'HALF YEARLY(Entry)'!$1:$1048576,5,0)</f>
        <v>0</v>
      </c>
      <c r="F41" s="25">
        <f>VLOOKUP($A41,'HALF YEARLY(Entry)'!$1:$1048576,6,0)</f>
        <v>0</v>
      </c>
      <c r="G41" s="25">
        <f>VLOOKUP($A41,'HALF YEARLY(Entry)'!$1:$1048576,7,0)</f>
        <v>0</v>
      </c>
      <c r="H41" s="25">
        <f>VLOOKUP($A41,'HALF YEARLY(Entry)'!$1:$1048576,8,0)</f>
        <v>0</v>
      </c>
      <c r="I41" s="25">
        <f>VLOOKUP($A41,'HALF YEARLY(Entry)'!$1:$1048576,9,0)</f>
        <v>0</v>
      </c>
      <c r="J41" s="25">
        <f>VLOOKUP($A41,'HALF YEARLY(Entry)'!$1:$1048576,10,0)</f>
        <v>0</v>
      </c>
      <c r="K41" s="25">
        <f>VLOOKUP($A41,'HALF YEARLY(Entry)'!$1:$1048576,11,0)</f>
        <v>0</v>
      </c>
      <c r="L41" s="25">
        <f>VLOOKUP($A41,'HALF YEARLY(Entry)'!$1:$1048576,12,0)</f>
        <v>0</v>
      </c>
      <c r="M41" s="25">
        <f>VLOOKUP($A41,'HALF YEARLY(Entry)'!$1:$1048576,13,0)</f>
        <v>0</v>
      </c>
      <c r="N41" s="25">
        <f>VLOOKUP($A41,'HALF YEARLY(Entry)'!$1:$1048576,14,0)</f>
        <v>0</v>
      </c>
      <c r="O41" s="30">
        <f>VLOOKUP($A41,'HALF YEARLY(Entry)'!$1:$1048576,15,0)</f>
        <v>0</v>
      </c>
      <c r="P41" s="25">
        <f t="shared" si="0"/>
        <v>0</v>
      </c>
      <c r="Q41" s="25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46" t="s">
        <v>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8" ht="24.75" customHeight="1" x14ac:dyDescent="0.3">
      <c r="A2" s="38" t="s">
        <v>69</v>
      </c>
      <c r="B2" s="38" t="s">
        <v>4</v>
      </c>
      <c r="C2" s="38" t="s">
        <v>7</v>
      </c>
      <c r="D2" s="38"/>
      <c r="E2" s="38"/>
      <c r="F2" s="38" t="s">
        <v>8</v>
      </c>
      <c r="G2" s="38"/>
      <c r="H2" s="38"/>
      <c r="I2" s="38" t="s">
        <v>9</v>
      </c>
      <c r="J2" s="38"/>
      <c r="K2" s="38"/>
      <c r="L2" s="38" t="s">
        <v>73</v>
      </c>
      <c r="M2" s="38"/>
      <c r="N2" s="38"/>
      <c r="O2" s="47" t="s">
        <v>77</v>
      </c>
      <c r="P2" s="48"/>
      <c r="Q2" s="49"/>
      <c r="R2" s="45" t="s">
        <v>76</v>
      </c>
      <c r="S2" s="45"/>
      <c r="T2" s="45"/>
      <c r="U2" s="45" t="s">
        <v>43</v>
      </c>
      <c r="V2" s="45" t="s">
        <v>44</v>
      </c>
      <c r="W2" s="36" t="s">
        <v>45</v>
      </c>
      <c r="X2" s="36" t="s">
        <v>46</v>
      </c>
      <c r="Y2" s="36" t="s">
        <v>47</v>
      </c>
      <c r="Z2" s="36" t="s">
        <v>48</v>
      </c>
      <c r="AA2" s="45" t="s">
        <v>49</v>
      </c>
      <c r="AB2" s="50"/>
    </row>
    <row r="3" spans="1:28" ht="20.25" customHeight="1" x14ac:dyDescent="0.3">
      <c r="A3" s="38"/>
      <c r="B3" s="38"/>
      <c r="C3" s="24" t="s">
        <v>50</v>
      </c>
      <c r="D3" s="24" t="s">
        <v>51</v>
      </c>
      <c r="E3" s="24" t="s">
        <v>68</v>
      </c>
      <c r="F3" s="24" t="s">
        <v>50</v>
      </c>
      <c r="G3" s="24" t="s">
        <v>51</v>
      </c>
      <c r="H3" s="24" t="s">
        <v>68</v>
      </c>
      <c r="I3" s="24" t="s">
        <v>50</v>
      </c>
      <c r="J3" s="24" t="s">
        <v>51</v>
      </c>
      <c r="K3" s="24" t="s">
        <v>68</v>
      </c>
      <c r="L3" s="24" t="s">
        <v>50</v>
      </c>
      <c r="M3" s="24" t="s">
        <v>51</v>
      </c>
      <c r="N3" s="24" t="s">
        <v>68</v>
      </c>
      <c r="O3" s="24" t="s">
        <v>50</v>
      </c>
      <c r="P3" s="24" t="s">
        <v>51</v>
      </c>
      <c r="Q3" s="24" t="s">
        <v>68</v>
      </c>
      <c r="R3" s="24" t="s">
        <v>50</v>
      </c>
      <c r="S3" s="24" t="s">
        <v>51</v>
      </c>
      <c r="T3" s="24" t="s">
        <v>68</v>
      </c>
      <c r="U3" s="45"/>
      <c r="V3" s="45"/>
      <c r="W3" s="37"/>
      <c r="X3" s="37"/>
      <c r="Y3" s="37"/>
      <c r="Z3" s="37"/>
      <c r="AA3" s="45"/>
      <c r="AB3" s="50"/>
    </row>
    <row r="4" spans="1:28" x14ac:dyDescent="0.3">
      <c r="A4" s="3">
        <f>DETAILS!A3</f>
        <v>1454</v>
      </c>
      <c r="B4" s="3" t="str">
        <f>DETAILS!B3</f>
        <v>AARUSH SONI</v>
      </c>
      <c r="C4" s="25">
        <f>VLOOKUP($A4,'UT-I '!$1:$1048576,3,0)</f>
        <v>0</v>
      </c>
      <c r="D4" s="25">
        <f>IFERROR(ROUND(VLOOKUP($A4,'HALF YEARLY'!$1:$1048576,3,0)*0.8,0),VLOOKUP($A4,'HALF YEARLY'!$1:$1048576,3,0))</f>
        <v>0</v>
      </c>
      <c r="E4" s="31">
        <f t="shared" ref="E4:E41" si="0">SUM(C4:D4)</f>
        <v>0</v>
      </c>
      <c r="F4" s="25">
        <f>VLOOKUP($A4,'UT-I '!$1:$1048576,4,0)</f>
        <v>0</v>
      </c>
      <c r="G4" s="25">
        <f>IFERROR(ROUND(VLOOKUP($A4,'HALF YEARLY'!$1:$1048576,4,0)*0.8,0),VLOOKUP($A4,'HALF YEARLY'!$1:$1048576,4,0))</f>
        <v>0</v>
      </c>
      <c r="H4" s="31">
        <f t="shared" ref="H4:H41" si="1">SUM(F4:G4)</f>
        <v>0</v>
      </c>
      <c r="I4" s="25">
        <f>VLOOKUP($A4,'UT-I '!$1:$1048576,5,0)</f>
        <v>0</v>
      </c>
      <c r="J4" s="25">
        <f>IFERROR(ROUND(VLOOKUP($A4,'HALF YEARLY'!$1:$1048576,5,0)*0.8,0),VLOOKUP($A4,'HALF YEARLY'!$1:$1048576,5,0))</f>
        <v>0</v>
      </c>
      <c r="K4" s="31">
        <f t="shared" ref="K4:K41" si="2">SUM(I4:J4)</f>
        <v>0</v>
      </c>
      <c r="L4" s="25">
        <f>VLOOKUP($A4,'UT-I '!$1:$1048576,6,0)</f>
        <v>0</v>
      </c>
      <c r="M4" s="25">
        <f>IFERROR(ROUND(VLOOKUP($A4,'HALF YEARLY'!$1:$1048576,6,0)*0.8,0),VLOOKUP($A4,'HALF YEARLY'!$1:$1048576,6,0))</f>
        <v>0</v>
      </c>
      <c r="N4" s="31">
        <f t="shared" ref="N4:N41" si="3">SUM(L4:M4)</f>
        <v>0</v>
      </c>
      <c r="O4" s="25">
        <f>VLOOKUP($A4,'UT-I '!$1:$1048576,7,0)</f>
        <v>0</v>
      </c>
      <c r="P4" s="25">
        <f>IFERROR(ROUND(VLOOKUP($A4,'HALF YEARLY'!$1:$1048576,7,0)*0.8,0),VLOOKUP($A4,'HALF YEARLY'!$1:$1048576,7,0))</f>
        <v>0</v>
      </c>
      <c r="Q4" s="31">
        <f>SUM(O4:P4)</f>
        <v>0</v>
      </c>
      <c r="R4" s="25">
        <f>VLOOKUP($A4,'UT-I '!$1:$1048576,8,0)</f>
        <v>0</v>
      </c>
      <c r="S4" s="25">
        <f>IFERROR(ROUND(VLOOKUP($A4,'HALF YEARLY'!$1:$1048576,8,0)*0.8,0),VLOOKUP($A4,'HALF YEARLY'!$1:$1048576,8,0))</f>
        <v>0</v>
      </c>
      <c r="T4" s="31">
        <f>SUM(R4:S4)</f>
        <v>0</v>
      </c>
      <c r="U4" s="25">
        <f>VLOOKUP($A4,'HALF YEARLY'!$1:$1048576,9,0)</f>
        <v>0</v>
      </c>
      <c r="V4" s="25">
        <f>VLOOKUP($A4,'HALF YEARLY'!$1:$1048576,10,0)</f>
        <v>0</v>
      </c>
      <c r="W4" s="25">
        <f>VLOOKUP($A4,'HALF YEARLY'!$1:$1048576,11,0)</f>
        <v>0</v>
      </c>
      <c r="X4" s="25">
        <f>VLOOKUP($A4,'HALF YEARLY'!$1:$1048576,12,0)</f>
        <v>0</v>
      </c>
      <c r="Y4" s="25">
        <f>VLOOKUP($A4,'HALF YEARLY'!$1:$1048576,13,0)</f>
        <v>0</v>
      </c>
      <c r="Z4" s="25">
        <f>VLOOKUP($A4,'HALF YEARLY'!$1:$1048576,14,0)</f>
        <v>0</v>
      </c>
      <c r="AA4" s="30">
        <f>VLOOKUP($A4,'HALF YEARLY'!$1:$1048576,15,0)</f>
        <v>0</v>
      </c>
    </row>
    <row r="5" spans="1:28" x14ac:dyDescent="0.3">
      <c r="A5" s="3">
        <f>DETAILS!A4</f>
        <v>1680</v>
      </c>
      <c r="B5" s="3" t="str">
        <f>DETAILS!B4</f>
        <v>AARVI JAISWAL</v>
      </c>
      <c r="C5" s="25">
        <f>VLOOKUP($A5,'UT-I '!$1:$1048576,3,0)</f>
        <v>0</v>
      </c>
      <c r="D5" s="25">
        <f>IFERROR(ROUND(VLOOKUP($A5,'HALF YEARLY'!$1:$1048576,3,0)*0.8,0),VLOOKUP($A5,'HALF YEARLY'!$1:$1048576,3,0))</f>
        <v>0</v>
      </c>
      <c r="E5" s="31">
        <f t="shared" si="0"/>
        <v>0</v>
      </c>
      <c r="F5" s="25">
        <f>VLOOKUP($A5,'UT-I '!$1:$1048576,4,0)</f>
        <v>0</v>
      </c>
      <c r="G5" s="25">
        <f>IFERROR(ROUND(VLOOKUP($A5,'HALF YEARLY'!$1:$1048576,4,0)*0.8,0),VLOOKUP($A5,'HALF YEARLY'!$1:$1048576,4,0))</f>
        <v>0</v>
      </c>
      <c r="H5" s="31">
        <f t="shared" si="1"/>
        <v>0</v>
      </c>
      <c r="I5" s="25">
        <f>VLOOKUP($A5,'UT-I '!$1:$1048576,5,0)</f>
        <v>0</v>
      </c>
      <c r="J5" s="25">
        <f>IFERROR(ROUND(VLOOKUP($A5,'HALF YEARLY'!$1:$1048576,5,0)*0.8,0),VLOOKUP($A5,'HALF YEARLY'!$1:$1048576,5,0))</f>
        <v>0</v>
      </c>
      <c r="K5" s="31">
        <f t="shared" si="2"/>
        <v>0</v>
      </c>
      <c r="L5" s="25">
        <f>VLOOKUP($A5,'UT-I '!$1:$1048576,6,0)</f>
        <v>0</v>
      </c>
      <c r="M5" s="25">
        <f>IFERROR(ROUND(VLOOKUP($A5,'HALF YEARLY'!$1:$1048576,6,0)*0.8,0),VLOOKUP($A5,'HALF YEARLY'!$1:$1048576,6,0))</f>
        <v>0</v>
      </c>
      <c r="N5" s="31">
        <f t="shared" si="3"/>
        <v>0</v>
      </c>
      <c r="O5" s="25">
        <f>VLOOKUP($A5,'UT-I '!$1:$1048576,7,0)</f>
        <v>0</v>
      </c>
      <c r="P5" s="25">
        <f>IFERROR(ROUND(VLOOKUP($A5,'HALF YEARLY'!$1:$1048576,7,0)*0.8,0),VLOOKUP($A5,'HALF YEARLY'!$1:$1048576,7,0))</f>
        <v>0</v>
      </c>
      <c r="Q5" s="31">
        <f t="shared" ref="Q5:Q41" si="4">SUM(O5:P5)</f>
        <v>0</v>
      </c>
      <c r="R5" s="25">
        <f>VLOOKUP($A5,'UT-I '!$1:$1048576,8,0)</f>
        <v>0</v>
      </c>
      <c r="S5" s="25">
        <f>IFERROR(ROUND(VLOOKUP($A5,'HALF YEARLY'!$1:$1048576,8,0)*0.8,0),VLOOKUP($A5,'HALF YEARLY'!$1:$1048576,8,0))</f>
        <v>0</v>
      </c>
      <c r="T5" s="31">
        <f t="shared" ref="T5:T41" si="5">SUM(R5:S5)</f>
        <v>0</v>
      </c>
      <c r="U5" s="25">
        <f>VLOOKUP($A5,'HALF YEARLY'!$1:$1048576,9,0)</f>
        <v>0</v>
      </c>
      <c r="V5" s="25">
        <f>VLOOKUP($A5,'HALF YEARLY'!$1:$1048576,10,0)</f>
        <v>0</v>
      </c>
      <c r="W5" s="25">
        <f>VLOOKUP($A5,'HALF YEARLY'!$1:$1048576,11,0)</f>
        <v>0</v>
      </c>
      <c r="X5" s="25">
        <f>VLOOKUP($A5,'HALF YEARLY'!$1:$1048576,12,0)</f>
        <v>0</v>
      </c>
      <c r="Y5" s="25">
        <f>VLOOKUP($A5,'HALF YEARLY'!$1:$1048576,13,0)</f>
        <v>0</v>
      </c>
      <c r="Z5" s="25">
        <f>VLOOKUP($A5,'HALF YEARLY'!$1:$1048576,14,0)</f>
        <v>0</v>
      </c>
      <c r="AA5" s="30">
        <f>VLOOKUP($A5,'HALF YEARLY'!$1:$1048576,15,0)</f>
        <v>0</v>
      </c>
    </row>
    <row r="6" spans="1:28" x14ac:dyDescent="0.3">
      <c r="A6" s="3">
        <f>DETAILS!A5</f>
        <v>758</v>
      </c>
      <c r="B6" s="3" t="str">
        <f>DETAILS!B5</f>
        <v>ABDUL AHAD</v>
      </c>
      <c r="C6" s="25">
        <f>VLOOKUP($A6,'UT-I '!$1:$1048576,3,0)</f>
        <v>0</v>
      </c>
      <c r="D6" s="25">
        <f>IFERROR(ROUND(VLOOKUP($A6,'HALF YEARLY'!$1:$1048576,3,0)*0.8,0),VLOOKUP($A6,'HALF YEARLY'!$1:$1048576,3,0))</f>
        <v>0</v>
      </c>
      <c r="E6" s="31">
        <f t="shared" si="0"/>
        <v>0</v>
      </c>
      <c r="F6" s="25">
        <f>VLOOKUP($A6,'UT-I '!$1:$1048576,4,0)</f>
        <v>0</v>
      </c>
      <c r="G6" s="25">
        <f>IFERROR(ROUND(VLOOKUP($A6,'HALF YEARLY'!$1:$1048576,4,0)*0.8,0),VLOOKUP($A6,'HALF YEARLY'!$1:$1048576,4,0))</f>
        <v>0</v>
      </c>
      <c r="H6" s="31">
        <f t="shared" si="1"/>
        <v>0</v>
      </c>
      <c r="I6" s="25">
        <f>VLOOKUP($A6,'UT-I '!$1:$1048576,5,0)</f>
        <v>0</v>
      </c>
      <c r="J6" s="25">
        <f>IFERROR(ROUND(VLOOKUP($A6,'HALF YEARLY'!$1:$1048576,5,0)*0.8,0),VLOOKUP($A6,'HALF YEARLY'!$1:$1048576,5,0))</f>
        <v>0</v>
      </c>
      <c r="K6" s="31">
        <f t="shared" si="2"/>
        <v>0</v>
      </c>
      <c r="L6" s="25">
        <f>VLOOKUP($A6,'UT-I '!$1:$1048576,6,0)</f>
        <v>0</v>
      </c>
      <c r="M6" s="25">
        <f>IFERROR(ROUND(VLOOKUP($A6,'HALF YEARLY'!$1:$1048576,6,0)*0.8,0),VLOOKUP($A6,'HALF YEARLY'!$1:$1048576,6,0))</f>
        <v>0</v>
      </c>
      <c r="N6" s="31">
        <f t="shared" si="3"/>
        <v>0</v>
      </c>
      <c r="O6" s="25">
        <f>VLOOKUP($A6,'UT-I '!$1:$1048576,7,0)</f>
        <v>0</v>
      </c>
      <c r="P6" s="25">
        <f>IFERROR(ROUND(VLOOKUP($A6,'HALF YEARLY'!$1:$1048576,7,0)*0.8,0),VLOOKUP($A6,'HALF YEARLY'!$1:$1048576,7,0))</f>
        <v>0</v>
      </c>
      <c r="Q6" s="31">
        <f t="shared" si="4"/>
        <v>0</v>
      </c>
      <c r="R6" s="25">
        <f>VLOOKUP($A6,'UT-I '!$1:$1048576,8,0)</f>
        <v>0</v>
      </c>
      <c r="S6" s="25">
        <f>IFERROR(ROUND(VLOOKUP($A6,'HALF YEARLY'!$1:$1048576,8,0)*0.8,0),VLOOKUP($A6,'HALF YEARLY'!$1:$1048576,8,0))</f>
        <v>0</v>
      </c>
      <c r="T6" s="31">
        <f t="shared" si="5"/>
        <v>0</v>
      </c>
      <c r="U6" s="25">
        <f>VLOOKUP($A6,'HALF YEARLY'!$1:$1048576,9,0)</f>
        <v>0</v>
      </c>
      <c r="V6" s="25">
        <f>VLOOKUP($A6,'HALF YEARLY'!$1:$1048576,10,0)</f>
        <v>0</v>
      </c>
      <c r="W6" s="25">
        <f>VLOOKUP($A6,'HALF YEARLY'!$1:$1048576,11,0)</f>
        <v>0</v>
      </c>
      <c r="X6" s="25">
        <f>VLOOKUP($A6,'HALF YEARLY'!$1:$1048576,12,0)</f>
        <v>0</v>
      </c>
      <c r="Y6" s="25">
        <f>VLOOKUP($A6,'HALF YEARLY'!$1:$1048576,13,0)</f>
        <v>0</v>
      </c>
      <c r="Z6" s="25">
        <f>VLOOKUP($A6,'HALF YEARLY'!$1:$1048576,14,0)</f>
        <v>0</v>
      </c>
      <c r="AA6" s="30">
        <f>VLOOKUP($A6,'HALF YEARLY'!$1:$1048576,15,0)</f>
        <v>0</v>
      </c>
    </row>
    <row r="7" spans="1:28" x14ac:dyDescent="0.3">
      <c r="A7" s="3">
        <f>DETAILS!A6</f>
        <v>1616</v>
      </c>
      <c r="B7" s="3" t="str">
        <f>DETAILS!B6</f>
        <v>ANAV SINGH</v>
      </c>
      <c r="C7" s="25">
        <f>VLOOKUP($A7,'UT-I '!$1:$1048576,3,0)</f>
        <v>0</v>
      </c>
      <c r="D7" s="25">
        <f>IFERROR(ROUND(VLOOKUP($A7,'HALF YEARLY'!$1:$1048576,3,0)*0.8,0),VLOOKUP($A7,'HALF YEARLY'!$1:$1048576,3,0))</f>
        <v>0</v>
      </c>
      <c r="E7" s="31">
        <f t="shared" si="0"/>
        <v>0</v>
      </c>
      <c r="F7" s="25">
        <f>VLOOKUP($A7,'UT-I '!$1:$1048576,4,0)</f>
        <v>0</v>
      </c>
      <c r="G7" s="25">
        <f>IFERROR(ROUND(VLOOKUP($A7,'HALF YEARLY'!$1:$1048576,4,0)*0.8,0),VLOOKUP($A7,'HALF YEARLY'!$1:$1048576,4,0))</f>
        <v>0</v>
      </c>
      <c r="H7" s="31">
        <f t="shared" si="1"/>
        <v>0</v>
      </c>
      <c r="I7" s="25">
        <f>VLOOKUP($A7,'UT-I '!$1:$1048576,5,0)</f>
        <v>0</v>
      </c>
      <c r="J7" s="25">
        <f>IFERROR(ROUND(VLOOKUP($A7,'HALF YEARLY'!$1:$1048576,5,0)*0.8,0),VLOOKUP($A7,'HALF YEARLY'!$1:$1048576,5,0))</f>
        <v>0</v>
      </c>
      <c r="K7" s="31">
        <f t="shared" si="2"/>
        <v>0</v>
      </c>
      <c r="L7" s="25">
        <f>VLOOKUP($A7,'UT-I '!$1:$1048576,6,0)</f>
        <v>0</v>
      </c>
      <c r="M7" s="25">
        <f>IFERROR(ROUND(VLOOKUP($A7,'HALF YEARLY'!$1:$1048576,6,0)*0.8,0),VLOOKUP($A7,'HALF YEARLY'!$1:$1048576,6,0))</f>
        <v>0</v>
      </c>
      <c r="N7" s="31">
        <f t="shared" si="3"/>
        <v>0</v>
      </c>
      <c r="O7" s="25">
        <f>VLOOKUP($A7,'UT-I '!$1:$1048576,7,0)</f>
        <v>0</v>
      </c>
      <c r="P7" s="25">
        <f>IFERROR(ROUND(VLOOKUP($A7,'HALF YEARLY'!$1:$1048576,7,0)*0.8,0),VLOOKUP($A7,'HALF YEARLY'!$1:$1048576,7,0))</f>
        <v>0</v>
      </c>
      <c r="Q7" s="31">
        <f t="shared" si="4"/>
        <v>0</v>
      </c>
      <c r="R7" s="25">
        <f>VLOOKUP($A7,'UT-I '!$1:$1048576,8,0)</f>
        <v>0</v>
      </c>
      <c r="S7" s="25">
        <f>IFERROR(ROUND(VLOOKUP($A7,'HALF YEARLY'!$1:$1048576,8,0)*0.8,0),VLOOKUP($A7,'HALF YEARLY'!$1:$1048576,8,0))</f>
        <v>0</v>
      </c>
      <c r="T7" s="31">
        <f t="shared" si="5"/>
        <v>0</v>
      </c>
      <c r="U7" s="25">
        <f>VLOOKUP($A7,'HALF YEARLY'!$1:$1048576,9,0)</f>
        <v>0</v>
      </c>
      <c r="V7" s="25">
        <f>VLOOKUP($A7,'HALF YEARLY'!$1:$1048576,10,0)</f>
        <v>0</v>
      </c>
      <c r="W7" s="25">
        <f>VLOOKUP($A7,'HALF YEARLY'!$1:$1048576,11,0)</f>
        <v>0</v>
      </c>
      <c r="X7" s="25">
        <f>VLOOKUP($A7,'HALF YEARLY'!$1:$1048576,12,0)</f>
        <v>0</v>
      </c>
      <c r="Y7" s="25">
        <f>VLOOKUP($A7,'HALF YEARLY'!$1:$1048576,13,0)</f>
        <v>0</v>
      </c>
      <c r="Z7" s="25">
        <f>VLOOKUP($A7,'HALF YEARLY'!$1:$1048576,14,0)</f>
        <v>0</v>
      </c>
      <c r="AA7" s="30">
        <f>VLOOKUP($A7,'HALF YEARLY'!$1:$1048576,15,0)</f>
        <v>0</v>
      </c>
    </row>
    <row r="8" spans="1:28" x14ac:dyDescent="0.3">
      <c r="A8" s="3">
        <f>DETAILS!A7</f>
        <v>1443</v>
      </c>
      <c r="B8" s="3" t="str">
        <f>DETAILS!B7</f>
        <v>ANKIT KUMAR</v>
      </c>
      <c r="C8" s="25">
        <f>VLOOKUP($A8,'UT-I '!$1:$1048576,3,0)</f>
        <v>0</v>
      </c>
      <c r="D8" s="25">
        <f>IFERROR(ROUND(VLOOKUP($A8,'HALF YEARLY'!$1:$1048576,3,0)*0.8,0),VLOOKUP($A8,'HALF YEARLY'!$1:$1048576,3,0))</f>
        <v>0</v>
      </c>
      <c r="E8" s="31">
        <f t="shared" si="0"/>
        <v>0</v>
      </c>
      <c r="F8" s="25">
        <f>VLOOKUP($A8,'UT-I '!$1:$1048576,4,0)</f>
        <v>0</v>
      </c>
      <c r="G8" s="25">
        <f>IFERROR(ROUND(VLOOKUP($A8,'HALF YEARLY'!$1:$1048576,4,0)*0.8,0),VLOOKUP($A8,'HALF YEARLY'!$1:$1048576,4,0))</f>
        <v>0</v>
      </c>
      <c r="H8" s="31">
        <f t="shared" si="1"/>
        <v>0</v>
      </c>
      <c r="I8" s="25">
        <f>VLOOKUP($A8,'UT-I '!$1:$1048576,5,0)</f>
        <v>0</v>
      </c>
      <c r="J8" s="25">
        <f>IFERROR(ROUND(VLOOKUP($A8,'HALF YEARLY'!$1:$1048576,5,0)*0.8,0),VLOOKUP($A8,'HALF YEARLY'!$1:$1048576,5,0))</f>
        <v>0</v>
      </c>
      <c r="K8" s="31">
        <f t="shared" si="2"/>
        <v>0</v>
      </c>
      <c r="L8" s="25">
        <f>VLOOKUP($A8,'UT-I '!$1:$1048576,6,0)</f>
        <v>0</v>
      </c>
      <c r="M8" s="25">
        <f>IFERROR(ROUND(VLOOKUP($A8,'HALF YEARLY'!$1:$1048576,6,0)*0.8,0),VLOOKUP($A8,'HALF YEARLY'!$1:$1048576,6,0))</f>
        <v>0</v>
      </c>
      <c r="N8" s="31">
        <f t="shared" si="3"/>
        <v>0</v>
      </c>
      <c r="O8" s="25">
        <f>VLOOKUP($A8,'UT-I '!$1:$1048576,7,0)</f>
        <v>0</v>
      </c>
      <c r="P8" s="25">
        <f>IFERROR(ROUND(VLOOKUP($A8,'HALF YEARLY'!$1:$1048576,7,0)*0.8,0),VLOOKUP($A8,'HALF YEARLY'!$1:$1048576,7,0))</f>
        <v>0</v>
      </c>
      <c r="Q8" s="31">
        <f t="shared" si="4"/>
        <v>0</v>
      </c>
      <c r="R8" s="25">
        <f>VLOOKUP($A8,'UT-I '!$1:$1048576,8,0)</f>
        <v>0</v>
      </c>
      <c r="S8" s="25">
        <f>IFERROR(ROUND(VLOOKUP($A8,'HALF YEARLY'!$1:$1048576,8,0)*0.8,0),VLOOKUP($A8,'HALF YEARLY'!$1:$1048576,8,0))</f>
        <v>0</v>
      </c>
      <c r="T8" s="31">
        <f t="shared" si="5"/>
        <v>0</v>
      </c>
      <c r="U8" s="25">
        <f>VLOOKUP($A8,'HALF YEARLY'!$1:$1048576,9,0)</f>
        <v>0</v>
      </c>
      <c r="V8" s="25">
        <f>VLOOKUP($A8,'HALF YEARLY'!$1:$1048576,10,0)</f>
        <v>0</v>
      </c>
      <c r="W8" s="25">
        <f>VLOOKUP($A8,'HALF YEARLY'!$1:$1048576,11,0)</f>
        <v>0</v>
      </c>
      <c r="X8" s="25">
        <f>VLOOKUP($A8,'HALF YEARLY'!$1:$1048576,12,0)</f>
        <v>0</v>
      </c>
      <c r="Y8" s="25">
        <f>VLOOKUP($A8,'HALF YEARLY'!$1:$1048576,13,0)</f>
        <v>0</v>
      </c>
      <c r="Z8" s="25">
        <f>VLOOKUP($A8,'HALF YEARLY'!$1:$1048576,14,0)</f>
        <v>0</v>
      </c>
      <c r="AA8" s="30">
        <f>VLOOKUP($A8,'HALF YEARLY'!$1:$1048576,15,0)</f>
        <v>0</v>
      </c>
    </row>
    <row r="9" spans="1:28" x14ac:dyDescent="0.3">
      <c r="A9" s="3">
        <f>DETAILS!A8</f>
        <v>2100</v>
      </c>
      <c r="B9" s="3" t="str">
        <f>DETAILS!B8</f>
        <v>ANSH SHUKLA</v>
      </c>
      <c r="C9" s="25">
        <f>VLOOKUP($A9,'UT-I '!$1:$1048576,3,0)</f>
        <v>0</v>
      </c>
      <c r="D9" s="25">
        <f>IFERROR(ROUND(VLOOKUP($A9,'HALF YEARLY'!$1:$1048576,3,0)*0.8,0),VLOOKUP($A9,'HALF YEARLY'!$1:$1048576,3,0))</f>
        <v>0</v>
      </c>
      <c r="E9" s="31">
        <f t="shared" si="0"/>
        <v>0</v>
      </c>
      <c r="F9" s="25">
        <f>VLOOKUP($A9,'UT-I '!$1:$1048576,4,0)</f>
        <v>0</v>
      </c>
      <c r="G9" s="25">
        <f>IFERROR(ROUND(VLOOKUP($A9,'HALF YEARLY'!$1:$1048576,4,0)*0.8,0),VLOOKUP($A9,'HALF YEARLY'!$1:$1048576,4,0))</f>
        <v>0</v>
      </c>
      <c r="H9" s="31">
        <f t="shared" si="1"/>
        <v>0</v>
      </c>
      <c r="I9" s="25">
        <f>VLOOKUP($A9,'UT-I '!$1:$1048576,5,0)</f>
        <v>0</v>
      </c>
      <c r="J9" s="25">
        <f>IFERROR(ROUND(VLOOKUP($A9,'HALF YEARLY'!$1:$1048576,5,0)*0.8,0),VLOOKUP($A9,'HALF YEARLY'!$1:$1048576,5,0))</f>
        <v>0</v>
      </c>
      <c r="K9" s="31">
        <f t="shared" si="2"/>
        <v>0</v>
      </c>
      <c r="L9" s="25">
        <f>VLOOKUP($A9,'UT-I '!$1:$1048576,6,0)</f>
        <v>0</v>
      </c>
      <c r="M9" s="25">
        <f>IFERROR(ROUND(VLOOKUP($A9,'HALF YEARLY'!$1:$1048576,6,0)*0.8,0),VLOOKUP($A9,'HALF YEARLY'!$1:$1048576,6,0))</f>
        <v>0</v>
      </c>
      <c r="N9" s="31">
        <f t="shared" si="3"/>
        <v>0</v>
      </c>
      <c r="O9" s="25">
        <f>VLOOKUP($A9,'UT-I '!$1:$1048576,7,0)</f>
        <v>0</v>
      </c>
      <c r="P9" s="25">
        <f>IFERROR(ROUND(VLOOKUP($A9,'HALF YEARLY'!$1:$1048576,7,0)*0.8,0),VLOOKUP($A9,'HALF YEARLY'!$1:$1048576,7,0))</f>
        <v>0</v>
      </c>
      <c r="Q9" s="31">
        <f t="shared" si="4"/>
        <v>0</v>
      </c>
      <c r="R9" s="25">
        <f>VLOOKUP($A9,'UT-I '!$1:$1048576,8,0)</f>
        <v>0</v>
      </c>
      <c r="S9" s="25">
        <f>IFERROR(ROUND(VLOOKUP($A9,'HALF YEARLY'!$1:$1048576,8,0)*0.8,0),VLOOKUP($A9,'HALF YEARLY'!$1:$1048576,8,0))</f>
        <v>0</v>
      </c>
      <c r="T9" s="31">
        <f t="shared" si="5"/>
        <v>0</v>
      </c>
      <c r="U9" s="25">
        <f>VLOOKUP($A9,'HALF YEARLY'!$1:$1048576,9,0)</f>
        <v>0</v>
      </c>
      <c r="V9" s="25">
        <f>VLOOKUP($A9,'HALF YEARLY'!$1:$1048576,10,0)</f>
        <v>0</v>
      </c>
      <c r="W9" s="25">
        <f>VLOOKUP($A9,'HALF YEARLY'!$1:$1048576,11,0)</f>
        <v>0</v>
      </c>
      <c r="X9" s="25">
        <f>VLOOKUP($A9,'HALF YEARLY'!$1:$1048576,12,0)</f>
        <v>0</v>
      </c>
      <c r="Y9" s="25">
        <f>VLOOKUP($A9,'HALF YEARLY'!$1:$1048576,13,0)</f>
        <v>0</v>
      </c>
      <c r="Z9" s="25">
        <f>VLOOKUP($A9,'HALF YEARLY'!$1:$1048576,14,0)</f>
        <v>0</v>
      </c>
      <c r="AA9" s="30">
        <f>VLOOKUP($A9,'HALF YEARLY'!$1:$1048576,15,0)</f>
        <v>0</v>
      </c>
    </row>
    <row r="10" spans="1:28" x14ac:dyDescent="0.3">
      <c r="A10" s="3">
        <f>DETAILS!A9</f>
        <v>1767</v>
      </c>
      <c r="B10" s="3" t="str">
        <f>DETAILS!B9</f>
        <v>ANSHIKA MISHRA</v>
      </c>
      <c r="C10" s="25">
        <f>VLOOKUP($A10,'UT-I '!$1:$1048576,3,0)</f>
        <v>0</v>
      </c>
      <c r="D10" s="25">
        <f>IFERROR(ROUND(VLOOKUP($A10,'HALF YEARLY'!$1:$1048576,3,0)*0.8,0),VLOOKUP($A10,'HALF YEARLY'!$1:$1048576,3,0))</f>
        <v>0</v>
      </c>
      <c r="E10" s="31">
        <f t="shared" si="0"/>
        <v>0</v>
      </c>
      <c r="F10" s="25">
        <f>VLOOKUP($A10,'UT-I '!$1:$1048576,4,0)</f>
        <v>0</v>
      </c>
      <c r="G10" s="25">
        <f>IFERROR(ROUND(VLOOKUP($A10,'HALF YEARLY'!$1:$1048576,4,0)*0.8,0),VLOOKUP($A10,'HALF YEARLY'!$1:$1048576,4,0))</f>
        <v>0</v>
      </c>
      <c r="H10" s="31">
        <f t="shared" si="1"/>
        <v>0</v>
      </c>
      <c r="I10" s="25">
        <f>VLOOKUP($A10,'UT-I '!$1:$1048576,5,0)</f>
        <v>0</v>
      </c>
      <c r="J10" s="25">
        <f>IFERROR(ROUND(VLOOKUP($A10,'HALF YEARLY'!$1:$1048576,5,0)*0.8,0),VLOOKUP($A10,'HALF YEARLY'!$1:$1048576,5,0))</f>
        <v>0</v>
      </c>
      <c r="K10" s="31">
        <f t="shared" si="2"/>
        <v>0</v>
      </c>
      <c r="L10" s="25">
        <f>VLOOKUP($A10,'UT-I '!$1:$1048576,6,0)</f>
        <v>0</v>
      </c>
      <c r="M10" s="25">
        <f>IFERROR(ROUND(VLOOKUP($A10,'HALF YEARLY'!$1:$1048576,6,0)*0.8,0),VLOOKUP($A10,'HALF YEARLY'!$1:$1048576,6,0))</f>
        <v>0</v>
      </c>
      <c r="N10" s="31">
        <f t="shared" si="3"/>
        <v>0</v>
      </c>
      <c r="O10" s="25">
        <f>VLOOKUP($A10,'UT-I '!$1:$1048576,7,0)</f>
        <v>0</v>
      </c>
      <c r="P10" s="25">
        <f>IFERROR(ROUND(VLOOKUP($A10,'HALF YEARLY'!$1:$1048576,7,0)*0.8,0),VLOOKUP($A10,'HALF YEARLY'!$1:$1048576,7,0))</f>
        <v>0</v>
      </c>
      <c r="Q10" s="31">
        <f t="shared" si="4"/>
        <v>0</v>
      </c>
      <c r="R10" s="25">
        <f>VLOOKUP($A10,'UT-I '!$1:$1048576,8,0)</f>
        <v>0</v>
      </c>
      <c r="S10" s="25">
        <f>IFERROR(ROUND(VLOOKUP($A10,'HALF YEARLY'!$1:$1048576,8,0)*0.8,0),VLOOKUP($A10,'HALF YEARLY'!$1:$1048576,8,0))</f>
        <v>0</v>
      </c>
      <c r="T10" s="31">
        <f t="shared" si="5"/>
        <v>0</v>
      </c>
      <c r="U10" s="25">
        <f>VLOOKUP($A10,'HALF YEARLY'!$1:$1048576,9,0)</f>
        <v>0</v>
      </c>
      <c r="V10" s="25">
        <f>VLOOKUP($A10,'HALF YEARLY'!$1:$1048576,10,0)</f>
        <v>0</v>
      </c>
      <c r="W10" s="25">
        <f>VLOOKUP($A10,'HALF YEARLY'!$1:$1048576,11,0)</f>
        <v>0</v>
      </c>
      <c r="X10" s="25">
        <f>VLOOKUP($A10,'HALF YEARLY'!$1:$1048576,12,0)</f>
        <v>0</v>
      </c>
      <c r="Y10" s="25">
        <f>VLOOKUP($A10,'HALF YEARLY'!$1:$1048576,13,0)</f>
        <v>0</v>
      </c>
      <c r="Z10" s="25">
        <f>VLOOKUP($A10,'HALF YEARLY'!$1:$1048576,14,0)</f>
        <v>0</v>
      </c>
      <c r="AA10" s="30">
        <f>VLOOKUP($A10,'HALF YEARLY'!$1:$1048576,15,0)</f>
        <v>0</v>
      </c>
    </row>
    <row r="11" spans="1:28" x14ac:dyDescent="0.3">
      <c r="A11" s="3">
        <f>DETAILS!A10</f>
        <v>1486</v>
      </c>
      <c r="B11" s="3" t="str">
        <f>DETAILS!B10</f>
        <v>ANUBHAV CHOUDHARY</v>
      </c>
      <c r="C11" s="25">
        <f>VLOOKUP($A11,'UT-I '!$1:$1048576,3,0)</f>
        <v>0</v>
      </c>
      <c r="D11" s="25">
        <f>IFERROR(ROUND(VLOOKUP($A11,'HALF YEARLY'!$1:$1048576,3,0)*0.8,0),VLOOKUP($A11,'HALF YEARLY'!$1:$1048576,3,0))</f>
        <v>0</v>
      </c>
      <c r="E11" s="31">
        <f t="shared" si="0"/>
        <v>0</v>
      </c>
      <c r="F11" s="25">
        <f>VLOOKUP($A11,'UT-I '!$1:$1048576,4,0)</f>
        <v>0</v>
      </c>
      <c r="G11" s="25">
        <f>IFERROR(ROUND(VLOOKUP($A11,'HALF YEARLY'!$1:$1048576,4,0)*0.8,0),VLOOKUP($A11,'HALF YEARLY'!$1:$1048576,4,0))</f>
        <v>0</v>
      </c>
      <c r="H11" s="31">
        <f t="shared" si="1"/>
        <v>0</v>
      </c>
      <c r="I11" s="25">
        <f>VLOOKUP($A11,'UT-I '!$1:$1048576,5,0)</f>
        <v>0</v>
      </c>
      <c r="J11" s="25">
        <f>IFERROR(ROUND(VLOOKUP($A11,'HALF YEARLY'!$1:$1048576,5,0)*0.8,0),VLOOKUP($A11,'HALF YEARLY'!$1:$1048576,5,0))</f>
        <v>0</v>
      </c>
      <c r="K11" s="31">
        <f t="shared" si="2"/>
        <v>0</v>
      </c>
      <c r="L11" s="25">
        <f>VLOOKUP($A11,'UT-I '!$1:$1048576,6,0)</f>
        <v>0</v>
      </c>
      <c r="M11" s="25">
        <f>IFERROR(ROUND(VLOOKUP($A11,'HALF YEARLY'!$1:$1048576,6,0)*0.8,0),VLOOKUP($A11,'HALF YEARLY'!$1:$1048576,6,0))</f>
        <v>0</v>
      </c>
      <c r="N11" s="31">
        <f t="shared" si="3"/>
        <v>0</v>
      </c>
      <c r="O11" s="25">
        <f>VLOOKUP($A11,'UT-I '!$1:$1048576,7,0)</f>
        <v>0</v>
      </c>
      <c r="P11" s="25">
        <f>IFERROR(ROUND(VLOOKUP($A11,'HALF YEARLY'!$1:$1048576,7,0)*0.8,0),VLOOKUP($A11,'HALF YEARLY'!$1:$1048576,7,0))</f>
        <v>0</v>
      </c>
      <c r="Q11" s="31">
        <f t="shared" si="4"/>
        <v>0</v>
      </c>
      <c r="R11" s="25">
        <f>VLOOKUP($A11,'UT-I '!$1:$1048576,8,0)</f>
        <v>0</v>
      </c>
      <c r="S11" s="25">
        <f>IFERROR(ROUND(VLOOKUP($A11,'HALF YEARLY'!$1:$1048576,8,0)*0.8,0),VLOOKUP($A11,'HALF YEARLY'!$1:$1048576,8,0))</f>
        <v>0</v>
      </c>
      <c r="T11" s="31">
        <f t="shared" si="5"/>
        <v>0</v>
      </c>
      <c r="U11" s="25">
        <f>VLOOKUP($A11,'HALF YEARLY'!$1:$1048576,9,0)</f>
        <v>0</v>
      </c>
      <c r="V11" s="25">
        <f>VLOOKUP($A11,'HALF YEARLY'!$1:$1048576,10,0)</f>
        <v>0</v>
      </c>
      <c r="W11" s="25">
        <f>VLOOKUP($A11,'HALF YEARLY'!$1:$1048576,11,0)</f>
        <v>0</v>
      </c>
      <c r="X11" s="25">
        <f>VLOOKUP($A11,'HALF YEARLY'!$1:$1048576,12,0)</f>
        <v>0</v>
      </c>
      <c r="Y11" s="25">
        <f>VLOOKUP($A11,'HALF YEARLY'!$1:$1048576,13,0)</f>
        <v>0</v>
      </c>
      <c r="Z11" s="25">
        <f>VLOOKUP($A11,'HALF YEARLY'!$1:$1048576,14,0)</f>
        <v>0</v>
      </c>
      <c r="AA11" s="30">
        <f>VLOOKUP($A11,'HALF YEARLY'!$1:$1048576,15,0)</f>
        <v>0</v>
      </c>
    </row>
    <row r="12" spans="1:28" x14ac:dyDescent="0.3">
      <c r="A12" s="3">
        <f>DETAILS!A11</f>
        <v>1615</v>
      </c>
      <c r="B12" s="3" t="str">
        <f>DETAILS!B11</f>
        <v>ARADHYA TIWARI</v>
      </c>
      <c r="C12" s="25">
        <f>VLOOKUP($A12,'UT-I '!$1:$1048576,3,0)</f>
        <v>0</v>
      </c>
      <c r="D12" s="25">
        <f>IFERROR(ROUND(VLOOKUP($A12,'HALF YEARLY'!$1:$1048576,3,0)*0.8,0),VLOOKUP($A12,'HALF YEARLY'!$1:$1048576,3,0))</f>
        <v>0</v>
      </c>
      <c r="E12" s="31">
        <f t="shared" si="0"/>
        <v>0</v>
      </c>
      <c r="F12" s="25">
        <f>VLOOKUP($A12,'UT-I '!$1:$1048576,4,0)</f>
        <v>0</v>
      </c>
      <c r="G12" s="25">
        <f>IFERROR(ROUND(VLOOKUP($A12,'HALF YEARLY'!$1:$1048576,4,0)*0.8,0),VLOOKUP($A12,'HALF YEARLY'!$1:$1048576,4,0))</f>
        <v>0</v>
      </c>
      <c r="H12" s="31">
        <f t="shared" si="1"/>
        <v>0</v>
      </c>
      <c r="I12" s="25">
        <f>VLOOKUP($A12,'UT-I '!$1:$1048576,5,0)</f>
        <v>0</v>
      </c>
      <c r="J12" s="25">
        <f>IFERROR(ROUND(VLOOKUP($A12,'HALF YEARLY'!$1:$1048576,5,0)*0.8,0),VLOOKUP($A12,'HALF YEARLY'!$1:$1048576,5,0))</f>
        <v>0</v>
      </c>
      <c r="K12" s="31">
        <f t="shared" si="2"/>
        <v>0</v>
      </c>
      <c r="L12" s="25">
        <f>VLOOKUP($A12,'UT-I '!$1:$1048576,6,0)</f>
        <v>0</v>
      </c>
      <c r="M12" s="25">
        <f>IFERROR(ROUND(VLOOKUP($A12,'HALF YEARLY'!$1:$1048576,6,0)*0.8,0),VLOOKUP($A12,'HALF YEARLY'!$1:$1048576,6,0))</f>
        <v>0</v>
      </c>
      <c r="N12" s="31">
        <f t="shared" si="3"/>
        <v>0</v>
      </c>
      <c r="O12" s="25">
        <f>VLOOKUP($A12,'UT-I '!$1:$1048576,7,0)</f>
        <v>0</v>
      </c>
      <c r="P12" s="25">
        <f>IFERROR(ROUND(VLOOKUP($A12,'HALF YEARLY'!$1:$1048576,7,0)*0.8,0),VLOOKUP($A12,'HALF YEARLY'!$1:$1048576,7,0))</f>
        <v>0</v>
      </c>
      <c r="Q12" s="31">
        <f t="shared" si="4"/>
        <v>0</v>
      </c>
      <c r="R12" s="25">
        <f>VLOOKUP($A12,'UT-I '!$1:$1048576,8,0)</f>
        <v>0</v>
      </c>
      <c r="S12" s="25">
        <f>IFERROR(ROUND(VLOOKUP($A12,'HALF YEARLY'!$1:$1048576,8,0)*0.8,0),VLOOKUP($A12,'HALF YEARLY'!$1:$1048576,8,0))</f>
        <v>0</v>
      </c>
      <c r="T12" s="31">
        <f t="shared" si="5"/>
        <v>0</v>
      </c>
      <c r="U12" s="25">
        <f>VLOOKUP($A12,'HALF YEARLY'!$1:$1048576,9,0)</f>
        <v>0</v>
      </c>
      <c r="V12" s="25">
        <f>VLOOKUP($A12,'HALF YEARLY'!$1:$1048576,10,0)</f>
        <v>0</v>
      </c>
      <c r="W12" s="25">
        <f>VLOOKUP($A12,'HALF YEARLY'!$1:$1048576,11,0)</f>
        <v>0</v>
      </c>
      <c r="X12" s="25">
        <f>VLOOKUP($A12,'HALF YEARLY'!$1:$1048576,12,0)</f>
        <v>0</v>
      </c>
      <c r="Y12" s="25">
        <f>VLOOKUP($A12,'HALF YEARLY'!$1:$1048576,13,0)</f>
        <v>0</v>
      </c>
      <c r="Z12" s="25">
        <f>VLOOKUP($A12,'HALF YEARLY'!$1:$1048576,14,0)</f>
        <v>0</v>
      </c>
      <c r="AA12" s="30">
        <f>VLOOKUP($A12,'HALF YEARLY'!$1:$1048576,15,0)</f>
        <v>0</v>
      </c>
    </row>
    <row r="13" spans="1:28" x14ac:dyDescent="0.3">
      <c r="A13" s="3">
        <f>DETAILS!A12</f>
        <v>993</v>
      </c>
      <c r="B13" s="3" t="str">
        <f>DETAILS!B12</f>
        <v>ARYAN MAURYA</v>
      </c>
      <c r="C13" s="25">
        <f>VLOOKUP($A13,'UT-I '!$1:$1048576,3,0)</f>
        <v>0</v>
      </c>
      <c r="D13" s="25">
        <f>IFERROR(ROUND(VLOOKUP($A13,'HALF YEARLY'!$1:$1048576,3,0)*0.8,0),VLOOKUP($A13,'HALF YEARLY'!$1:$1048576,3,0))</f>
        <v>0</v>
      </c>
      <c r="E13" s="31">
        <f t="shared" si="0"/>
        <v>0</v>
      </c>
      <c r="F13" s="25">
        <f>VLOOKUP($A13,'UT-I '!$1:$1048576,4,0)</f>
        <v>0</v>
      </c>
      <c r="G13" s="25">
        <f>IFERROR(ROUND(VLOOKUP($A13,'HALF YEARLY'!$1:$1048576,4,0)*0.8,0),VLOOKUP($A13,'HALF YEARLY'!$1:$1048576,4,0))</f>
        <v>0</v>
      </c>
      <c r="H13" s="31">
        <f t="shared" si="1"/>
        <v>0</v>
      </c>
      <c r="I13" s="25">
        <f>VLOOKUP($A13,'UT-I '!$1:$1048576,5,0)</f>
        <v>0</v>
      </c>
      <c r="J13" s="25">
        <f>IFERROR(ROUND(VLOOKUP($A13,'HALF YEARLY'!$1:$1048576,5,0)*0.8,0),VLOOKUP($A13,'HALF YEARLY'!$1:$1048576,5,0))</f>
        <v>0</v>
      </c>
      <c r="K13" s="31">
        <f t="shared" si="2"/>
        <v>0</v>
      </c>
      <c r="L13" s="25">
        <f>VLOOKUP($A13,'UT-I '!$1:$1048576,6,0)</f>
        <v>0</v>
      </c>
      <c r="M13" s="25">
        <f>IFERROR(ROUND(VLOOKUP($A13,'HALF YEARLY'!$1:$1048576,6,0)*0.8,0),VLOOKUP($A13,'HALF YEARLY'!$1:$1048576,6,0))</f>
        <v>0</v>
      </c>
      <c r="N13" s="31">
        <f t="shared" si="3"/>
        <v>0</v>
      </c>
      <c r="O13" s="25">
        <f>VLOOKUP($A13,'UT-I '!$1:$1048576,7,0)</f>
        <v>0</v>
      </c>
      <c r="P13" s="25">
        <f>IFERROR(ROUND(VLOOKUP($A13,'HALF YEARLY'!$1:$1048576,7,0)*0.8,0),VLOOKUP($A13,'HALF YEARLY'!$1:$1048576,7,0))</f>
        <v>0</v>
      </c>
      <c r="Q13" s="31">
        <f t="shared" si="4"/>
        <v>0</v>
      </c>
      <c r="R13" s="25">
        <f>VLOOKUP($A13,'UT-I '!$1:$1048576,8,0)</f>
        <v>0</v>
      </c>
      <c r="S13" s="25">
        <f>IFERROR(ROUND(VLOOKUP($A13,'HALF YEARLY'!$1:$1048576,8,0)*0.8,0),VLOOKUP($A13,'HALF YEARLY'!$1:$1048576,8,0))</f>
        <v>0</v>
      </c>
      <c r="T13" s="31">
        <f t="shared" si="5"/>
        <v>0</v>
      </c>
      <c r="U13" s="25">
        <f>VLOOKUP($A13,'HALF YEARLY'!$1:$1048576,9,0)</f>
        <v>0</v>
      </c>
      <c r="V13" s="25">
        <f>VLOOKUP($A13,'HALF YEARLY'!$1:$1048576,10,0)</f>
        <v>0</v>
      </c>
      <c r="W13" s="25">
        <f>VLOOKUP($A13,'HALF YEARLY'!$1:$1048576,11,0)</f>
        <v>0</v>
      </c>
      <c r="X13" s="25">
        <f>VLOOKUP($A13,'HALF YEARLY'!$1:$1048576,12,0)</f>
        <v>0</v>
      </c>
      <c r="Y13" s="25">
        <f>VLOOKUP($A13,'HALF YEARLY'!$1:$1048576,13,0)</f>
        <v>0</v>
      </c>
      <c r="Z13" s="25">
        <f>VLOOKUP($A13,'HALF YEARLY'!$1:$1048576,14,0)</f>
        <v>0</v>
      </c>
      <c r="AA13" s="30">
        <f>VLOOKUP($A13,'HALF YEARLY'!$1:$1048576,15,0)</f>
        <v>0</v>
      </c>
    </row>
    <row r="14" spans="1:28" x14ac:dyDescent="0.3">
      <c r="A14" s="3">
        <f>DETAILS!A13</f>
        <v>1296</v>
      </c>
      <c r="B14" s="3" t="str">
        <f>DETAILS!B13</f>
        <v>ARYAN SINGH</v>
      </c>
      <c r="C14" s="25">
        <f>VLOOKUP($A14,'UT-I '!$1:$1048576,3,0)</f>
        <v>0</v>
      </c>
      <c r="D14" s="25">
        <f>IFERROR(ROUND(VLOOKUP($A14,'HALF YEARLY'!$1:$1048576,3,0)*0.8,0),VLOOKUP($A14,'HALF YEARLY'!$1:$1048576,3,0))</f>
        <v>0</v>
      </c>
      <c r="E14" s="31">
        <f t="shared" si="0"/>
        <v>0</v>
      </c>
      <c r="F14" s="25">
        <f>VLOOKUP($A14,'UT-I '!$1:$1048576,4,0)</f>
        <v>0</v>
      </c>
      <c r="G14" s="25">
        <f>IFERROR(ROUND(VLOOKUP($A14,'HALF YEARLY'!$1:$1048576,4,0)*0.8,0),VLOOKUP($A14,'HALF YEARLY'!$1:$1048576,4,0))</f>
        <v>0</v>
      </c>
      <c r="H14" s="31">
        <f t="shared" si="1"/>
        <v>0</v>
      </c>
      <c r="I14" s="25">
        <f>VLOOKUP($A14,'UT-I '!$1:$1048576,5,0)</f>
        <v>0</v>
      </c>
      <c r="J14" s="25">
        <f>IFERROR(ROUND(VLOOKUP($A14,'HALF YEARLY'!$1:$1048576,5,0)*0.8,0),VLOOKUP($A14,'HALF YEARLY'!$1:$1048576,5,0))</f>
        <v>0</v>
      </c>
      <c r="K14" s="31">
        <f t="shared" si="2"/>
        <v>0</v>
      </c>
      <c r="L14" s="25">
        <f>VLOOKUP($A14,'UT-I '!$1:$1048576,6,0)</f>
        <v>0</v>
      </c>
      <c r="M14" s="25">
        <f>IFERROR(ROUND(VLOOKUP($A14,'HALF YEARLY'!$1:$1048576,6,0)*0.8,0),VLOOKUP($A14,'HALF YEARLY'!$1:$1048576,6,0))</f>
        <v>0</v>
      </c>
      <c r="N14" s="31">
        <f t="shared" si="3"/>
        <v>0</v>
      </c>
      <c r="O14" s="25">
        <f>VLOOKUP($A14,'UT-I '!$1:$1048576,7,0)</f>
        <v>0</v>
      </c>
      <c r="P14" s="25">
        <f>IFERROR(ROUND(VLOOKUP($A14,'HALF YEARLY'!$1:$1048576,7,0)*0.8,0),VLOOKUP($A14,'HALF YEARLY'!$1:$1048576,7,0))</f>
        <v>0</v>
      </c>
      <c r="Q14" s="31">
        <f t="shared" si="4"/>
        <v>0</v>
      </c>
      <c r="R14" s="25">
        <f>VLOOKUP($A14,'UT-I '!$1:$1048576,8,0)</f>
        <v>0</v>
      </c>
      <c r="S14" s="25">
        <f>IFERROR(ROUND(VLOOKUP($A14,'HALF YEARLY'!$1:$1048576,8,0)*0.8,0),VLOOKUP($A14,'HALF YEARLY'!$1:$1048576,8,0))</f>
        <v>0</v>
      </c>
      <c r="T14" s="31">
        <f t="shared" si="5"/>
        <v>0</v>
      </c>
      <c r="U14" s="25">
        <f>VLOOKUP($A14,'HALF YEARLY'!$1:$1048576,9,0)</f>
        <v>0</v>
      </c>
      <c r="V14" s="25">
        <f>VLOOKUP($A14,'HALF YEARLY'!$1:$1048576,10,0)</f>
        <v>0</v>
      </c>
      <c r="W14" s="25">
        <f>VLOOKUP($A14,'HALF YEARLY'!$1:$1048576,11,0)</f>
        <v>0</v>
      </c>
      <c r="X14" s="25">
        <f>VLOOKUP($A14,'HALF YEARLY'!$1:$1048576,12,0)</f>
        <v>0</v>
      </c>
      <c r="Y14" s="25">
        <f>VLOOKUP($A14,'HALF YEARLY'!$1:$1048576,13,0)</f>
        <v>0</v>
      </c>
      <c r="Z14" s="25">
        <f>VLOOKUP($A14,'HALF YEARLY'!$1:$1048576,14,0)</f>
        <v>0</v>
      </c>
      <c r="AA14" s="30">
        <f>VLOOKUP($A14,'HALF YEARLY'!$1:$1048576,15,0)</f>
        <v>0</v>
      </c>
    </row>
    <row r="15" spans="1:28" x14ac:dyDescent="0.3">
      <c r="A15" s="3">
        <f>DETAILS!A14</f>
        <v>1392</v>
      </c>
      <c r="B15" s="3" t="str">
        <f>DETAILS!B14</f>
        <v>ASTITVA  SHYAM TIWARI</v>
      </c>
      <c r="C15" s="25">
        <f>VLOOKUP($A15,'UT-I '!$1:$1048576,3,0)</f>
        <v>0</v>
      </c>
      <c r="D15" s="25">
        <f>IFERROR(ROUND(VLOOKUP($A15,'HALF YEARLY'!$1:$1048576,3,0)*0.8,0),VLOOKUP($A15,'HALF YEARLY'!$1:$1048576,3,0))</f>
        <v>0</v>
      </c>
      <c r="E15" s="31">
        <f t="shared" si="0"/>
        <v>0</v>
      </c>
      <c r="F15" s="25">
        <f>VLOOKUP($A15,'UT-I '!$1:$1048576,4,0)</f>
        <v>0</v>
      </c>
      <c r="G15" s="25">
        <f>IFERROR(ROUND(VLOOKUP($A15,'HALF YEARLY'!$1:$1048576,4,0)*0.8,0),VLOOKUP($A15,'HALF YEARLY'!$1:$1048576,4,0))</f>
        <v>0</v>
      </c>
      <c r="H15" s="31">
        <f t="shared" si="1"/>
        <v>0</v>
      </c>
      <c r="I15" s="25">
        <f>VLOOKUP($A15,'UT-I '!$1:$1048576,5,0)</f>
        <v>0</v>
      </c>
      <c r="J15" s="25">
        <f>IFERROR(ROUND(VLOOKUP($A15,'HALF YEARLY'!$1:$1048576,5,0)*0.8,0),VLOOKUP($A15,'HALF YEARLY'!$1:$1048576,5,0))</f>
        <v>0</v>
      </c>
      <c r="K15" s="31">
        <f t="shared" si="2"/>
        <v>0</v>
      </c>
      <c r="L15" s="25">
        <f>VLOOKUP($A15,'UT-I '!$1:$1048576,6,0)</f>
        <v>0</v>
      </c>
      <c r="M15" s="25">
        <f>IFERROR(ROUND(VLOOKUP($A15,'HALF YEARLY'!$1:$1048576,6,0)*0.8,0),VLOOKUP($A15,'HALF YEARLY'!$1:$1048576,6,0))</f>
        <v>0</v>
      </c>
      <c r="N15" s="31">
        <f t="shared" si="3"/>
        <v>0</v>
      </c>
      <c r="O15" s="25">
        <f>VLOOKUP($A15,'UT-I '!$1:$1048576,7,0)</f>
        <v>0</v>
      </c>
      <c r="P15" s="25">
        <f>IFERROR(ROUND(VLOOKUP($A15,'HALF YEARLY'!$1:$1048576,7,0)*0.8,0),VLOOKUP($A15,'HALF YEARLY'!$1:$1048576,7,0))</f>
        <v>0</v>
      </c>
      <c r="Q15" s="31">
        <f t="shared" si="4"/>
        <v>0</v>
      </c>
      <c r="R15" s="25">
        <f>VLOOKUP($A15,'UT-I '!$1:$1048576,8,0)</f>
        <v>0</v>
      </c>
      <c r="S15" s="25">
        <f>IFERROR(ROUND(VLOOKUP($A15,'HALF YEARLY'!$1:$1048576,8,0)*0.8,0),VLOOKUP($A15,'HALF YEARLY'!$1:$1048576,8,0))</f>
        <v>0</v>
      </c>
      <c r="T15" s="31">
        <f t="shared" si="5"/>
        <v>0</v>
      </c>
      <c r="U15" s="25">
        <f>VLOOKUP($A15,'HALF YEARLY'!$1:$1048576,9,0)</f>
        <v>0</v>
      </c>
      <c r="V15" s="25">
        <f>VLOOKUP($A15,'HALF YEARLY'!$1:$1048576,10,0)</f>
        <v>0</v>
      </c>
      <c r="W15" s="25">
        <f>VLOOKUP($A15,'HALF YEARLY'!$1:$1048576,11,0)</f>
        <v>0</v>
      </c>
      <c r="X15" s="25">
        <f>VLOOKUP($A15,'HALF YEARLY'!$1:$1048576,12,0)</f>
        <v>0</v>
      </c>
      <c r="Y15" s="25">
        <f>VLOOKUP($A15,'HALF YEARLY'!$1:$1048576,13,0)</f>
        <v>0</v>
      </c>
      <c r="Z15" s="25">
        <f>VLOOKUP($A15,'HALF YEARLY'!$1:$1048576,14,0)</f>
        <v>0</v>
      </c>
      <c r="AA15" s="30">
        <f>VLOOKUP($A15,'HALF YEARLY'!$1:$1048576,15,0)</f>
        <v>0</v>
      </c>
    </row>
    <row r="16" spans="1:28" x14ac:dyDescent="0.3">
      <c r="A16" s="3">
        <f>DETAILS!A15</f>
        <v>759</v>
      </c>
      <c r="B16" s="3" t="str">
        <f>DETAILS!B15</f>
        <v>DEVENDRA PATHAK</v>
      </c>
      <c r="C16" s="25">
        <f>VLOOKUP($A16,'UT-I '!$1:$1048576,3,0)</f>
        <v>0</v>
      </c>
      <c r="D16" s="25">
        <f>IFERROR(ROUND(VLOOKUP($A16,'HALF YEARLY'!$1:$1048576,3,0)*0.8,0),VLOOKUP($A16,'HALF YEARLY'!$1:$1048576,3,0))</f>
        <v>0</v>
      </c>
      <c r="E16" s="31">
        <f t="shared" si="0"/>
        <v>0</v>
      </c>
      <c r="F16" s="25">
        <f>VLOOKUP($A16,'UT-I '!$1:$1048576,4,0)</f>
        <v>0</v>
      </c>
      <c r="G16" s="25">
        <f>IFERROR(ROUND(VLOOKUP($A16,'HALF YEARLY'!$1:$1048576,4,0)*0.8,0),VLOOKUP($A16,'HALF YEARLY'!$1:$1048576,4,0))</f>
        <v>0</v>
      </c>
      <c r="H16" s="31">
        <f t="shared" si="1"/>
        <v>0</v>
      </c>
      <c r="I16" s="25">
        <f>VLOOKUP($A16,'UT-I '!$1:$1048576,5,0)</f>
        <v>0</v>
      </c>
      <c r="J16" s="25">
        <f>IFERROR(ROUND(VLOOKUP($A16,'HALF YEARLY'!$1:$1048576,5,0)*0.8,0),VLOOKUP($A16,'HALF YEARLY'!$1:$1048576,5,0))</f>
        <v>0</v>
      </c>
      <c r="K16" s="31">
        <f t="shared" si="2"/>
        <v>0</v>
      </c>
      <c r="L16" s="25">
        <f>VLOOKUP($A16,'UT-I '!$1:$1048576,6,0)</f>
        <v>0</v>
      </c>
      <c r="M16" s="25">
        <f>IFERROR(ROUND(VLOOKUP($A16,'HALF YEARLY'!$1:$1048576,6,0)*0.8,0),VLOOKUP($A16,'HALF YEARLY'!$1:$1048576,6,0))</f>
        <v>0</v>
      </c>
      <c r="N16" s="31">
        <f t="shared" si="3"/>
        <v>0</v>
      </c>
      <c r="O16" s="25">
        <f>VLOOKUP($A16,'UT-I '!$1:$1048576,7,0)</f>
        <v>0</v>
      </c>
      <c r="P16" s="25">
        <f>IFERROR(ROUND(VLOOKUP($A16,'HALF YEARLY'!$1:$1048576,7,0)*0.8,0),VLOOKUP($A16,'HALF YEARLY'!$1:$1048576,7,0))</f>
        <v>0</v>
      </c>
      <c r="Q16" s="31">
        <f t="shared" si="4"/>
        <v>0</v>
      </c>
      <c r="R16" s="25">
        <f>VLOOKUP($A16,'UT-I '!$1:$1048576,8,0)</f>
        <v>0</v>
      </c>
      <c r="S16" s="25">
        <f>IFERROR(ROUND(VLOOKUP($A16,'HALF YEARLY'!$1:$1048576,8,0)*0.8,0),VLOOKUP($A16,'HALF YEARLY'!$1:$1048576,8,0))</f>
        <v>0</v>
      </c>
      <c r="T16" s="31">
        <f t="shared" si="5"/>
        <v>0</v>
      </c>
      <c r="U16" s="25">
        <f>VLOOKUP($A16,'HALF YEARLY'!$1:$1048576,9,0)</f>
        <v>0</v>
      </c>
      <c r="V16" s="25">
        <f>VLOOKUP($A16,'HALF YEARLY'!$1:$1048576,10,0)</f>
        <v>0</v>
      </c>
      <c r="W16" s="25">
        <f>VLOOKUP($A16,'HALF YEARLY'!$1:$1048576,11,0)</f>
        <v>0</v>
      </c>
      <c r="X16" s="25">
        <f>VLOOKUP($A16,'HALF YEARLY'!$1:$1048576,12,0)</f>
        <v>0</v>
      </c>
      <c r="Y16" s="25">
        <f>VLOOKUP($A16,'HALF YEARLY'!$1:$1048576,13,0)</f>
        <v>0</v>
      </c>
      <c r="Z16" s="25">
        <f>VLOOKUP($A16,'HALF YEARLY'!$1:$1048576,14,0)</f>
        <v>0</v>
      </c>
      <c r="AA16" s="30">
        <f>VLOOKUP($A16,'HALF YEARLY'!$1:$1048576,15,0)</f>
        <v>0</v>
      </c>
    </row>
    <row r="17" spans="1:27" x14ac:dyDescent="0.3">
      <c r="A17" s="3">
        <f>DETAILS!A16</f>
        <v>1598</v>
      </c>
      <c r="B17" s="3" t="str">
        <f>DETAILS!B16</f>
        <v>DIVYANSHI SINGH</v>
      </c>
      <c r="C17" s="25">
        <f>VLOOKUP($A17,'UT-I '!$1:$1048576,3,0)</f>
        <v>0</v>
      </c>
      <c r="D17" s="25">
        <f>IFERROR(ROUND(VLOOKUP($A17,'HALF YEARLY'!$1:$1048576,3,0)*0.8,0),VLOOKUP($A17,'HALF YEARLY'!$1:$1048576,3,0))</f>
        <v>0</v>
      </c>
      <c r="E17" s="31">
        <f t="shared" si="0"/>
        <v>0</v>
      </c>
      <c r="F17" s="25">
        <f>VLOOKUP($A17,'UT-I '!$1:$1048576,4,0)</f>
        <v>0</v>
      </c>
      <c r="G17" s="25">
        <f>IFERROR(ROUND(VLOOKUP($A17,'HALF YEARLY'!$1:$1048576,4,0)*0.8,0),VLOOKUP($A17,'HALF YEARLY'!$1:$1048576,4,0))</f>
        <v>0</v>
      </c>
      <c r="H17" s="31">
        <f t="shared" si="1"/>
        <v>0</v>
      </c>
      <c r="I17" s="25">
        <f>VLOOKUP($A17,'UT-I '!$1:$1048576,5,0)</f>
        <v>0</v>
      </c>
      <c r="J17" s="25">
        <f>IFERROR(ROUND(VLOOKUP($A17,'HALF YEARLY'!$1:$1048576,5,0)*0.8,0),VLOOKUP($A17,'HALF YEARLY'!$1:$1048576,5,0))</f>
        <v>0</v>
      </c>
      <c r="K17" s="31">
        <f t="shared" si="2"/>
        <v>0</v>
      </c>
      <c r="L17" s="25">
        <f>VLOOKUP($A17,'UT-I '!$1:$1048576,6,0)</f>
        <v>0</v>
      </c>
      <c r="M17" s="25">
        <f>IFERROR(ROUND(VLOOKUP($A17,'HALF YEARLY'!$1:$1048576,6,0)*0.8,0),VLOOKUP($A17,'HALF YEARLY'!$1:$1048576,6,0))</f>
        <v>0</v>
      </c>
      <c r="N17" s="31">
        <f t="shared" si="3"/>
        <v>0</v>
      </c>
      <c r="O17" s="25">
        <f>VLOOKUP($A17,'UT-I '!$1:$1048576,7,0)</f>
        <v>0</v>
      </c>
      <c r="P17" s="25">
        <f>IFERROR(ROUND(VLOOKUP($A17,'HALF YEARLY'!$1:$1048576,7,0)*0.8,0),VLOOKUP($A17,'HALF YEARLY'!$1:$1048576,7,0))</f>
        <v>0</v>
      </c>
      <c r="Q17" s="31">
        <f t="shared" si="4"/>
        <v>0</v>
      </c>
      <c r="R17" s="25">
        <f>VLOOKUP($A17,'UT-I '!$1:$1048576,8,0)</f>
        <v>0</v>
      </c>
      <c r="S17" s="25">
        <f>IFERROR(ROUND(VLOOKUP($A17,'HALF YEARLY'!$1:$1048576,8,0)*0.8,0),VLOOKUP($A17,'HALF YEARLY'!$1:$1048576,8,0))</f>
        <v>0</v>
      </c>
      <c r="T17" s="31">
        <f t="shared" si="5"/>
        <v>0</v>
      </c>
      <c r="U17" s="25">
        <f>VLOOKUP($A17,'HALF YEARLY'!$1:$1048576,9,0)</f>
        <v>0</v>
      </c>
      <c r="V17" s="25">
        <f>VLOOKUP($A17,'HALF YEARLY'!$1:$1048576,10,0)</f>
        <v>0</v>
      </c>
      <c r="W17" s="25">
        <f>VLOOKUP($A17,'HALF YEARLY'!$1:$1048576,11,0)</f>
        <v>0</v>
      </c>
      <c r="X17" s="25">
        <f>VLOOKUP($A17,'HALF YEARLY'!$1:$1048576,12,0)</f>
        <v>0</v>
      </c>
      <c r="Y17" s="25">
        <f>VLOOKUP($A17,'HALF YEARLY'!$1:$1048576,13,0)</f>
        <v>0</v>
      </c>
      <c r="Z17" s="25">
        <f>VLOOKUP($A17,'HALF YEARLY'!$1:$1048576,14,0)</f>
        <v>0</v>
      </c>
      <c r="AA17" s="30">
        <f>VLOOKUP($A17,'HALF YEARLY'!$1:$1048576,15,0)</f>
        <v>0</v>
      </c>
    </row>
    <row r="18" spans="1:27" x14ac:dyDescent="0.3">
      <c r="A18" s="3">
        <f>DETAILS!A17</f>
        <v>1650</v>
      </c>
      <c r="B18" s="3" t="str">
        <f>DETAILS!B17</f>
        <v>DIVYANSHU YADAV</v>
      </c>
      <c r="C18" s="25">
        <f>VLOOKUP($A18,'UT-I '!$1:$1048576,3,0)</f>
        <v>0</v>
      </c>
      <c r="D18" s="25">
        <f>IFERROR(ROUND(VLOOKUP($A18,'HALF YEARLY'!$1:$1048576,3,0)*0.8,0),VLOOKUP($A18,'HALF YEARLY'!$1:$1048576,3,0))</f>
        <v>0</v>
      </c>
      <c r="E18" s="31">
        <f t="shared" si="0"/>
        <v>0</v>
      </c>
      <c r="F18" s="25">
        <f>VLOOKUP($A18,'UT-I '!$1:$1048576,4,0)</f>
        <v>0</v>
      </c>
      <c r="G18" s="25">
        <f>IFERROR(ROUND(VLOOKUP($A18,'HALF YEARLY'!$1:$1048576,4,0)*0.8,0),VLOOKUP($A18,'HALF YEARLY'!$1:$1048576,4,0))</f>
        <v>0</v>
      </c>
      <c r="H18" s="31">
        <f t="shared" si="1"/>
        <v>0</v>
      </c>
      <c r="I18" s="25">
        <f>VLOOKUP($A18,'UT-I '!$1:$1048576,5,0)</f>
        <v>0</v>
      </c>
      <c r="J18" s="25">
        <f>IFERROR(ROUND(VLOOKUP($A18,'HALF YEARLY'!$1:$1048576,5,0)*0.8,0),VLOOKUP($A18,'HALF YEARLY'!$1:$1048576,5,0))</f>
        <v>0</v>
      </c>
      <c r="K18" s="31">
        <f t="shared" si="2"/>
        <v>0</v>
      </c>
      <c r="L18" s="25">
        <f>VLOOKUP($A18,'UT-I '!$1:$1048576,6,0)</f>
        <v>0</v>
      </c>
      <c r="M18" s="25">
        <f>IFERROR(ROUND(VLOOKUP($A18,'HALF YEARLY'!$1:$1048576,6,0)*0.8,0),VLOOKUP($A18,'HALF YEARLY'!$1:$1048576,6,0))</f>
        <v>0</v>
      </c>
      <c r="N18" s="31">
        <f t="shared" si="3"/>
        <v>0</v>
      </c>
      <c r="O18" s="25">
        <f>VLOOKUP($A18,'UT-I '!$1:$1048576,7,0)</f>
        <v>0</v>
      </c>
      <c r="P18" s="25">
        <f>IFERROR(ROUND(VLOOKUP($A18,'HALF YEARLY'!$1:$1048576,7,0)*0.8,0),VLOOKUP($A18,'HALF YEARLY'!$1:$1048576,7,0))</f>
        <v>0</v>
      </c>
      <c r="Q18" s="31">
        <f t="shared" si="4"/>
        <v>0</v>
      </c>
      <c r="R18" s="25">
        <f>VLOOKUP($A18,'UT-I '!$1:$1048576,8,0)</f>
        <v>0</v>
      </c>
      <c r="S18" s="25">
        <f>IFERROR(ROUND(VLOOKUP($A18,'HALF YEARLY'!$1:$1048576,8,0)*0.8,0),VLOOKUP($A18,'HALF YEARLY'!$1:$1048576,8,0))</f>
        <v>0</v>
      </c>
      <c r="T18" s="31">
        <f t="shared" si="5"/>
        <v>0</v>
      </c>
      <c r="U18" s="25">
        <f>VLOOKUP($A18,'HALF YEARLY'!$1:$1048576,9,0)</f>
        <v>0</v>
      </c>
      <c r="V18" s="25">
        <f>VLOOKUP($A18,'HALF YEARLY'!$1:$1048576,10,0)</f>
        <v>0</v>
      </c>
      <c r="W18" s="25">
        <f>VLOOKUP($A18,'HALF YEARLY'!$1:$1048576,11,0)</f>
        <v>0</v>
      </c>
      <c r="X18" s="25">
        <f>VLOOKUP($A18,'HALF YEARLY'!$1:$1048576,12,0)</f>
        <v>0</v>
      </c>
      <c r="Y18" s="25">
        <f>VLOOKUP($A18,'HALF YEARLY'!$1:$1048576,13,0)</f>
        <v>0</v>
      </c>
      <c r="Z18" s="25">
        <f>VLOOKUP($A18,'HALF YEARLY'!$1:$1048576,14,0)</f>
        <v>0</v>
      </c>
      <c r="AA18" s="30">
        <f>VLOOKUP($A18,'HALF YEARLY'!$1:$1048576,15,0)</f>
        <v>0</v>
      </c>
    </row>
    <row r="19" spans="1:27" x14ac:dyDescent="0.3">
      <c r="A19" s="3">
        <f>DETAILS!A18</f>
        <v>1661</v>
      </c>
      <c r="B19" s="3" t="str">
        <f>DETAILS!B18</f>
        <v>GARIMA YADAV</v>
      </c>
      <c r="C19" s="25">
        <f>VLOOKUP($A19,'UT-I '!$1:$1048576,3,0)</f>
        <v>0</v>
      </c>
      <c r="D19" s="25">
        <f>IFERROR(ROUND(VLOOKUP($A19,'HALF YEARLY'!$1:$1048576,3,0)*0.8,0),VLOOKUP($A19,'HALF YEARLY'!$1:$1048576,3,0))</f>
        <v>0</v>
      </c>
      <c r="E19" s="31">
        <f t="shared" si="0"/>
        <v>0</v>
      </c>
      <c r="F19" s="25">
        <f>VLOOKUP($A19,'UT-I '!$1:$1048576,4,0)</f>
        <v>0</v>
      </c>
      <c r="G19" s="25">
        <f>IFERROR(ROUND(VLOOKUP($A19,'HALF YEARLY'!$1:$1048576,4,0)*0.8,0),VLOOKUP($A19,'HALF YEARLY'!$1:$1048576,4,0))</f>
        <v>0</v>
      </c>
      <c r="H19" s="31">
        <f t="shared" si="1"/>
        <v>0</v>
      </c>
      <c r="I19" s="25">
        <f>VLOOKUP($A19,'UT-I '!$1:$1048576,5,0)</f>
        <v>0</v>
      </c>
      <c r="J19" s="25">
        <f>IFERROR(ROUND(VLOOKUP($A19,'HALF YEARLY'!$1:$1048576,5,0)*0.8,0),VLOOKUP($A19,'HALF YEARLY'!$1:$1048576,5,0))</f>
        <v>0</v>
      </c>
      <c r="K19" s="31">
        <f t="shared" si="2"/>
        <v>0</v>
      </c>
      <c r="L19" s="25">
        <f>VLOOKUP($A19,'UT-I '!$1:$1048576,6,0)</f>
        <v>0</v>
      </c>
      <c r="M19" s="25">
        <f>IFERROR(ROUND(VLOOKUP($A19,'HALF YEARLY'!$1:$1048576,6,0)*0.8,0),VLOOKUP($A19,'HALF YEARLY'!$1:$1048576,6,0))</f>
        <v>0</v>
      </c>
      <c r="N19" s="31">
        <f t="shared" si="3"/>
        <v>0</v>
      </c>
      <c r="O19" s="25">
        <f>VLOOKUP($A19,'UT-I '!$1:$1048576,7,0)</f>
        <v>0</v>
      </c>
      <c r="P19" s="25">
        <f>IFERROR(ROUND(VLOOKUP($A19,'HALF YEARLY'!$1:$1048576,7,0)*0.8,0),VLOOKUP($A19,'HALF YEARLY'!$1:$1048576,7,0))</f>
        <v>0</v>
      </c>
      <c r="Q19" s="31">
        <f t="shared" si="4"/>
        <v>0</v>
      </c>
      <c r="R19" s="25">
        <f>VLOOKUP($A19,'UT-I '!$1:$1048576,8,0)</f>
        <v>0</v>
      </c>
      <c r="S19" s="25">
        <f>IFERROR(ROUND(VLOOKUP($A19,'HALF YEARLY'!$1:$1048576,8,0)*0.8,0),VLOOKUP($A19,'HALF YEARLY'!$1:$1048576,8,0))</f>
        <v>0</v>
      </c>
      <c r="T19" s="31">
        <f t="shared" si="5"/>
        <v>0</v>
      </c>
      <c r="U19" s="25">
        <f>VLOOKUP($A19,'HALF YEARLY'!$1:$1048576,9,0)</f>
        <v>0</v>
      </c>
      <c r="V19" s="25">
        <f>VLOOKUP($A19,'HALF YEARLY'!$1:$1048576,10,0)</f>
        <v>0</v>
      </c>
      <c r="W19" s="25">
        <f>VLOOKUP($A19,'HALF YEARLY'!$1:$1048576,11,0)</f>
        <v>0</v>
      </c>
      <c r="X19" s="25">
        <f>VLOOKUP($A19,'HALF YEARLY'!$1:$1048576,12,0)</f>
        <v>0</v>
      </c>
      <c r="Y19" s="25">
        <f>VLOOKUP($A19,'HALF YEARLY'!$1:$1048576,13,0)</f>
        <v>0</v>
      </c>
      <c r="Z19" s="25">
        <f>VLOOKUP($A19,'HALF YEARLY'!$1:$1048576,14,0)</f>
        <v>0</v>
      </c>
      <c r="AA19" s="30">
        <f>VLOOKUP($A19,'HALF YEARLY'!$1:$1048576,15,0)</f>
        <v>0</v>
      </c>
    </row>
    <row r="20" spans="1:27" x14ac:dyDescent="0.3">
      <c r="A20" s="3">
        <f>DETAILS!A19</f>
        <v>1704</v>
      </c>
      <c r="B20" s="3" t="str">
        <f>DETAILS!B19</f>
        <v>HARSH SINGH</v>
      </c>
      <c r="C20" s="25">
        <f>VLOOKUP($A20,'UT-I '!$1:$1048576,3,0)</f>
        <v>0</v>
      </c>
      <c r="D20" s="25">
        <f>IFERROR(ROUND(VLOOKUP($A20,'HALF YEARLY'!$1:$1048576,3,0)*0.8,0),VLOOKUP($A20,'HALF YEARLY'!$1:$1048576,3,0))</f>
        <v>0</v>
      </c>
      <c r="E20" s="31">
        <f t="shared" si="0"/>
        <v>0</v>
      </c>
      <c r="F20" s="25">
        <f>VLOOKUP($A20,'UT-I '!$1:$1048576,4,0)</f>
        <v>0</v>
      </c>
      <c r="G20" s="25">
        <f>IFERROR(ROUND(VLOOKUP($A20,'HALF YEARLY'!$1:$1048576,4,0)*0.8,0),VLOOKUP($A20,'HALF YEARLY'!$1:$1048576,4,0))</f>
        <v>0</v>
      </c>
      <c r="H20" s="31">
        <f t="shared" si="1"/>
        <v>0</v>
      </c>
      <c r="I20" s="25">
        <f>VLOOKUP($A20,'UT-I '!$1:$1048576,5,0)</f>
        <v>0</v>
      </c>
      <c r="J20" s="25">
        <f>IFERROR(ROUND(VLOOKUP($A20,'HALF YEARLY'!$1:$1048576,5,0)*0.8,0),VLOOKUP($A20,'HALF YEARLY'!$1:$1048576,5,0))</f>
        <v>0</v>
      </c>
      <c r="K20" s="31">
        <f t="shared" si="2"/>
        <v>0</v>
      </c>
      <c r="L20" s="25">
        <f>VLOOKUP($A20,'UT-I '!$1:$1048576,6,0)</f>
        <v>0</v>
      </c>
      <c r="M20" s="25">
        <f>IFERROR(ROUND(VLOOKUP($A20,'HALF YEARLY'!$1:$1048576,6,0)*0.8,0),VLOOKUP($A20,'HALF YEARLY'!$1:$1048576,6,0))</f>
        <v>0</v>
      </c>
      <c r="N20" s="31">
        <f t="shared" si="3"/>
        <v>0</v>
      </c>
      <c r="O20" s="25">
        <f>VLOOKUP($A20,'UT-I '!$1:$1048576,7,0)</f>
        <v>0</v>
      </c>
      <c r="P20" s="25">
        <f>IFERROR(ROUND(VLOOKUP($A20,'HALF YEARLY'!$1:$1048576,7,0)*0.8,0),VLOOKUP($A20,'HALF YEARLY'!$1:$1048576,7,0))</f>
        <v>0</v>
      </c>
      <c r="Q20" s="31">
        <f t="shared" si="4"/>
        <v>0</v>
      </c>
      <c r="R20" s="25">
        <f>VLOOKUP($A20,'UT-I '!$1:$1048576,8,0)</f>
        <v>0</v>
      </c>
      <c r="S20" s="25">
        <f>IFERROR(ROUND(VLOOKUP($A20,'HALF YEARLY'!$1:$1048576,8,0)*0.8,0),VLOOKUP($A20,'HALF YEARLY'!$1:$1048576,8,0))</f>
        <v>0</v>
      </c>
      <c r="T20" s="31">
        <f t="shared" si="5"/>
        <v>0</v>
      </c>
      <c r="U20" s="25">
        <f>VLOOKUP($A20,'HALF YEARLY'!$1:$1048576,9,0)</f>
        <v>0</v>
      </c>
      <c r="V20" s="25">
        <f>VLOOKUP($A20,'HALF YEARLY'!$1:$1048576,10,0)</f>
        <v>0</v>
      </c>
      <c r="W20" s="25">
        <f>VLOOKUP($A20,'HALF YEARLY'!$1:$1048576,11,0)</f>
        <v>0</v>
      </c>
      <c r="X20" s="25">
        <f>VLOOKUP($A20,'HALF YEARLY'!$1:$1048576,12,0)</f>
        <v>0</v>
      </c>
      <c r="Y20" s="25">
        <f>VLOOKUP($A20,'HALF YEARLY'!$1:$1048576,13,0)</f>
        <v>0</v>
      </c>
      <c r="Z20" s="25">
        <f>VLOOKUP($A20,'HALF YEARLY'!$1:$1048576,14,0)</f>
        <v>0</v>
      </c>
      <c r="AA20" s="30">
        <f>VLOOKUP($A20,'HALF YEARLY'!$1:$1048576,15,0)</f>
        <v>0</v>
      </c>
    </row>
    <row r="21" spans="1:27" x14ac:dyDescent="0.3">
      <c r="A21" s="3">
        <f>DETAILS!A20</f>
        <v>1437</v>
      </c>
      <c r="B21" s="3" t="str">
        <f>DETAILS!B20</f>
        <v>KANISHKA YADAV</v>
      </c>
      <c r="C21" s="25">
        <f>VLOOKUP($A21,'UT-I '!$1:$1048576,3,0)</f>
        <v>0</v>
      </c>
      <c r="D21" s="25">
        <f>IFERROR(ROUND(VLOOKUP($A21,'HALF YEARLY'!$1:$1048576,3,0)*0.8,0),VLOOKUP($A21,'HALF YEARLY'!$1:$1048576,3,0))</f>
        <v>0</v>
      </c>
      <c r="E21" s="31">
        <f t="shared" si="0"/>
        <v>0</v>
      </c>
      <c r="F21" s="25">
        <f>VLOOKUP($A21,'UT-I '!$1:$1048576,4,0)</f>
        <v>0</v>
      </c>
      <c r="G21" s="25">
        <f>IFERROR(ROUND(VLOOKUP($A21,'HALF YEARLY'!$1:$1048576,4,0)*0.8,0),VLOOKUP($A21,'HALF YEARLY'!$1:$1048576,4,0))</f>
        <v>0</v>
      </c>
      <c r="H21" s="31">
        <f t="shared" si="1"/>
        <v>0</v>
      </c>
      <c r="I21" s="25">
        <f>VLOOKUP($A21,'UT-I '!$1:$1048576,5,0)</f>
        <v>0</v>
      </c>
      <c r="J21" s="25">
        <f>IFERROR(ROUND(VLOOKUP($A21,'HALF YEARLY'!$1:$1048576,5,0)*0.8,0),VLOOKUP($A21,'HALF YEARLY'!$1:$1048576,5,0))</f>
        <v>0</v>
      </c>
      <c r="K21" s="31">
        <f t="shared" si="2"/>
        <v>0</v>
      </c>
      <c r="L21" s="25">
        <f>VLOOKUP($A21,'UT-I '!$1:$1048576,6,0)</f>
        <v>0</v>
      </c>
      <c r="M21" s="25">
        <f>IFERROR(ROUND(VLOOKUP($A21,'HALF YEARLY'!$1:$1048576,6,0)*0.8,0),VLOOKUP($A21,'HALF YEARLY'!$1:$1048576,6,0))</f>
        <v>0</v>
      </c>
      <c r="N21" s="31">
        <f t="shared" si="3"/>
        <v>0</v>
      </c>
      <c r="O21" s="25">
        <f>VLOOKUP($A21,'UT-I '!$1:$1048576,7,0)</f>
        <v>0</v>
      </c>
      <c r="P21" s="25">
        <f>IFERROR(ROUND(VLOOKUP($A21,'HALF YEARLY'!$1:$1048576,7,0)*0.8,0),VLOOKUP($A21,'HALF YEARLY'!$1:$1048576,7,0))</f>
        <v>0</v>
      </c>
      <c r="Q21" s="31">
        <f t="shared" si="4"/>
        <v>0</v>
      </c>
      <c r="R21" s="25">
        <f>VLOOKUP($A21,'UT-I '!$1:$1048576,8,0)</f>
        <v>0</v>
      </c>
      <c r="S21" s="25">
        <f>IFERROR(ROUND(VLOOKUP($A21,'HALF YEARLY'!$1:$1048576,8,0)*0.8,0),VLOOKUP($A21,'HALF YEARLY'!$1:$1048576,8,0))</f>
        <v>0</v>
      </c>
      <c r="T21" s="31">
        <f t="shared" si="5"/>
        <v>0</v>
      </c>
      <c r="U21" s="25">
        <f>VLOOKUP($A21,'HALF YEARLY'!$1:$1048576,9,0)</f>
        <v>0</v>
      </c>
      <c r="V21" s="25">
        <f>VLOOKUP($A21,'HALF YEARLY'!$1:$1048576,10,0)</f>
        <v>0</v>
      </c>
      <c r="W21" s="25">
        <f>VLOOKUP($A21,'HALF YEARLY'!$1:$1048576,11,0)</f>
        <v>0</v>
      </c>
      <c r="X21" s="25">
        <f>VLOOKUP($A21,'HALF YEARLY'!$1:$1048576,12,0)</f>
        <v>0</v>
      </c>
      <c r="Y21" s="25">
        <f>VLOOKUP($A21,'HALF YEARLY'!$1:$1048576,13,0)</f>
        <v>0</v>
      </c>
      <c r="Z21" s="25">
        <f>VLOOKUP($A21,'HALF YEARLY'!$1:$1048576,14,0)</f>
        <v>0</v>
      </c>
      <c r="AA21" s="30">
        <f>VLOOKUP($A21,'HALF YEARLY'!$1:$1048576,15,0)</f>
        <v>0</v>
      </c>
    </row>
    <row r="22" spans="1:27" x14ac:dyDescent="0.3">
      <c r="A22" s="3">
        <f>DETAILS!A21</f>
        <v>1605</v>
      </c>
      <c r="B22" s="3" t="str">
        <f>DETAILS!B21</f>
        <v>KARUNESH SINGH</v>
      </c>
      <c r="C22" s="25">
        <f>VLOOKUP($A22,'UT-I '!$1:$1048576,3,0)</f>
        <v>0</v>
      </c>
      <c r="D22" s="25">
        <f>IFERROR(ROUND(VLOOKUP($A22,'HALF YEARLY'!$1:$1048576,3,0)*0.8,0),VLOOKUP($A22,'HALF YEARLY'!$1:$1048576,3,0))</f>
        <v>0</v>
      </c>
      <c r="E22" s="31">
        <f t="shared" si="0"/>
        <v>0</v>
      </c>
      <c r="F22" s="25">
        <f>VLOOKUP($A22,'UT-I '!$1:$1048576,4,0)</f>
        <v>0</v>
      </c>
      <c r="G22" s="25">
        <f>IFERROR(ROUND(VLOOKUP($A22,'HALF YEARLY'!$1:$1048576,4,0)*0.8,0),VLOOKUP($A22,'HALF YEARLY'!$1:$1048576,4,0))</f>
        <v>0</v>
      </c>
      <c r="H22" s="31">
        <f t="shared" si="1"/>
        <v>0</v>
      </c>
      <c r="I22" s="25">
        <f>VLOOKUP($A22,'UT-I '!$1:$1048576,5,0)</f>
        <v>0</v>
      </c>
      <c r="J22" s="25">
        <f>IFERROR(ROUND(VLOOKUP($A22,'HALF YEARLY'!$1:$1048576,5,0)*0.8,0),VLOOKUP($A22,'HALF YEARLY'!$1:$1048576,5,0))</f>
        <v>0</v>
      </c>
      <c r="K22" s="31">
        <f t="shared" si="2"/>
        <v>0</v>
      </c>
      <c r="L22" s="25">
        <f>VLOOKUP($A22,'UT-I '!$1:$1048576,6,0)</f>
        <v>0</v>
      </c>
      <c r="M22" s="25">
        <f>IFERROR(ROUND(VLOOKUP($A22,'HALF YEARLY'!$1:$1048576,6,0)*0.8,0),VLOOKUP($A22,'HALF YEARLY'!$1:$1048576,6,0))</f>
        <v>0</v>
      </c>
      <c r="N22" s="31">
        <f t="shared" si="3"/>
        <v>0</v>
      </c>
      <c r="O22" s="25">
        <f>VLOOKUP($A22,'UT-I '!$1:$1048576,7,0)</f>
        <v>0</v>
      </c>
      <c r="P22" s="25">
        <f>IFERROR(ROUND(VLOOKUP($A22,'HALF YEARLY'!$1:$1048576,7,0)*0.8,0),VLOOKUP($A22,'HALF YEARLY'!$1:$1048576,7,0))</f>
        <v>0</v>
      </c>
      <c r="Q22" s="31">
        <f t="shared" si="4"/>
        <v>0</v>
      </c>
      <c r="R22" s="25">
        <f>VLOOKUP($A22,'UT-I '!$1:$1048576,8,0)</f>
        <v>0</v>
      </c>
      <c r="S22" s="25">
        <f>IFERROR(ROUND(VLOOKUP($A22,'HALF YEARLY'!$1:$1048576,8,0)*0.8,0),VLOOKUP($A22,'HALF YEARLY'!$1:$1048576,8,0))</f>
        <v>0</v>
      </c>
      <c r="T22" s="31">
        <f t="shared" si="5"/>
        <v>0</v>
      </c>
      <c r="U22" s="25">
        <f>VLOOKUP($A22,'HALF YEARLY'!$1:$1048576,9,0)</f>
        <v>0</v>
      </c>
      <c r="V22" s="25">
        <f>VLOOKUP($A22,'HALF YEARLY'!$1:$1048576,10,0)</f>
        <v>0</v>
      </c>
      <c r="W22" s="25">
        <f>VLOOKUP($A22,'HALF YEARLY'!$1:$1048576,11,0)</f>
        <v>0</v>
      </c>
      <c r="X22" s="25">
        <f>VLOOKUP($A22,'HALF YEARLY'!$1:$1048576,12,0)</f>
        <v>0</v>
      </c>
      <c r="Y22" s="25">
        <f>VLOOKUP($A22,'HALF YEARLY'!$1:$1048576,13,0)</f>
        <v>0</v>
      </c>
      <c r="Z22" s="25">
        <f>VLOOKUP($A22,'HALF YEARLY'!$1:$1048576,14,0)</f>
        <v>0</v>
      </c>
      <c r="AA22" s="30">
        <f>VLOOKUP($A22,'HALF YEARLY'!$1:$1048576,15,0)</f>
        <v>0</v>
      </c>
    </row>
    <row r="23" spans="1:27" x14ac:dyDescent="0.3">
      <c r="A23" s="3">
        <f>DETAILS!A22</f>
        <v>1640</v>
      </c>
      <c r="B23" s="3" t="str">
        <f>DETAILS!B22</f>
        <v>KRISHNA GUPTA</v>
      </c>
      <c r="C23" s="25">
        <f>VLOOKUP($A23,'UT-I '!$1:$1048576,3,0)</f>
        <v>0</v>
      </c>
      <c r="D23" s="25">
        <f>IFERROR(ROUND(VLOOKUP($A23,'HALF YEARLY'!$1:$1048576,3,0)*0.8,0),VLOOKUP($A23,'HALF YEARLY'!$1:$1048576,3,0))</f>
        <v>0</v>
      </c>
      <c r="E23" s="31">
        <f t="shared" si="0"/>
        <v>0</v>
      </c>
      <c r="F23" s="25">
        <f>VLOOKUP($A23,'UT-I '!$1:$1048576,4,0)</f>
        <v>0</v>
      </c>
      <c r="G23" s="25">
        <f>IFERROR(ROUND(VLOOKUP($A23,'HALF YEARLY'!$1:$1048576,4,0)*0.8,0),VLOOKUP($A23,'HALF YEARLY'!$1:$1048576,4,0))</f>
        <v>0</v>
      </c>
      <c r="H23" s="31">
        <f t="shared" si="1"/>
        <v>0</v>
      </c>
      <c r="I23" s="25">
        <f>VLOOKUP($A23,'UT-I '!$1:$1048576,5,0)</f>
        <v>0</v>
      </c>
      <c r="J23" s="25">
        <f>IFERROR(ROUND(VLOOKUP($A23,'HALF YEARLY'!$1:$1048576,5,0)*0.8,0),VLOOKUP($A23,'HALF YEARLY'!$1:$1048576,5,0))</f>
        <v>0</v>
      </c>
      <c r="K23" s="31">
        <f t="shared" si="2"/>
        <v>0</v>
      </c>
      <c r="L23" s="25">
        <f>VLOOKUP($A23,'UT-I '!$1:$1048576,6,0)</f>
        <v>0</v>
      </c>
      <c r="M23" s="25">
        <f>IFERROR(ROUND(VLOOKUP($A23,'HALF YEARLY'!$1:$1048576,6,0)*0.8,0),VLOOKUP($A23,'HALF YEARLY'!$1:$1048576,6,0))</f>
        <v>0</v>
      </c>
      <c r="N23" s="31">
        <f t="shared" si="3"/>
        <v>0</v>
      </c>
      <c r="O23" s="25">
        <f>VLOOKUP($A23,'UT-I '!$1:$1048576,7,0)</f>
        <v>0</v>
      </c>
      <c r="P23" s="25">
        <f>IFERROR(ROUND(VLOOKUP($A23,'HALF YEARLY'!$1:$1048576,7,0)*0.8,0),VLOOKUP($A23,'HALF YEARLY'!$1:$1048576,7,0))</f>
        <v>0</v>
      </c>
      <c r="Q23" s="31">
        <f t="shared" si="4"/>
        <v>0</v>
      </c>
      <c r="R23" s="25">
        <f>VLOOKUP($A23,'UT-I '!$1:$1048576,8,0)</f>
        <v>0</v>
      </c>
      <c r="S23" s="25">
        <f>IFERROR(ROUND(VLOOKUP($A23,'HALF YEARLY'!$1:$1048576,8,0)*0.8,0),VLOOKUP($A23,'HALF YEARLY'!$1:$1048576,8,0))</f>
        <v>0</v>
      </c>
      <c r="T23" s="31">
        <f t="shared" si="5"/>
        <v>0</v>
      </c>
      <c r="U23" s="25">
        <f>VLOOKUP($A23,'HALF YEARLY'!$1:$1048576,9,0)</f>
        <v>0</v>
      </c>
      <c r="V23" s="25">
        <f>VLOOKUP($A23,'HALF YEARLY'!$1:$1048576,10,0)</f>
        <v>0</v>
      </c>
      <c r="W23" s="25">
        <f>VLOOKUP($A23,'HALF YEARLY'!$1:$1048576,11,0)</f>
        <v>0</v>
      </c>
      <c r="X23" s="25">
        <f>VLOOKUP($A23,'HALF YEARLY'!$1:$1048576,12,0)</f>
        <v>0</v>
      </c>
      <c r="Y23" s="25">
        <f>VLOOKUP($A23,'HALF YEARLY'!$1:$1048576,13,0)</f>
        <v>0</v>
      </c>
      <c r="Z23" s="25">
        <f>VLOOKUP($A23,'HALF YEARLY'!$1:$1048576,14,0)</f>
        <v>0</v>
      </c>
      <c r="AA23" s="30">
        <f>VLOOKUP($A23,'HALF YEARLY'!$1:$1048576,15,0)</f>
        <v>0</v>
      </c>
    </row>
    <row r="24" spans="1:27" x14ac:dyDescent="0.3">
      <c r="A24" s="3">
        <f>DETAILS!A23</f>
        <v>1678</v>
      </c>
      <c r="B24" s="3" t="str">
        <f>DETAILS!B23</f>
        <v>KUNAL DHANUK</v>
      </c>
      <c r="C24" s="25">
        <f>VLOOKUP($A24,'UT-I '!$1:$1048576,3,0)</f>
        <v>0</v>
      </c>
      <c r="D24" s="25">
        <f>IFERROR(ROUND(VLOOKUP($A24,'HALF YEARLY'!$1:$1048576,3,0)*0.8,0),VLOOKUP($A24,'HALF YEARLY'!$1:$1048576,3,0))</f>
        <v>0</v>
      </c>
      <c r="E24" s="31">
        <f t="shared" si="0"/>
        <v>0</v>
      </c>
      <c r="F24" s="25">
        <f>VLOOKUP($A24,'UT-I '!$1:$1048576,4,0)</f>
        <v>0</v>
      </c>
      <c r="G24" s="25">
        <f>IFERROR(ROUND(VLOOKUP($A24,'HALF YEARLY'!$1:$1048576,4,0)*0.8,0),VLOOKUP($A24,'HALF YEARLY'!$1:$1048576,4,0))</f>
        <v>0</v>
      </c>
      <c r="H24" s="31">
        <f t="shared" si="1"/>
        <v>0</v>
      </c>
      <c r="I24" s="25">
        <f>VLOOKUP($A24,'UT-I '!$1:$1048576,5,0)</f>
        <v>0</v>
      </c>
      <c r="J24" s="25">
        <f>IFERROR(ROUND(VLOOKUP($A24,'HALF YEARLY'!$1:$1048576,5,0)*0.8,0),VLOOKUP($A24,'HALF YEARLY'!$1:$1048576,5,0))</f>
        <v>0</v>
      </c>
      <c r="K24" s="31">
        <f t="shared" si="2"/>
        <v>0</v>
      </c>
      <c r="L24" s="25">
        <f>VLOOKUP($A24,'UT-I '!$1:$1048576,6,0)</f>
        <v>0</v>
      </c>
      <c r="M24" s="25">
        <f>IFERROR(ROUND(VLOOKUP($A24,'HALF YEARLY'!$1:$1048576,6,0)*0.8,0),VLOOKUP($A24,'HALF YEARLY'!$1:$1048576,6,0))</f>
        <v>0</v>
      </c>
      <c r="N24" s="31">
        <f t="shared" si="3"/>
        <v>0</v>
      </c>
      <c r="O24" s="25">
        <f>VLOOKUP($A24,'UT-I '!$1:$1048576,7,0)</f>
        <v>0</v>
      </c>
      <c r="P24" s="25">
        <f>IFERROR(ROUND(VLOOKUP($A24,'HALF YEARLY'!$1:$1048576,7,0)*0.8,0),VLOOKUP($A24,'HALF YEARLY'!$1:$1048576,7,0))</f>
        <v>0</v>
      </c>
      <c r="Q24" s="31">
        <f t="shared" si="4"/>
        <v>0</v>
      </c>
      <c r="R24" s="25">
        <f>VLOOKUP($A24,'UT-I '!$1:$1048576,8,0)</f>
        <v>0</v>
      </c>
      <c r="S24" s="25">
        <f>IFERROR(ROUND(VLOOKUP($A24,'HALF YEARLY'!$1:$1048576,8,0)*0.8,0),VLOOKUP($A24,'HALF YEARLY'!$1:$1048576,8,0))</f>
        <v>0</v>
      </c>
      <c r="T24" s="31">
        <f t="shared" si="5"/>
        <v>0</v>
      </c>
      <c r="U24" s="25">
        <f>VLOOKUP($A24,'HALF YEARLY'!$1:$1048576,9,0)</f>
        <v>0</v>
      </c>
      <c r="V24" s="25">
        <f>VLOOKUP($A24,'HALF YEARLY'!$1:$1048576,10,0)</f>
        <v>0</v>
      </c>
      <c r="W24" s="25">
        <f>VLOOKUP($A24,'HALF YEARLY'!$1:$1048576,11,0)</f>
        <v>0</v>
      </c>
      <c r="X24" s="25">
        <f>VLOOKUP($A24,'HALF YEARLY'!$1:$1048576,12,0)</f>
        <v>0</v>
      </c>
      <c r="Y24" s="25">
        <f>VLOOKUP($A24,'HALF YEARLY'!$1:$1048576,13,0)</f>
        <v>0</v>
      </c>
      <c r="Z24" s="25">
        <f>VLOOKUP($A24,'HALF YEARLY'!$1:$1048576,14,0)</f>
        <v>0</v>
      </c>
      <c r="AA24" s="30">
        <f>VLOOKUP($A24,'HALF YEARLY'!$1:$1048576,15,0)</f>
        <v>0</v>
      </c>
    </row>
    <row r="25" spans="1:27" x14ac:dyDescent="0.3">
      <c r="A25" s="3">
        <f>DETAILS!A24</f>
        <v>1330</v>
      </c>
      <c r="B25" s="3" t="str">
        <f>DETAILS!B24</f>
        <v>KUSHAGRA SINGH</v>
      </c>
      <c r="C25" s="25">
        <f>VLOOKUP($A25,'UT-I '!$1:$1048576,3,0)</f>
        <v>0</v>
      </c>
      <c r="D25" s="25">
        <f>IFERROR(ROUND(VLOOKUP($A25,'HALF YEARLY'!$1:$1048576,3,0)*0.8,0),VLOOKUP($A25,'HALF YEARLY'!$1:$1048576,3,0))</f>
        <v>0</v>
      </c>
      <c r="E25" s="31">
        <f t="shared" si="0"/>
        <v>0</v>
      </c>
      <c r="F25" s="25">
        <f>VLOOKUP($A25,'UT-I '!$1:$1048576,4,0)</f>
        <v>0</v>
      </c>
      <c r="G25" s="25">
        <f>IFERROR(ROUND(VLOOKUP($A25,'HALF YEARLY'!$1:$1048576,4,0)*0.8,0),VLOOKUP($A25,'HALF YEARLY'!$1:$1048576,4,0))</f>
        <v>0</v>
      </c>
      <c r="H25" s="31">
        <f t="shared" si="1"/>
        <v>0</v>
      </c>
      <c r="I25" s="25">
        <f>VLOOKUP($A25,'UT-I '!$1:$1048576,5,0)</f>
        <v>0</v>
      </c>
      <c r="J25" s="25">
        <f>IFERROR(ROUND(VLOOKUP($A25,'HALF YEARLY'!$1:$1048576,5,0)*0.8,0),VLOOKUP($A25,'HALF YEARLY'!$1:$1048576,5,0))</f>
        <v>0</v>
      </c>
      <c r="K25" s="31">
        <f t="shared" si="2"/>
        <v>0</v>
      </c>
      <c r="L25" s="25">
        <f>VLOOKUP($A25,'UT-I '!$1:$1048576,6,0)</f>
        <v>0</v>
      </c>
      <c r="M25" s="25">
        <f>IFERROR(ROUND(VLOOKUP($A25,'HALF YEARLY'!$1:$1048576,6,0)*0.8,0),VLOOKUP($A25,'HALF YEARLY'!$1:$1048576,6,0))</f>
        <v>0</v>
      </c>
      <c r="N25" s="31">
        <f t="shared" si="3"/>
        <v>0</v>
      </c>
      <c r="O25" s="25">
        <f>VLOOKUP($A25,'UT-I '!$1:$1048576,7,0)</f>
        <v>0</v>
      </c>
      <c r="P25" s="25">
        <f>IFERROR(ROUND(VLOOKUP($A25,'HALF YEARLY'!$1:$1048576,7,0)*0.8,0),VLOOKUP($A25,'HALF YEARLY'!$1:$1048576,7,0))</f>
        <v>0</v>
      </c>
      <c r="Q25" s="31">
        <f t="shared" si="4"/>
        <v>0</v>
      </c>
      <c r="R25" s="25">
        <f>VLOOKUP($A25,'UT-I '!$1:$1048576,8,0)</f>
        <v>0</v>
      </c>
      <c r="S25" s="25">
        <f>IFERROR(ROUND(VLOOKUP($A25,'HALF YEARLY'!$1:$1048576,8,0)*0.8,0),VLOOKUP($A25,'HALF YEARLY'!$1:$1048576,8,0))</f>
        <v>0</v>
      </c>
      <c r="T25" s="31">
        <f t="shared" si="5"/>
        <v>0</v>
      </c>
      <c r="U25" s="25">
        <f>VLOOKUP($A25,'HALF YEARLY'!$1:$1048576,9,0)</f>
        <v>0</v>
      </c>
      <c r="V25" s="25">
        <f>VLOOKUP($A25,'HALF YEARLY'!$1:$1048576,10,0)</f>
        <v>0</v>
      </c>
      <c r="W25" s="25">
        <f>VLOOKUP($A25,'HALF YEARLY'!$1:$1048576,11,0)</f>
        <v>0</v>
      </c>
      <c r="X25" s="25">
        <f>VLOOKUP($A25,'HALF YEARLY'!$1:$1048576,12,0)</f>
        <v>0</v>
      </c>
      <c r="Y25" s="25">
        <f>VLOOKUP($A25,'HALF YEARLY'!$1:$1048576,13,0)</f>
        <v>0</v>
      </c>
      <c r="Z25" s="25">
        <f>VLOOKUP($A25,'HALF YEARLY'!$1:$1048576,14,0)</f>
        <v>0</v>
      </c>
      <c r="AA25" s="30">
        <f>VLOOKUP($A25,'HALF YEARLY'!$1:$1048576,15,0)</f>
        <v>0</v>
      </c>
    </row>
    <row r="26" spans="1:27" x14ac:dyDescent="0.3">
      <c r="A26" s="3">
        <f>DETAILS!A25</f>
        <v>777</v>
      </c>
      <c r="B26" s="3" t="str">
        <f>DETAILS!B25</f>
        <v>MAHEE JAISWAL</v>
      </c>
      <c r="C26" s="25">
        <f>VLOOKUP($A26,'UT-I '!$1:$1048576,3,0)</f>
        <v>0</v>
      </c>
      <c r="D26" s="25">
        <f>IFERROR(ROUND(VLOOKUP($A26,'HALF YEARLY'!$1:$1048576,3,0)*0.8,0),VLOOKUP($A26,'HALF YEARLY'!$1:$1048576,3,0))</f>
        <v>0</v>
      </c>
      <c r="E26" s="31">
        <f t="shared" si="0"/>
        <v>0</v>
      </c>
      <c r="F26" s="25">
        <f>VLOOKUP($A26,'UT-I '!$1:$1048576,4,0)</f>
        <v>0</v>
      </c>
      <c r="G26" s="25">
        <f>IFERROR(ROUND(VLOOKUP($A26,'HALF YEARLY'!$1:$1048576,4,0)*0.8,0),VLOOKUP($A26,'HALF YEARLY'!$1:$1048576,4,0))</f>
        <v>0</v>
      </c>
      <c r="H26" s="31">
        <f t="shared" si="1"/>
        <v>0</v>
      </c>
      <c r="I26" s="25">
        <f>VLOOKUP($A26,'UT-I '!$1:$1048576,5,0)</f>
        <v>0</v>
      </c>
      <c r="J26" s="25">
        <f>IFERROR(ROUND(VLOOKUP($A26,'HALF YEARLY'!$1:$1048576,5,0)*0.8,0),VLOOKUP($A26,'HALF YEARLY'!$1:$1048576,5,0))</f>
        <v>0</v>
      </c>
      <c r="K26" s="31">
        <f t="shared" si="2"/>
        <v>0</v>
      </c>
      <c r="L26" s="25">
        <f>VLOOKUP($A26,'UT-I '!$1:$1048576,6,0)</f>
        <v>0</v>
      </c>
      <c r="M26" s="25">
        <f>IFERROR(ROUND(VLOOKUP($A26,'HALF YEARLY'!$1:$1048576,6,0)*0.8,0),VLOOKUP($A26,'HALF YEARLY'!$1:$1048576,6,0))</f>
        <v>0</v>
      </c>
      <c r="N26" s="31">
        <f t="shared" si="3"/>
        <v>0</v>
      </c>
      <c r="O26" s="25">
        <f>VLOOKUP($A26,'UT-I '!$1:$1048576,7,0)</f>
        <v>0</v>
      </c>
      <c r="P26" s="25">
        <f>IFERROR(ROUND(VLOOKUP($A26,'HALF YEARLY'!$1:$1048576,7,0)*0.8,0),VLOOKUP($A26,'HALF YEARLY'!$1:$1048576,7,0))</f>
        <v>0</v>
      </c>
      <c r="Q26" s="31">
        <f t="shared" si="4"/>
        <v>0</v>
      </c>
      <c r="R26" s="25">
        <f>VLOOKUP($A26,'UT-I '!$1:$1048576,8,0)</f>
        <v>0</v>
      </c>
      <c r="S26" s="25">
        <f>IFERROR(ROUND(VLOOKUP($A26,'HALF YEARLY'!$1:$1048576,8,0)*0.8,0),VLOOKUP($A26,'HALF YEARLY'!$1:$1048576,8,0))</f>
        <v>0</v>
      </c>
      <c r="T26" s="31">
        <f t="shared" si="5"/>
        <v>0</v>
      </c>
      <c r="U26" s="25">
        <f>VLOOKUP($A26,'HALF YEARLY'!$1:$1048576,9,0)</f>
        <v>0</v>
      </c>
      <c r="V26" s="25">
        <f>VLOOKUP($A26,'HALF YEARLY'!$1:$1048576,10,0)</f>
        <v>0</v>
      </c>
      <c r="W26" s="25">
        <f>VLOOKUP($A26,'HALF YEARLY'!$1:$1048576,11,0)</f>
        <v>0</v>
      </c>
      <c r="X26" s="25">
        <f>VLOOKUP($A26,'HALF YEARLY'!$1:$1048576,12,0)</f>
        <v>0</v>
      </c>
      <c r="Y26" s="25">
        <f>VLOOKUP($A26,'HALF YEARLY'!$1:$1048576,13,0)</f>
        <v>0</v>
      </c>
      <c r="Z26" s="25">
        <f>VLOOKUP($A26,'HALF YEARLY'!$1:$1048576,14,0)</f>
        <v>0</v>
      </c>
      <c r="AA26" s="30">
        <f>VLOOKUP($A26,'HALF YEARLY'!$1:$1048576,15,0)</f>
        <v>0</v>
      </c>
    </row>
    <row r="27" spans="1:27" x14ac:dyDescent="0.3">
      <c r="A27" s="3">
        <f>DETAILS!A26</f>
        <v>763</v>
      </c>
      <c r="B27" s="3" t="str">
        <f>DETAILS!B26</f>
        <v>MAHEK RAWAT</v>
      </c>
      <c r="C27" s="25">
        <f>VLOOKUP($A27,'UT-I '!$1:$1048576,3,0)</f>
        <v>0</v>
      </c>
      <c r="D27" s="25">
        <f>IFERROR(ROUND(VLOOKUP($A27,'HALF YEARLY'!$1:$1048576,3,0)*0.8,0),VLOOKUP($A27,'HALF YEARLY'!$1:$1048576,3,0))</f>
        <v>0</v>
      </c>
      <c r="E27" s="31">
        <f t="shared" si="0"/>
        <v>0</v>
      </c>
      <c r="F27" s="25">
        <f>VLOOKUP($A27,'UT-I '!$1:$1048576,4,0)</f>
        <v>0</v>
      </c>
      <c r="G27" s="25">
        <f>IFERROR(ROUND(VLOOKUP($A27,'HALF YEARLY'!$1:$1048576,4,0)*0.8,0),VLOOKUP($A27,'HALF YEARLY'!$1:$1048576,4,0))</f>
        <v>0</v>
      </c>
      <c r="H27" s="31">
        <f t="shared" si="1"/>
        <v>0</v>
      </c>
      <c r="I27" s="25">
        <f>VLOOKUP($A27,'UT-I '!$1:$1048576,5,0)</f>
        <v>0</v>
      </c>
      <c r="J27" s="25">
        <f>IFERROR(ROUND(VLOOKUP($A27,'HALF YEARLY'!$1:$1048576,5,0)*0.8,0),VLOOKUP($A27,'HALF YEARLY'!$1:$1048576,5,0))</f>
        <v>0</v>
      </c>
      <c r="K27" s="31">
        <f t="shared" si="2"/>
        <v>0</v>
      </c>
      <c r="L27" s="25">
        <f>VLOOKUP($A27,'UT-I '!$1:$1048576,6,0)</f>
        <v>0</v>
      </c>
      <c r="M27" s="25">
        <f>IFERROR(ROUND(VLOOKUP($A27,'HALF YEARLY'!$1:$1048576,6,0)*0.8,0),VLOOKUP($A27,'HALF YEARLY'!$1:$1048576,6,0))</f>
        <v>0</v>
      </c>
      <c r="N27" s="31">
        <f t="shared" si="3"/>
        <v>0</v>
      </c>
      <c r="O27" s="25">
        <f>VLOOKUP($A27,'UT-I '!$1:$1048576,7,0)</f>
        <v>0</v>
      </c>
      <c r="P27" s="25">
        <f>IFERROR(ROUND(VLOOKUP($A27,'HALF YEARLY'!$1:$1048576,7,0)*0.8,0),VLOOKUP($A27,'HALF YEARLY'!$1:$1048576,7,0))</f>
        <v>0</v>
      </c>
      <c r="Q27" s="31">
        <f t="shared" si="4"/>
        <v>0</v>
      </c>
      <c r="R27" s="25">
        <f>VLOOKUP($A27,'UT-I '!$1:$1048576,8,0)</f>
        <v>0</v>
      </c>
      <c r="S27" s="25">
        <f>IFERROR(ROUND(VLOOKUP($A27,'HALF YEARLY'!$1:$1048576,8,0)*0.8,0),VLOOKUP($A27,'HALF YEARLY'!$1:$1048576,8,0))</f>
        <v>0</v>
      </c>
      <c r="T27" s="31">
        <f t="shared" si="5"/>
        <v>0</v>
      </c>
      <c r="U27" s="25">
        <f>VLOOKUP($A27,'HALF YEARLY'!$1:$1048576,9,0)</f>
        <v>0</v>
      </c>
      <c r="V27" s="25">
        <f>VLOOKUP($A27,'HALF YEARLY'!$1:$1048576,10,0)</f>
        <v>0</v>
      </c>
      <c r="W27" s="25">
        <f>VLOOKUP($A27,'HALF YEARLY'!$1:$1048576,11,0)</f>
        <v>0</v>
      </c>
      <c r="X27" s="25">
        <f>VLOOKUP($A27,'HALF YEARLY'!$1:$1048576,12,0)</f>
        <v>0</v>
      </c>
      <c r="Y27" s="25">
        <f>VLOOKUP($A27,'HALF YEARLY'!$1:$1048576,13,0)</f>
        <v>0</v>
      </c>
      <c r="Z27" s="25">
        <f>VLOOKUP($A27,'HALF YEARLY'!$1:$1048576,14,0)</f>
        <v>0</v>
      </c>
      <c r="AA27" s="30">
        <f>VLOOKUP($A27,'HALF YEARLY'!$1:$1048576,15,0)</f>
        <v>0</v>
      </c>
    </row>
    <row r="28" spans="1:27" x14ac:dyDescent="0.3">
      <c r="A28" s="3">
        <f>DETAILS!A27</f>
        <v>1619</v>
      </c>
      <c r="B28" s="3" t="str">
        <f>DETAILS!B27</f>
        <v>MOHD FAIZ</v>
      </c>
      <c r="C28" s="25">
        <f>VLOOKUP($A28,'UT-I '!$1:$1048576,3,0)</f>
        <v>0</v>
      </c>
      <c r="D28" s="25">
        <f>IFERROR(ROUND(VLOOKUP($A28,'HALF YEARLY'!$1:$1048576,3,0)*0.8,0),VLOOKUP($A28,'HALF YEARLY'!$1:$1048576,3,0))</f>
        <v>0</v>
      </c>
      <c r="E28" s="31">
        <f t="shared" si="0"/>
        <v>0</v>
      </c>
      <c r="F28" s="25">
        <f>VLOOKUP($A28,'UT-I '!$1:$1048576,4,0)</f>
        <v>0</v>
      </c>
      <c r="G28" s="25">
        <f>IFERROR(ROUND(VLOOKUP($A28,'HALF YEARLY'!$1:$1048576,4,0)*0.8,0),VLOOKUP($A28,'HALF YEARLY'!$1:$1048576,4,0))</f>
        <v>0</v>
      </c>
      <c r="H28" s="31">
        <f t="shared" si="1"/>
        <v>0</v>
      </c>
      <c r="I28" s="25">
        <f>VLOOKUP($A28,'UT-I '!$1:$1048576,5,0)</f>
        <v>0</v>
      </c>
      <c r="J28" s="25">
        <f>IFERROR(ROUND(VLOOKUP($A28,'HALF YEARLY'!$1:$1048576,5,0)*0.8,0),VLOOKUP($A28,'HALF YEARLY'!$1:$1048576,5,0))</f>
        <v>0</v>
      </c>
      <c r="K28" s="31">
        <f t="shared" si="2"/>
        <v>0</v>
      </c>
      <c r="L28" s="25">
        <f>VLOOKUP($A28,'UT-I '!$1:$1048576,6,0)</f>
        <v>0</v>
      </c>
      <c r="M28" s="25">
        <f>IFERROR(ROUND(VLOOKUP($A28,'HALF YEARLY'!$1:$1048576,6,0)*0.8,0),VLOOKUP($A28,'HALF YEARLY'!$1:$1048576,6,0))</f>
        <v>0</v>
      </c>
      <c r="N28" s="31">
        <f t="shared" si="3"/>
        <v>0</v>
      </c>
      <c r="O28" s="25">
        <f>VLOOKUP($A28,'UT-I '!$1:$1048576,7,0)</f>
        <v>0</v>
      </c>
      <c r="P28" s="25">
        <f>IFERROR(ROUND(VLOOKUP($A28,'HALF YEARLY'!$1:$1048576,7,0)*0.8,0),VLOOKUP($A28,'HALF YEARLY'!$1:$1048576,7,0))</f>
        <v>0</v>
      </c>
      <c r="Q28" s="31">
        <f t="shared" si="4"/>
        <v>0</v>
      </c>
      <c r="R28" s="25">
        <f>VLOOKUP($A28,'UT-I '!$1:$1048576,8,0)</f>
        <v>0</v>
      </c>
      <c r="S28" s="25">
        <f>IFERROR(ROUND(VLOOKUP($A28,'HALF YEARLY'!$1:$1048576,8,0)*0.8,0),VLOOKUP($A28,'HALF YEARLY'!$1:$1048576,8,0))</f>
        <v>0</v>
      </c>
      <c r="T28" s="31">
        <f t="shared" si="5"/>
        <v>0</v>
      </c>
      <c r="U28" s="25">
        <f>VLOOKUP($A28,'HALF YEARLY'!$1:$1048576,9,0)</f>
        <v>0</v>
      </c>
      <c r="V28" s="25">
        <f>VLOOKUP($A28,'HALF YEARLY'!$1:$1048576,10,0)</f>
        <v>0</v>
      </c>
      <c r="W28" s="25">
        <f>VLOOKUP($A28,'HALF YEARLY'!$1:$1048576,11,0)</f>
        <v>0</v>
      </c>
      <c r="X28" s="25">
        <f>VLOOKUP($A28,'HALF YEARLY'!$1:$1048576,12,0)</f>
        <v>0</v>
      </c>
      <c r="Y28" s="25">
        <f>VLOOKUP($A28,'HALF YEARLY'!$1:$1048576,13,0)</f>
        <v>0</v>
      </c>
      <c r="Z28" s="25">
        <f>VLOOKUP($A28,'HALF YEARLY'!$1:$1048576,14,0)</f>
        <v>0</v>
      </c>
      <c r="AA28" s="30">
        <f>VLOOKUP($A28,'HALF YEARLY'!$1:$1048576,15,0)</f>
        <v>0</v>
      </c>
    </row>
    <row r="29" spans="1:27" x14ac:dyDescent="0.3">
      <c r="A29" s="3">
        <f>DETAILS!A28</f>
        <v>1687</v>
      </c>
      <c r="B29" s="3" t="str">
        <f>DETAILS!B28</f>
        <v>MOHINI YADAV</v>
      </c>
      <c r="C29" s="25">
        <f>VLOOKUP($A29,'UT-I '!$1:$1048576,3,0)</f>
        <v>0</v>
      </c>
      <c r="D29" s="25">
        <f>IFERROR(ROUND(VLOOKUP($A29,'HALF YEARLY'!$1:$1048576,3,0)*0.8,0),VLOOKUP($A29,'HALF YEARLY'!$1:$1048576,3,0))</f>
        <v>0</v>
      </c>
      <c r="E29" s="31">
        <f t="shared" si="0"/>
        <v>0</v>
      </c>
      <c r="F29" s="25">
        <f>VLOOKUP($A29,'UT-I '!$1:$1048576,4,0)</f>
        <v>0</v>
      </c>
      <c r="G29" s="25">
        <f>IFERROR(ROUND(VLOOKUP($A29,'HALF YEARLY'!$1:$1048576,4,0)*0.8,0),VLOOKUP($A29,'HALF YEARLY'!$1:$1048576,4,0))</f>
        <v>0</v>
      </c>
      <c r="H29" s="31">
        <f t="shared" si="1"/>
        <v>0</v>
      </c>
      <c r="I29" s="25">
        <f>VLOOKUP($A29,'UT-I '!$1:$1048576,5,0)</f>
        <v>0</v>
      </c>
      <c r="J29" s="25">
        <f>IFERROR(ROUND(VLOOKUP($A29,'HALF YEARLY'!$1:$1048576,5,0)*0.8,0),VLOOKUP($A29,'HALF YEARLY'!$1:$1048576,5,0))</f>
        <v>0</v>
      </c>
      <c r="K29" s="31">
        <f t="shared" si="2"/>
        <v>0</v>
      </c>
      <c r="L29" s="25">
        <f>VLOOKUP($A29,'UT-I '!$1:$1048576,6,0)</f>
        <v>0</v>
      </c>
      <c r="M29" s="25">
        <f>IFERROR(ROUND(VLOOKUP($A29,'HALF YEARLY'!$1:$1048576,6,0)*0.8,0),VLOOKUP($A29,'HALF YEARLY'!$1:$1048576,6,0))</f>
        <v>0</v>
      </c>
      <c r="N29" s="31">
        <f t="shared" si="3"/>
        <v>0</v>
      </c>
      <c r="O29" s="25">
        <f>VLOOKUP($A29,'UT-I '!$1:$1048576,7,0)</f>
        <v>0</v>
      </c>
      <c r="P29" s="25">
        <f>IFERROR(ROUND(VLOOKUP($A29,'HALF YEARLY'!$1:$1048576,7,0)*0.8,0),VLOOKUP($A29,'HALF YEARLY'!$1:$1048576,7,0))</f>
        <v>0</v>
      </c>
      <c r="Q29" s="31">
        <f t="shared" si="4"/>
        <v>0</v>
      </c>
      <c r="R29" s="25">
        <f>VLOOKUP($A29,'UT-I '!$1:$1048576,8,0)</f>
        <v>0</v>
      </c>
      <c r="S29" s="25">
        <f>IFERROR(ROUND(VLOOKUP($A29,'HALF YEARLY'!$1:$1048576,8,0)*0.8,0),VLOOKUP($A29,'HALF YEARLY'!$1:$1048576,8,0))</f>
        <v>0</v>
      </c>
      <c r="T29" s="31">
        <f t="shared" si="5"/>
        <v>0</v>
      </c>
      <c r="U29" s="25">
        <f>VLOOKUP($A29,'HALF YEARLY'!$1:$1048576,9,0)</f>
        <v>0</v>
      </c>
      <c r="V29" s="25">
        <f>VLOOKUP($A29,'HALF YEARLY'!$1:$1048576,10,0)</f>
        <v>0</v>
      </c>
      <c r="W29" s="25">
        <f>VLOOKUP($A29,'HALF YEARLY'!$1:$1048576,11,0)</f>
        <v>0</v>
      </c>
      <c r="X29" s="25">
        <f>VLOOKUP($A29,'HALF YEARLY'!$1:$1048576,12,0)</f>
        <v>0</v>
      </c>
      <c r="Y29" s="25">
        <f>VLOOKUP($A29,'HALF YEARLY'!$1:$1048576,13,0)</f>
        <v>0</v>
      </c>
      <c r="Z29" s="25">
        <f>VLOOKUP($A29,'HALF YEARLY'!$1:$1048576,14,0)</f>
        <v>0</v>
      </c>
      <c r="AA29" s="30">
        <f>VLOOKUP($A29,'HALF YEARLY'!$1:$1048576,15,0)</f>
        <v>0</v>
      </c>
    </row>
    <row r="30" spans="1:27" x14ac:dyDescent="0.3">
      <c r="A30" s="3">
        <f>DETAILS!A29</f>
        <v>1653</v>
      </c>
      <c r="B30" s="3" t="str">
        <f>DETAILS!B29</f>
        <v>MUSKAN MEENA</v>
      </c>
      <c r="C30" s="25">
        <f>VLOOKUP($A30,'UT-I '!$1:$1048576,3,0)</f>
        <v>0</v>
      </c>
      <c r="D30" s="25">
        <f>IFERROR(ROUND(VLOOKUP($A30,'HALF YEARLY'!$1:$1048576,3,0)*0.8,0),VLOOKUP($A30,'HALF YEARLY'!$1:$1048576,3,0))</f>
        <v>0</v>
      </c>
      <c r="E30" s="31">
        <f t="shared" si="0"/>
        <v>0</v>
      </c>
      <c r="F30" s="25">
        <f>VLOOKUP($A30,'UT-I '!$1:$1048576,4,0)</f>
        <v>0</v>
      </c>
      <c r="G30" s="25">
        <f>IFERROR(ROUND(VLOOKUP($A30,'HALF YEARLY'!$1:$1048576,4,0)*0.8,0),VLOOKUP($A30,'HALF YEARLY'!$1:$1048576,4,0))</f>
        <v>0</v>
      </c>
      <c r="H30" s="31">
        <f t="shared" si="1"/>
        <v>0</v>
      </c>
      <c r="I30" s="25">
        <f>VLOOKUP($A30,'UT-I '!$1:$1048576,5,0)</f>
        <v>0</v>
      </c>
      <c r="J30" s="25">
        <f>IFERROR(ROUND(VLOOKUP($A30,'HALF YEARLY'!$1:$1048576,5,0)*0.8,0),VLOOKUP($A30,'HALF YEARLY'!$1:$1048576,5,0))</f>
        <v>0</v>
      </c>
      <c r="K30" s="31">
        <f t="shared" si="2"/>
        <v>0</v>
      </c>
      <c r="L30" s="25">
        <f>VLOOKUP($A30,'UT-I '!$1:$1048576,6,0)</f>
        <v>0</v>
      </c>
      <c r="M30" s="25">
        <f>IFERROR(ROUND(VLOOKUP($A30,'HALF YEARLY'!$1:$1048576,6,0)*0.8,0),VLOOKUP($A30,'HALF YEARLY'!$1:$1048576,6,0))</f>
        <v>0</v>
      </c>
      <c r="N30" s="31">
        <f t="shared" si="3"/>
        <v>0</v>
      </c>
      <c r="O30" s="25">
        <f>VLOOKUP($A30,'UT-I '!$1:$1048576,7,0)</f>
        <v>0</v>
      </c>
      <c r="P30" s="25">
        <f>IFERROR(ROUND(VLOOKUP($A30,'HALF YEARLY'!$1:$1048576,7,0)*0.8,0),VLOOKUP($A30,'HALF YEARLY'!$1:$1048576,7,0))</f>
        <v>0</v>
      </c>
      <c r="Q30" s="31">
        <f t="shared" si="4"/>
        <v>0</v>
      </c>
      <c r="R30" s="25">
        <f>VLOOKUP($A30,'UT-I '!$1:$1048576,8,0)</f>
        <v>0</v>
      </c>
      <c r="S30" s="25">
        <f>IFERROR(ROUND(VLOOKUP($A30,'HALF YEARLY'!$1:$1048576,8,0)*0.8,0),VLOOKUP($A30,'HALF YEARLY'!$1:$1048576,8,0))</f>
        <v>0</v>
      </c>
      <c r="T30" s="31">
        <f t="shared" si="5"/>
        <v>0</v>
      </c>
      <c r="U30" s="25">
        <f>VLOOKUP($A30,'HALF YEARLY'!$1:$1048576,9,0)</f>
        <v>0</v>
      </c>
      <c r="V30" s="25">
        <f>VLOOKUP($A30,'HALF YEARLY'!$1:$1048576,10,0)</f>
        <v>0</v>
      </c>
      <c r="W30" s="25">
        <f>VLOOKUP($A30,'HALF YEARLY'!$1:$1048576,11,0)</f>
        <v>0</v>
      </c>
      <c r="X30" s="25">
        <f>VLOOKUP($A30,'HALF YEARLY'!$1:$1048576,12,0)</f>
        <v>0</v>
      </c>
      <c r="Y30" s="25">
        <f>VLOOKUP($A30,'HALF YEARLY'!$1:$1048576,13,0)</f>
        <v>0</v>
      </c>
      <c r="Z30" s="25">
        <f>VLOOKUP($A30,'HALF YEARLY'!$1:$1048576,14,0)</f>
        <v>0</v>
      </c>
      <c r="AA30" s="30">
        <f>VLOOKUP($A30,'HALF YEARLY'!$1:$1048576,15,0)</f>
        <v>0</v>
      </c>
    </row>
    <row r="31" spans="1:27" x14ac:dyDescent="0.3">
      <c r="A31" s="3">
        <f>DETAILS!A30</f>
        <v>1700</v>
      </c>
      <c r="B31" s="3" t="str">
        <f>DETAILS!B30</f>
        <v>NASHRA</v>
      </c>
      <c r="C31" s="25">
        <f>VLOOKUP($A31,'UT-I '!$1:$1048576,3,0)</f>
        <v>0</v>
      </c>
      <c r="D31" s="25">
        <f>IFERROR(ROUND(VLOOKUP($A31,'HALF YEARLY'!$1:$1048576,3,0)*0.8,0),VLOOKUP($A31,'HALF YEARLY'!$1:$1048576,3,0))</f>
        <v>0</v>
      </c>
      <c r="E31" s="31">
        <f t="shared" si="0"/>
        <v>0</v>
      </c>
      <c r="F31" s="25">
        <f>VLOOKUP($A31,'UT-I '!$1:$1048576,4,0)</f>
        <v>0</v>
      </c>
      <c r="G31" s="25">
        <f>IFERROR(ROUND(VLOOKUP($A31,'HALF YEARLY'!$1:$1048576,4,0)*0.8,0),VLOOKUP($A31,'HALF YEARLY'!$1:$1048576,4,0))</f>
        <v>0</v>
      </c>
      <c r="H31" s="31">
        <f t="shared" si="1"/>
        <v>0</v>
      </c>
      <c r="I31" s="25">
        <f>VLOOKUP($A31,'UT-I '!$1:$1048576,5,0)</f>
        <v>0</v>
      </c>
      <c r="J31" s="25">
        <f>IFERROR(ROUND(VLOOKUP($A31,'HALF YEARLY'!$1:$1048576,5,0)*0.8,0),VLOOKUP($A31,'HALF YEARLY'!$1:$1048576,5,0))</f>
        <v>0</v>
      </c>
      <c r="K31" s="31">
        <f t="shared" si="2"/>
        <v>0</v>
      </c>
      <c r="L31" s="25">
        <f>VLOOKUP($A31,'UT-I '!$1:$1048576,6,0)</f>
        <v>0</v>
      </c>
      <c r="M31" s="25">
        <f>IFERROR(ROUND(VLOOKUP($A31,'HALF YEARLY'!$1:$1048576,6,0)*0.8,0),VLOOKUP($A31,'HALF YEARLY'!$1:$1048576,6,0))</f>
        <v>0</v>
      </c>
      <c r="N31" s="31">
        <f t="shared" si="3"/>
        <v>0</v>
      </c>
      <c r="O31" s="25">
        <f>VLOOKUP($A31,'UT-I '!$1:$1048576,7,0)</f>
        <v>0</v>
      </c>
      <c r="P31" s="25">
        <f>IFERROR(ROUND(VLOOKUP($A31,'HALF YEARLY'!$1:$1048576,7,0)*0.8,0),VLOOKUP($A31,'HALF YEARLY'!$1:$1048576,7,0))</f>
        <v>0</v>
      </c>
      <c r="Q31" s="31">
        <f t="shared" si="4"/>
        <v>0</v>
      </c>
      <c r="R31" s="25">
        <f>VLOOKUP($A31,'UT-I '!$1:$1048576,8,0)</f>
        <v>0</v>
      </c>
      <c r="S31" s="25">
        <f>IFERROR(ROUND(VLOOKUP($A31,'HALF YEARLY'!$1:$1048576,8,0)*0.8,0),VLOOKUP($A31,'HALF YEARLY'!$1:$1048576,8,0))</f>
        <v>0</v>
      </c>
      <c r="T31" s="31">
        <f t="shared" si="5"/>
        <v>0</v>
      </c>
      <c r="U31" s="25">
        <f>VLOOKUP($A31,'HALF YEARLY'!$1:$1048576,9,0)</f>
        <v>0</v>
      </c>
      <c r="V31" s="25">
        <f>VLOOKUP($A31,'HALF YEARLY'!$1:$1048576,10,0)</f>
        <v>0</v>
      </c>
      <c r="W31" s="25">
        <f>VLOOKUP($A31,'HALF YEARLY'!$1:$1048576,11,0)</f>
        <v>0</v>
      </c>
      <c r="X31" s="25">
        <f>VLOOKUP($A31,'HALF YEARLY'!$1:$1048576,12,0)</f>
        <v>0</v>
      </c>
      <c r="Y31" s="25">
        <f>VLOOKUP($A31,'HALF YEARLY'!$1:$1048576,13,0)</f>
        <v>0</v>
      </c>
      <c r="Z31" s="25">
        <f>VLOOKUP($A31,'HALF YEARLY'!$1:$1048576,14,0)</f>
        <v>0</v>
      </c>
      <c r="AA31" s="30">
        <f>VLOOKUP($A31,'HALF YEARLY'!$1:$1048576,15,0)</f>
        <v>0</v>
      </c>
    </row>
    <row r="32" spans="1:27" x14ac:dyDescent="0.3">
      <c r="A32" s="3">
        <f>DETAILS!A31</f>
        <v>1603</v>
      </c>
      <c r="B32" s="3" t="str">
        <f>DETAILS!B31</f>
        <v>PRAGATI TIWARI</v>
      </c>
      <c r="C32" s="25">
        <f>VLOOKUP($A32,'UT-I '!$1:$1048576,3,0)</f>
        <v>0</v>
      </c>
      <c r="D32" s="25">
        <f>IFERROR(ROUND(VLOOKUP($A32,'HALF YEARLY'!$1:$1048576,3,0)*0.8,0),VLOOKUP($A32,'HALF YEARLY'!$1:$1048576,3,0))</f>
        <v>0</v>
      </c>
      <c r="E32" s="31">
        <f t="shared" si="0"/>
        <v>0</v>
      </c>
      <c r="F32" s="25">
        <f>VLOOKUP($A32,'UT-I '!$1:$1048576,4,0)</f>
        <v>0</v>
      </c>
      <c r="G32" s="25">
        <f>IFERROR(ROUND(VLOOKUP($A32,'HALF YEARLY'!$1:$1048576,4,0)*0.8,0),VLOOKUP($A32,'HALF YEARLY'!$1:$1048576,4,0))</f>
        <v>0</v>
      </c>
      <c r="H32" s="31">
        <f t="shared" si="1"/>
        <v>0</v>
      </c>
      <c r="I32" s="25">
        <f>VLOOKUP($A32,'UT-I '!$1:$1048576,5,0)</f>
        <v>0</v>
      </c>
      <c r="J32" s="25">
        <f>IFERROR(ROUND(VLOOKUP($A32,'HALF YEARLY'!$1:$1048576,5,0)*0.8,0),VLOOKUP($A32,'HALF YEARLY'!$1:$1048576,5,0))</f>
        <v>0</v>
      </c>
      <c r="K32" s="31">
        <f t="shared" si="2"/>
        <v>0</v>
      </c>
      <c r="L32" s="25">
        <f>VLOOKUP($A32,'UT-I '!$1:$1048576,6,0)</f>
        <v>0</v>
      </c>
      <c r="M32" s="25">
        <f>IFERROR(ROUND(VLOOKUP($A32,'HALF YEARLY'!$1:$1048576,6,0)*0.8,0),VLOOKUP($A32,'HALF YEARLY'!$1:$1048576,6,0))</f>
        <v>0</v>
      </c>
      <c r="N32" s="31">
        <f t="shared" si="3"/>
        <v>0</v>
      </c>
      <c r="O32" s="25">
        <f>VLOOKUP($A32,'UT-I '!$1:$1048576,7,0)</f>
        <v>0</v>
      </c>
      <c r="P32" s="25">
        <f>IFERROR(ROUND(VLOOKUP($A32,'HALF YEARLY'!$1:$1048576,7,0)*0.8,0),VLOOKUP($A32,'HALF YEARLY'!$1:$1048576,7,0))</f>
        <v>0</v>
      </c>
      <c r="Q32" s="31">
        <f t="shared" si="4"/>
        <v>0</v>
      </c>
      <c r="R32" s="25">
        <f>VLOOKUP($A32,'UT-I '!$1:$1048576,8,0)</f>
        <v>0</v>
      </c>
      <c r="S32" s="25">
        <f>IFERROR(ROUND(VLOOKUP($A32,'HALF YEARLY'!$1:$1048576,8,0)*0.8,0),VLOOKUP($A32,'HALF YEARLY'!$1:$1048576,8,0))</f>
        <v>0</v>
      </c>
      <c r="T32" s="31">
        <f t="shared" si="5"/>
        <v>0</v>
      </c>
      <c r="U32" s="25">
        <f>VLOOKUP($A32,'HALF YEARLY'!$1:$1048576,9,0)</f>
        <v>0</v>
      </c>
      <c r="V32" s="25">
        <f>VLOOKUP($A32,'HALF YEARLY'!$1:$1048576,10,0)</f>
        <v>0</v>
      </c>
      <c r="W32" s="25">
        <f>VLOOKUP($A32,'HALF YEARLY'!$1:$1048576,11,0)</f>
        <v>0</v>
      </c>
      <c r="X32" s="25">
        <f>VLOOKUP($A32,'HALF YEARLY'!$1:$1048576,12,0)</f>
        <v>0</v>
      </c>
      <c r="Y32" s="25">
        <f>VLOOKUP($A32,'HALF YEARLY'!$1:$1048576,13,0)</f>
        <v>0</v>
      </c>
      <c r="Z32" s="25">
        <f>VLOOKUP($A32,'HALF YEARLY'!$1:$1048576,14,0)</f>
        <v>0</v>
      </c>
      <c r="AA32" s="30">
        <f>VLOOKUP($A32,'HALF YEARLY'!$1:$1048576,15,0)</f>
        <v>0</v>
      </c>
    </row>
    <row r="33" spans="1:27" x14ac:dyDescent="0.3">
      <c r="A33" s="3">
        <f>DETAILS!A32</f>
        <v>764</v>
      </c>
      <c r="B33" s="3" t="str">
        <f>DETAILS!B32</f>
        <v>PRAKHAR VERMA</v>
      </c>
      <c r="C33" s="25">
        <f>VLOOKUP($A33,'UT-I '!$1:$1048576,3,0)</f>
        <v>0</v>
      </c>
      <c r="D33" s="25">
        <f>IFERROR(ROUND(VLOOKUP($A33,'HALF YEARLY'!$1:$1048576,3,0)*0.8,0),VLOOKUP($A33,'HALF YEARLY'!$1:$1048576,3,0))</f>
        <v>0</v>
      </c>
      <c r="E33" s="31">
        <f t="shared" si="0"/>
        <v>0</v>
      </c>
      <c r="F33" s="25">
        <f>VLOOKUP($A33,'UT-I '!$1:$1048576,4,0)</f>
        <v>0</v>
      </c>
      <c r="G33" s="25">
        <f>IFERROR(ROUND(VLOOKUP($A33,'HALF YEARLY'!$1:$1048576,4,0)*0.8,0),VLOOKUP($A33,'HALF YEARLY'!$1:$1048576,4,0))</f>
        <v>0</v>
      </c>
      <c r="H33" s="31">
        <f t="shared" si="1"/>
        <v>0</v>
      </c>
      <c r="I33" s="25">
        <f>VLOOKUP($A33,'UT-I '!$1:$1048576,5,0)</f>
        <v>0</v>
      </c>
      <c r="J33" s="25">
        <f>IFERROR(ROUND(VLOOKUP($A33,'HALF YEARLY'!$1:$1048576,5,0)*0.8,0),VLOOKUP($A33,'HALF YEARLY'!$1:$1048576,5,0))</f>
        <v>0</v>
      </c>
      <c r="K33" s="31">
        <f t="shared" si="2"/>
        <v>0</v>
      </c>
      <c r="L33" s="25">
        <f>VLOOKUP($A33,'UT-I '!$1:$1048576,6,0)</f>
        <v>0</v>
      </c>
      <c r="M33" s="25">
        <f>IFERROR(ROUND(VLOOKUP($A33,'HALF YEARLY'!$1:$1048576,6,0)*0.8,0),VLOOKUP($A33,'HALF YEARLY'!$1:$1048576,6,0))</f>
        <v>0</v>
      </c>
      <c r="N33" s="31">
        <f t="shared" si="3"/>
        <v>0</v>
      </c>
      <c r="O33" s="25">
        <f>VLOOKUP($A33,'UT-I '!$1:$1048576,7,0)</f>
        <v>0</v>
      </c>
      <c r="P33" s="25">
        <f>IFERROR(ROUND(VLOOKUP($A33,'HALF YEARLY'!$1:$1048576,7,0)*0.8,0),VLOOKUP($A33,'HALF YEARLY'!$1:$1048576,7,0))</f>
        <v>0</v>
      </c>
      <c r="Q33" s="31">
        <f t="shared" si="4"/>
        <v>0</v>
      </c>
      <c r="R33" s="25">
        <f>VLOOKUP($A33,'UT-I '!$1:$1048576,8,0)</f>
        <v>0</v>
      </c>
      <c r="S33" s="25">
        <f>IFERROR(ROUND(VLOOKUP($A33,'HALF YEARLY'!$1:$1048576,8,0)*0.8,0),VLOOKUP($A33,'HALF YEARLY'!$1:$1048576,8,0))</f>
        <v>0</v>
      </c>
      <c r="T33" s="31">
        <f t="shared" si="5"/>
        <v>0</v>
      </c>
      <c r="U33" s="25">
        <f>VLOOKUP($A33,'HALF YEARLY'!$1:$1048576,9,0)</f>
        <v>0</v>
      </c>
      <c r="V33" s="25">
        <f>VLOOKUP($A33,'HALF YEARLY'!$1:$1048576,10,0)</f>
        <v>0</v>
      </c>
      <c r="W33" s="25">
        <f>VLOOKUP($A33,'HALF YEARLY'!$1:$1048576,11,0)</f>
        <v>0</v>
      </c>
      <c r="X33" s="25">
        <f>VLOOKUP($A33,'HALF YEARLY'!$1:$1048576,12,0)</f>
        <v>0</v>
      </c>
      <c r="Y33" s="25">
        <f>VLOOKUP($A33,'HALF YEARLY'!$1:$1048576,13,0)</f>
        <v>0</v>
      </c>
      <c r="Z33" s="25">
        <f>VLOOKUP($A33,'HALF YEARLY'!$1:$1048576,14,0)</f>
        <v>0</v>
      </c>
      <c r="AA33" s="30">
        <f>VLOOKUP($A33,'HALF YEARLY'!$1:$1048576,15,0)</f>
        <v>0</v>
      </c>
    </row>
    <row r="34" spans="1:27" x14ac:dyDescent="0.3">
      <c r="A34" s="3">
        <f>DETAILS!A33</f>
        <v>1301</v>
      </c>
      <c r="B34" s="3" t="str">
        <f>DETAILS!B33</f>
        <v>PRASHANT YADAV</v>
      </c>
      <c r="C34" s="25">
        <f>VLOOKUP($A34,'UT-I '!$1:$1048576,3,0)</f>
        <v>0</v>
      </c>
      <c r="D34" s="25">
        <f>IFERROR(ROUND(VLOOKUP($A34,'HALF YEARLY'!$1:$1048576,3,0)*0.8,0),VLOOKUP($A34,'HALF YEARLY'!$1:$1048576,3,0))</f>
        <v>0</v>
      </c>
      <c r="E34" s="31">
        <f t="shared" si="0"/>
        <v>0</v>
      </c>
      <c r="F34" s="25">
        <f>VLOOKUP($A34,'UT-I '!$1:$1048576,4,0)</f>
        <v>0</v>
      </c>
      <c r="G34" s="25">
        <f>IFERROR(ROUND(VLOOKUP($A34,'HALF YEARLY'!$1:$1048576,4,0)*0.8,0),VLOOKUP($A34,'HALF YEARLY'!$1:$1048576,4,0))</f>
        <v>0</v>
      </c>
      <c r="H34" s="31">
        <f t="shared" si="1"/>
        <v>0</v>
      </c>
      <c r="I34" s="25">
        <f>VLOOKUP($A34,'UT-I '!$1:$1048576,5,0)</f>
        <v>0</v>
      </c>
      <c r="J34" s="25">
        <f>IFERROR(ROUND(VLOOKUP($A34,'HALF YEARLY'!$1:$1048576,5,0)*0.8,0),VLOOKUP($A34,'HALF YEARLY'!$1:$1048576,5,0))</f>
        <v>0</v>
      </c>
      <c r="K34" s="31">
        <f t="shared" si="2"/>
        <v>0</v>
      </c>
      <c r="L34" s="25">
        <f>VLOOKUP($A34,'UT-I '!$1:$1048576,6,0)</f>
        <v>0</v>
      </c>
      <c r="M34" s="25">
        <f>IFERROR(ROUND(VLOOKUP($A34,'HALF YEARLY'!$1:$1048576,6,0)*0.8,0),VLOOKUP($A34,'HALF YEARLY'!$1:$1048576,6,0))</f>
        <v>0</v>
      </c>
      <c r="N34" s="31">
        <f t="shared" si="3"/>
        <v>0</v>
      </c>
      <c r="O34" s="25">
        <f>VLOOKUP($A34,'UT-I '!$1:$1048576,7,0)</f>
        <v>0</v>
      </c>
      <c r="P34" s="25">
        <f>IFERROR(ROUND(VLOOKUP($A34,'HALF YEARLY'!$1:$1048576,7,0)*0.8,0),VLOOKUP($A34,'HALF YEARLY'!$1:$1048576,7,0))</f>
        <v>0</v>
      </c>
      <c r="Q34" s="31">
        <f t="shared" si="4"/>
        <v>0</v>
      </c>
      <c r="R34" s="25">
        <f>VLOOKUP($A34,'UT-I '!$1:$1048576,8,0)</f>
        <v>0</v>
      </c>
      <c r="S34" s="25">
        <f>IFERROR(ROUND(VLOOKUP($A34,'HALF YEARLY'!$1:$1048576,8,0)*0.8,0),VLOOKUP($A34,'HALF YEARLY'!$1:$1048576,8,0))</f>
        <v>0</v>
      </c>
      <c r="T34" s="31">
        <f t="shared" si="5"/>
        <v>0</v>
      </c>
      <c r="U34" s="25">
        <f>VLOOKUP($A34,'HALF YEARLY'!$1:$1048576,9,0)</f>
        <v>0</v>
      </c>
      <c r="V34" s="25">
        <f>VLOOKUP($A34,'HALF YEARLY'!$1:$1048576,10,0)</f>
        <v>0</v>
      </c>
      <c r="W34" s="25">
        <f>VLOOKUP($A34,'HALF YEARLY'!$1:$1048576,11,0)</f>
        <v>0</v>
      </c>
      <c r="X34" s="25">
        <f>VLOOKUP($A34,'HALF YEARLY'!$1:$1048576,12,0)</f>
        <v>0</v>
      </c>
      <c r="Y34" s="25">
        <f>VLOOKUP($A34,'HALF YEARLY'!$1:$1048576,13,0)</f>
        <v>0</v>
      </c>
      <c r="Z34" s="25">
        <f>VLOOKUP($A34,'HALF YEARLY'!$1:$1048576,14,0)</f>
        <v>0</v>
      </c>
      <c r="AA34" s="30">
        <f>VLOOKUP($A34,'HALF YEARLY'!$1:$1048576,15,0)</f>
        <v>0</v>
      </c>
    </row>
    <row r="35" spans="1:27" x14ac:dyDescent="0.3">
      <c r="A35" s="3">
        <f>DETAILS!A34</f>
        <v>1641</v>
      </c>
      <c r="B35" s="3" t="str">
        <f>DETAILS!B34</f>
        <v>PRIYANSHU YADAV</v>
      </c>
      <c r="C35" s="25">
        <f>VLOOKUP($A35,'UT-I '!$1:$1048576,3,0)</f>
        <v>0</v>
      </c>
      <c r="D35" s="25">
        <f>IFERROR(ROUND(VLOOKUP($A35,'HALF YEARLY'!$1:$1048576,3,0)*0.8,0),VLOOKUP($A35,'HALF YEARLY'!$1:$1048576,3,0))</f>
        <v>0</v>
      </c>
      <c r="E35" s="31">
        <f t="shared" si="0"/>
        <v>0</v>
      </c>
      <c r="F35" s="25">
        <f>VLOOKUP($A35,'UT-I '!$1:$1048576,4,0)</f>
        <v>0</v>
      </c>
      <c r="G35" s="25">
        <f>IFERROR(ROUND(VLOOKUP($A35,'HALF YEARLY'!$1:$1048576,4,0)*0.8,0),VLOOKUP($A35,'HALF YEARLY'!$1:$1048576,4,0))</f>
        <v>0</v>
      </c>
      <c r="H35" s="31">
        <f t="shared" si="1"/>
        <v>0</v>
      </c>
      <c r="I35" s="25">
        <f>VLOOKUP($A35,'UT-I '!$1:$1048576,5,0)</f>
        <v>0</v>
      </c>
      <c r="J35" s="25">
        <f>IFERROR(ROUND(VLOOKUP($A35,'HALF YEARLY'!$1:$1048576,5,0)*0.8,0),VLOOKUP($A35,'HALF YEARLY'!$1:$1048576,5,0))</f>
        <v>0</v>
      </c>
      <c r="K35" s="31">
        <f t="shared" si="2"/>
        <v>0</v>
      </c>
      <c r="L35" s="25">
        <f>VLOOKUP($A35,'UT-I '!$1:$1048576,6,0)</f>
        <v>0</v>
      </c>
      <c r="M35" s="25">
        <f>IFERROR(ROUND(VLOOKUP($A35,'HALF YEARLY'!$1:$1048576,6,0)*0.8,0),VLOOKUP($A35,'HALF YEARLY'!$1:$1048576,6,0))</f>
        <v>0</v>
      </c>
      <c r="N35" s="31">
        <f t="shared" si="3"/>
        <v>0</v>
      </c>
      <c r="O35" s="25">
        <f>VLOOKUP($A35,'UT-I '!$1:$1048576,7,0)</f>
        <v>0</v>
      </c>
      <c r="P35" s="25">
        <f>IFERROR(ROUND(VLOOKUP($A35,'HALF YEARLY'!$1:$1048576,7,0)*0.8,0),VLOOKUP($A35,'HALF YEARLY'!$1:$1048576,7,0))</f>
        <v>0</v>
      </c>
      <c r="Q35" s="31">
        <f t="shared" si="4"/>
        <v>0</v>
      </c>
      <c r="R35" s="25">
        <f>VLOOKUP($A35,'UT-I '!$1:$1048576,8,0)</f>
        <v>0</v>
      </c>
      <c r="S35" s="25">
        <f>IFERROR(ROUND(VLOOKUP($A35,'HALF YEARLY'!$1:$1048576,8,0)*0.8,0),VLOOKUP($A35,'HALF YEARLY'!$1:$1048576,8,0))</f>
        <v>0</v>
      </c>
      <c r="T35" s="31">
        <f t="shared" si="5"/>
        <v>0</v>
      </c>
      <c r="U35" s="25">
        <f>VLOOKUP($A35,'HALF YEARLY'!$1:$1048576,9,0)</f>
        <v>0</v>
      </c>
      <c r="V35" s="25">
        <f>VLOOKUP($A35,'HALF YEARLY'!$1:$1048576,10,0)</f>
        <v>0</v>
      </c>
      <c r="W35" s="25">
        <f>VLOOKUP($A35,'HALF YEARLY'!$1:$1048576,11,0)</f>
        <v>0</v>
      </c>
      <c r="X35" s="25">
        <f>VLOOKUP($A35,'HALF YEARLY'!$1:$1048576,12,0)</f>
        <v>0</v>
      </c>
      <c r="Y35" s="25">
        <f>VLOOKUP($A35,'HALF YEARLY'!$1:$1048576,13,0)</f>
        <v>0</v>
      </c>
      <c r="Z35" s="25">
        <f>VLOOKUP($A35,'HALF YEARLY'!$1:$1048576,14,0)</f>
        <v>0</v>
      </c>
      <c r="AA35" s="30">
        <f>VLOOKUP($A35,'HALF YEARLY'!$1:$1048576,15,0)</f>
        <v>0</v>
      </c>
    </row>
    <row r="36" spans="1:27" x14ac:dyDescent="0.3">
      <c r="A36" s="3">
        <f>DETAILS!A35</f>
        <v>1669</v>
      </c>
      <c r="B36" s="3" t="str">
        <f>DETAILS!B35</f>
        <v>RAUNAK KUMAR</v>
      </c>
      <c r="C36" s="25">
        <f>VLOOKUP($A36,'UT-I '!$1:$1048576,3,0)</f>
        <v>0</v>
      </c>
      <c r="D36" s="25">
        <f>IFERROR(ROUND(VLOOKUP($A36,'HALF YEARLY'!$1:$1048576,3,0)*0.8,0),VLOOKUP($A36,'HALF YEARLY'!$1:$1048576,3,0))</f>
        <v>0</v>
      </c>
      <c r="E36" s="31">
        <f t="shared" si="0"/>
        <v>0</v>
      </c>
      <c r="F36" s="25">
        <f>VLOOKUP($A36,'UT-I '!$1:$1048576,4,0)</f>
        <v>0</v>
      </c>
      <c r="G36" s="25">
        <f>IFERROR(ROUND(VLOOKUP($A36,'HALF YEARLY'!$1:$1048576,4,0)*0.8,0),VLOOKUP($A36,'HALF YEARLY'!$1:$1048576,4,0))</f>
        <v>0</v>
      </c>
      <c r="H36" s="31">
        <f t="shared" si="1"/>
        <v>0</v>
      </c>
      <c r="I36" s="25">
        <f>VLOOKUP($A36,'UT-I '!$1:$1048576,5,0)</f>
        <v>0</v>
      </c>
      <c r="J36" s="25">
        <f>IFERROR(ROUND(VLOOKUP($A36,'HALF YEARLY'!$1:$1048576,5,0)*0.8,0),VLOOKUP($A36,'HALF YEARLY'!$1:$1048576,5,0))</f>
        <v>0</v>
      </c>
      <c r="K36" s="31">
        <f t="shared" si="2"/>
        <v>0</v>
      </c>
      <c r="L36" s="25">
        <f>VLOOKUP($A36,'UT-I '!$1:$1048576,6,0)</f>
        <v>0</v>
      </c>
      <c r="M36" s="25">
        <f>IFERROR(ROUND(VLOOKUP($A36,'HALF YEARLY'!$1:$1048576,6,0)*0.8,0),VLOOKUP($A36,'HALF YEARLY'!$1:$1048576,6,0))</f>
        <v>0</v>
      </c>
      <c r="N36" s="31">
        <f t="shared" si="3"/>
        <v>0</v>
      </c>
      <c r="O36" s="25">
        <f>VLOOKUP($A36,'UT-I '!$1:$1048576,7,0)</f>
        <v>0</v>
      </c>
      <c r="P36" s="25">
        <f>IFERROR(ROUND(VLOOKUP($A36,'HALF YEARLY'!$1:$1048576,7,0)*0.8,0),VLOOKUP($A36,'HALF YEARLY'!$1:$1048576,7,0))</f>
        <v>0</v>
      </c>
      <c r="Q36" s="31">
        <f t="shared" si="4"/>
        <v>0</v>
      </c>
      <c r="R36" s="25">
        <f>VLOOKUP($A36,'UT-I '!$1:$1048576,8,0)</f>
        <v>0</v>
      </c>
      <c r="S36" s="25">
        <f>IFERROR(ROUND(VLOOKUP($A36,'HALF YEARLY'!$1:$1048576,8,0)*0.8,0),VLOOKUP($A36,'HALF YEARLY'!$1:$1048576,8,0))</f>
        <v>0</v>
      </c>
      <c r="T36" s="31">
        <f t="shared" si="5"/>
        <v>0</v>
      </c>
      <c r="U36" s="25">
        <f>VLOOKUP($A36,'HALF YEARLY'!$1:$1048576,9,0)</f>
        <v>0</v>
      </c>
      <c r="V36" s="25">
        <f>VLOOKUP($A36,'HALF YEARLY'!$1:$1048576,10,0)</f>
        <v>0</v>
      </c>
      <c r="W36" s="25">
        <f>VLOOKUP($A36,'HALF YEARLY'!$1:$1048576,11,0)</f>
        <v>0</v>
      </c>
      <c r="X36" s="25">
        <f>VLOOKUP($A36,'HALF YEARLY'!$1:$1048576,12,0)</f>
        <v>0</v>
      </c>
      <c r="Y36" s="25">
        <f>VLOOKUP($A36,'HALF YEARLY'!$1:$1048576,13,0)</f>
        <v>0</v>
      </c>
      <c r="Z36" s="25">
        <f>VLOOKUP($A36,'HALF YEARLY'!$1:$1048576,14,0)</f>
        <v>0</v>
      </c>
      <c r="AA36" s="30">
        <f>VLOOKUP($A36,'HALF YEARLY'!$1:$1048576,15,0)</f>
        <v>0</v>
      </c>
    </row>
    <row r="37" spans="1:27" x14ac:dyDescent="0.3">
      <c r="A37" s="3">
        <f>DETAILS!A36</f>
        <v>806</v>
      </c>
      <c r="B37" s="3" t="str">
        <f>DETAILS!B36</f>
        <v>SAMRIDH SRIVASTAVA</v>
      </c>
      <c r="C37" s="25">
        <f>VLOOKUP($A37,'UT-I '!$1:$1048576,3,0)</f>
        <v>0</v>
      </c>
      <c r="D37" s="25">
        <f>IFERROR(ROUND(VLOOKUP($A37,'HALF YEARLY'!$1:$1048576,3,0)*0.8,0),VLOOKUP($A37,'HALF YEARLY'!$1:$1048576,3,0))</f>
        <v>0</v>
      </c>
      <c r="E37" s="31">
        <f t="shared" si="0"/>
        <v>0</v>
      </c>
      <c r="F37" s="25">
        <f>VLOOKUP($A37,'UT-I '!$1:$1048576,4,0)</f>
        <v>0</v>
      </c>
      <c r="G37" s="25">
        <f>IFERROR(ROUND(VLOOKUP($A37,'HALF YEARLY'!$1:$1048576,4,0)*0.8,0),VLOOKUP($A37,'HALF YEARLY'!$1:$1048576,4,0))</f>
        <v>0</v>
      </c>
      <c r="H37" s="31">
        <f t="shared" si="1"/>
        <v>0</v>
      </c>
      <c r="I37" s="25">
        <f>VLOOKUP($A37,'UT-I '!$1:$1048576,5,0)</f>
        <v>0</v>
      </c>
      <c r="J37" s="25">
        <f>IFERROR(ROUND(VLOOKUP($A37,'HALF YEARLY'!$1:$1048576,5,0)*0.8,0),VLOOKUP($A37,'HALF YEARLY'!$1:$1048576,5,0))</f>
        <v>0</v>
      </c>
      <c r="K37" s="31">
        <f t="shared" si="2"/>
        <v>0</v>
      </c>
      <c r="L37" s="25">
        <f>VLOOKUP($A37,'UT-I '!$1:$1048576,6,0)</f>
        <v>0</v>
      </c>
      <c r="M37" s="25">
        <f>IFERROR(ROUND(VLOOKUP($A37,'HALF YEARLY'!$1:$1048576,6,0)*0.8,0),VLOOKUP($A37,'HALF YEARLY'!$1:$1048576,6,0))</f>
        <v>0</v>
      </c>
      <c r="N37" s="31">
        <f t="shared" si="3"/>
        <v>0</v>
      </c>
      <c r="O37" s="25">
        <f>VLOOKUP($A37,'UT-I '!$1:$1048576,7,0)</f>
        <v>0</v>
      </c>
      <c r="P37" s="25">
        <f>IFERROR(ROUND(VLOOKUP($A37,'HALF YEARLY'!$1:$1048576,7,0)*0.8,0),VLOOKUP($A37,'HALF YEARLY'!$1:$1048576,7,0))</f>
        <v>0</v>
      </c>
      <c r="Q37" s="31">
        <f t="shared" si="4"/>
        <v>0</v>
      </c>
      <c r="R37" s="25">
        <f>VLOOKUP($A37,'UT-I '!$1:$1048576,8,0)</f>
        <v>0</v>
      </c>
      <c r="S37" s="25">
        <f>IFERROR(ROUND(VLOOKUP($A37,'HALF YEARLY'!$1:$1048576,8,0)*0.8,0),VLOOKUP($A37,'HALF YEARLY'!$1:$1048576,8,0))</f>
        <v>0</v>
      </c>
      <c r="T37" s="31">
        <f t="shared" si="5"/>
        <v>0</v>
      </c>
      <c r="U37" s="25">
        <f>VLOOKUP($A37,'HALF YEARLY'!$1:$1048576,9,0)</f>
        <v>0</v>
      </c>
      <c r="V37" s="25">
        <f>VLOOKUP($A37,'HALF YEARLY'!$1:$1048576,10,0)</f>
        <v>0</v>
      </c>
      <c r="W37" s="25">
        <f>VLOOKUP($A37,'HALF YEARLY'!$1:$1048576,11,0)</f>
        <v>0</v>
      </c>
      <c r="X37" s="25">
        <f>VLOOKUP($A37,'HALF YEARLY'!$1:$1048576,12,0)</f>
        <v>0</v>
      </c>
      <c r="Y37" s="25">
        <f>VLOOKUP($A37,'HALF YEARLY'!$1:$1048576,13,0)</f>
        <v>0</v>
      </c>
      <c r="Z37" s="25">
        <f>VLOOKUP($A37,'HALF YEARLY'!$1:$1048576,14,0)</f>
        <v>0</v>
      </c>
      <c r="AA37" s="30">
        <f>VLOOKUP($A37,'HALF YEARLY'!$1:$1048576,15,0)</f>
        <v>0</v>
      </c>
    </row>
    <row r="38" spans="1:27" x14ac:dyDescent="0.3">
      <c r="A38" s="3">
        <f>DETAILS!A37</f>
        <v>1367</v>
      </c>
      <c r="B38" s="3" t="str">
        <f>DETAILS!B37</f>
        <v>SATYAM  SINGH</v>
      </c>
      <c r="C38" s="25">
        <f>VLOOKUP($A38,'UT-I '!$1:$1048576,3,0)</f>
        <v>0</v>
      </c>
      <c r="D38" s="25">
        <f>IFERROR(ROUND(VLOOKUP($A38,'HALF YEARLY'!$1:$1048576,3,0)*0.8,0),VLOOKUP($A38,'HALF YEARLY'!$1:$1048576,3,0))</f>
        <v>0</v>
      </c>
      <c r="E38" s="31">
        <f t="shared" si="0"/>
        <v>0</v>
      </c>
      <c r="F38" s="25">
        <f>VLOOKUP($A38,'UT-I '!$1:$1048576,4,0)</f>
        <v>0</v>
      </c>
      <c r="G38" s="25">
        <f>IFERROR(ROUND(VLOOKUP($A38,'HALF YEARLY'!$1:$1048576,4,0)*0.8,0),VLOOKUP($A38,'HALF YEARLY'!$1:$1048576,4,0))</f>
        <v>0</v>
      </c>
      <c r="H38" s="31">
        <f t="shared" si="1"/>
        <v>0</v>
      </c>
      <c r="I38" s="25">
        <f>VLOOKUP($A38,'UT-I '!$1:$1048576,5,0)</f>
        <v>0</v>
      </c>
      <c r="J38" s="25">
        <f>IFERROR(ROUND(VLOOKUP($A38,'HALF YEARLY'!$1:$1048576,5,0)*0.8,0),VLOOKUP($A38,'HALF YEARLY'!$1:$1048576,5,0))</f>
        <v>0</v>
      </c>
      <c r="K38" s="31">
        <f t="shared" si="2"/>
        <v>0</v>
      </c>
      <c r="L38" s="25">
        <f>VLOOKUP($A38,'UT-I '!$1:$1048576,6,0)</f>
        <v>0</v>
      </c>
      <c r="M38" s="25">
        <f>IFERROR(ROUND(VLOOKUP($A38,'HALF YEARLY'!$1:$1048576,6,0)*0.8,0),VLOOKUP($A38,'HALF YEARLY'!$1:$1048576,6,0))</f>
        <v>0</v>
      </c>
      <c r="N38" s="31">
        <f t="shared" si="3"/>
        <v>0</v>
      </c>
      <c r="O38" s="25">
        <f>VLOOKUP($A38,'UT-I '!$1:$1048576,7,0)</f>
        <v>0</v>
      </c>
      <c r="P38" s="25">
        <f>IFERROR(ROUND(VLOOKUP($A38,'HALF YEARLY'!$1:$1048576,7,0)*0.8,0),VLOOKUP($A38,'HALF YEARLY'!$1:$1048576,7,0))</f>
        <v>0</v>
      </c>
      <c r="Q38" s="31">
        <f t="shared" si="4"/>
        <v>0</v>
      </c>
      <c r="R38" s="25">
        <f>VLOOKUP($A38,'UT-I '!$1:$1048576,8,0)</f>
        <v>0</v>
      </c>
      <c r="S38" s="25">
        <f>IFERROR(ROUND(VLOOKUP($A38,'HALF YEARLY'!$1:$1048576,8,0)*0.8,0),VLOOKUP($A38,'HALF YEARLY'!$1:$1048576,8,0))</f>
        <v>0</v>
      </c>
      <c r="T38" s="31">
        <f t="shared" si="5"/>
        <v>0</v>
      </c>
      <c r="U38" s="25">
        <f>VLOOKUP($A38,'HALF YEARLY'!$1:$1048576,9,0)</f>
        <v>0</v>
      </c>
      <c r="V38" s="25">
        <f>VLOOKUP($A38,'HALF YEARLY'!$1:$1048576,10,0)</f>
        <v>0</v>
      </c>
      <c r="W38" s="25">
        <f>VLOOKUP($A38,'HALF YEARLY'!$1:$1048576,11,0)</f>
        <v>0</v>
      </c>
      <c r="X38" s="25">
        <f>VLOOKUP($A38,'HALF YEARLY'!$1:$1048576,12,0)</f>
        <v>0</v>
      </c>
      <c r="Y38" s="25">
        <f>VLOOKUP($A38,'HALF YEARLY'!$1:$1048576,13,0)</f>
        <v>0</v>
      </c>
      <c r="Z38" s="25">
        <f>VLOOKUP($A38,'HALF YEARLY'!$1:$1048576,14,0)</f>
        <v>0</v>
      </c>
      <c r="AA38" s="30">
        <f>VLOOKUP($A38,'HALF YEARLY'!$1:$1048576,15,0)</f>
        <v>0</v>
      </c>
    </row>
    <row r="39" spans="1:27" x14ac:dyDescent="0.3">
      <c r="A39" s="3">
        <f>DETAILS!A38</f>
        <v>1629</v>
      </c>
      <c r="B39" s="3" t="str">
        <f>DETAILS!B38</f>
        <v>SHAVI JAISWAL</v>
      </c>
      <c r="C39" s="25">
        <f>VLOOKUP($A39,'UT-I '!$1:$1048576,3,0)</f>
        <v>0</v>
      </c>
      <c r="D39" s="25">
        <f>IFERROR(ROUND(VLOOKUP($A39,'HALF YEARLY'!$1:$1048576,3,0)*0.8,0),VLOOKUP($A39,'HALF YEARLY'!$1:$1048576,3,0))</f>
        <v>0</v>
      </c>
      <c r="E39" s="31">
        <f t="shared" si="0"/>
        <v>0</v>
      </c>
      <c r="F39" s="25">
        <f>VLOOKUP($A39,'UT-I '!$1:$1048576,4,0)</f>
        <v>0</v>
      </c>
      <c r="G39" s="25">
        <f>IFERROR(ROUND(VLOOKUP($A39,'HALF YEARLY'!$1:$1048576,4,0)*0.8,0),VLOOKUP($A39,'HALF YEARLY'!$1:$1048576,4,0))</f>
        <v>0</v>
      </c>
      <c r="H39" s="31">
        <f t="shared" si="1"/>
        <v>0</v>
      </c>
      <c r="I39" s="25">
        <f>VLOOKUP($A39,'UT-I '!$1:$1048576,5,0)</f>
        <v>0</v>
      </c>
      <c r="J39" s="25">
        <f>IFERROR(ROUND(VLOOKUP($A39,'HALF YEARLY'!$1:$1048576,5,0)*0.8,0),VLOOKUP($A39,'HALF YEARLY'!$1:$1048576,5,0))</f>
        <v>0</v>
      </c>
      <c r="K39" s="31">
        <f t="shared" si="2"/>
        <v>0</v>
      </c>
      <c r="L39" s="25">
        <f>VLOOKUP($A39,'UT-I '!$1:$1048576,6,0)</f>
        <v>0</v>
      </c>
      <c r="M39" s="25">
        <f>IFERROR(ROUND(VLOOKUP($A39,'HALF YEARLY'!$1:$1048576,6,0)*0.8,0),VLOOKUP($A39,'HALF YEARLY'!$1:$1048576,6,0))</f>
        <v>0</v>
      </c>
      <c r="N39" s="31">
        <f t="shared" si="3"/>
        <v>0</v>
      </c>
      <c r="O39" s="25">
        <f>VLOOKUP($A39,'UT-I '!$1:$1048576,7,0)</f>
        <v>0</v>
      </c>
      <c r="P39" s="25">
        <f>IFERROR(ROUND(VLOOKUP($A39,'HALF YEARLY'!$1:$1048576,7,0)*0.8,0),VLOOKUP($A39,'HALF YEARLY'!$1:$1048576,7,0))</f>
        <v>0</v>
      </c>
      <c r="Q39" s="31">
        <f t="shared" si="4"/>
        <v>0</v>
      </c>
      <c r="R39" s="25">
        <f>VLOOKUP($A39,'UT-I '!$1:$1048576,8,0)</f>
        <v>0</v>
      </c>
      <c r="S39" s="25">
        <f>IFERROR(ROUND(VLOOKUP($A39,'HALF YEARLY'!$1:$1048576,8,0)*0.8,0),VLOOKUP($A39,'HALF YEARLY'!$1:$1048576,8,0))</f>
        <v>0</v>
      </c>
      <c r="T39" s="31">
        <f t="shared" si="5"/>
        <v>0</v>
      </c>
      <c r="U39" s="25">
        <f>VLOOKUP($A39,'HALF YEARLY'!$1:$1048576,9,0)</f>
        <v>0</v>
      </c>
      <c r="V39" s="25">
        <f>VLOOKUP($A39,'HALF YEARLY'!$1:$1048576,10,0)</f>
        <v>0</v>
      </c>
      <c r="W39" s="25">
        <f>VLOOKUP($A39,'HALF YEARLY'!$1:$1048576,11,0)</f>
        <v>0</v>
      </c>
      <c r="X39" s="25">
        <f>VLOOKUP($A39,'HALF YEARLY'!$1:$1048576,12,0)</f>
        <v>0</v>
      </c>
      <c r="Y39" s="25">
        <f>VLOOKUP($A39,'HALF YEARLY'!$1:$1048576,13,0)</f>
        <v>0</v>
      </c>
      <c r="Z39" s="25">
        <f>VLOOKUP($A39,'HALF YEARLY'!$1:$1048576,14,0)</f>
        <v>0</v>
      </c>
      <c r="AA39" s="30">
        <f>VLOOKUP($A39,'HALF YEARLY'!$1:$1048576,15,0)</f>
        <v>0</v>
      </c>
    </row>
    <row r="40" spans="1:27" x14ac:dyDescent="0.3">
      <c r="A40" s="3">
        <f>DETAILS!A39</f>
        <v>1667</v>
      </c>
      <c r="B40" s="3" t="str">
        <f>DETAILS!B39</f>
        <v>SHIVA VERMA</v>
      </c>
      <c r="C40" s="25">
        <f>VLOOKUP($A40,'UT-I '!$1:$1048576,3,0)</f>
        <v>0</v>
      </c>
      <c r="D40" s="25">
        <f>IFERROR(ROUND(VLOOKUP($A40,'HALF YEARLY'!$1:$1048576,3,0)*0.8,0),VLOOKUP($A40,'HALF YEARLY'!$1:$1048576,3,0))</f>
        <v>0</v>
      </c>
      <c r="E40" s="31">
        <f t="shared" si="0"/>
        <v>0</v>
      </c>
      <c r="F40" s="25">
        <f>VLOOKUP($A40,'UT-I '!$1:$1048576,4,0)</f>
        <v>0</v>
      </c>
      <c r="G40" s="25">
        <f>IFERROR(ROUND(VLOOKUP($A40,'HALF YEARLY'!$1:$1048576,4,0)*0.8,0),VLOOKUP($A40,'HALF YEARLY'!$1:$1048576,4,0))</f>
        <v>0</v>
      </c>
      <c r="H40" s="31">
        <f t="shared" si="1"/>
        <v>0</v>
      </c>
      <c r="I40" s="25">
        <f>VLOOKUP($A40,'UT-I '!$1:$1048576,5,0)</f>
        <v>0</v>
      </c>
      <c r="J40" s="25">
        <f>IFERROR(ROUND(VLOOKUP($A40,'HALF YEARLY'!$1:$1048576,5,0)*0.8,0),VLOOKUP($A40,'HALF YEARLY'!$1:$1048576,5,0))</f>
        <v>0</v>
      </c>
      <c r="K40" s="31">
        <f t="shared" si="2"/>
        <v>0</v>
      </c>
      <c r="L40" s="25">
        <f>VLOOKUP($A40,'UT-I '!$1:$1048576,6,0)</f>
        <v>0</v>
      </c>
      <c r="M40" s="25">
        <f>IFERROR(ROUND(VLOOKUP($A40,'HALF YEARLY'!$1:$1048576,6,0)*0.8,0),VLOOKUP($A40,'HALF YEARLY'!$1:$1048576,6,0))</f>
        <v>0</v>
      </c>
      <c r="N40" s="31">
        <f t="shared" si="3"/>
        <v>0</v>
      </c>
      <c r="O40" s="25">
        <f>VLOOKUP($A40,'UT-I '!$1:$1048576,7,0)</f>
        <v>0</v>
      </c>
      <c r="P40" s="25">
        <f>IFERROR(ROUND(VLOOKUP($A40,'HALF YEARLY'!$1:$1048576,7,0)*0.8,0),VLOOKUP($A40,'HALF YEARLY'!$1:$1048576,7,0))</f>
        <v>0</v>
      </c>
      <c r="Q40" s="31">
        <f t="shared" si="4"/>
        <v>0</v>
      </c>
      <c r="R40" s="25">
        <f>VLOOKUP($A40,'UT-I '!$1:$1048576,8,0)</f>
        <v>0</v>
      </c>
      <c r="S40" s="25">
        <f>IFERROR(ROUND(VLOOKUP($A40,'HALF YEARLY'!$1:$1048576,8,0)*0.8,0),VLOOKUP($A40,'HALF YEARLY'!$1:$1048576,8,0))</f>
        <v>0</v>
      </c>
      <c r="T40" s="31">
        <f t="shared" si="5"/>
        <v>0</v>
      </c>
      <c r="U40" s="25">
        <f>VLOOKUP($A40,'HALF YEARLY'!$1:$1048576,9,0)</f>
        <v>0</v>
      </c>
      <c r="V40" s="25">
        <f>VLOOKUP($A40,'HALF YEARLY'!$1:$1048576,10,0)</f>
        <v>0</v>
      </c>
      <c r="W40" s="25">
        <f>VLOOKUP($A40,'HALF YEARLY'!$1:$1048576,11,0)</f>
        <v>0</v>
      </c>
      <c r="X40" s="25">
        <f>VLOOKUP($A40,'HALF YEARLY'!$1:$1048576,12,0)</f>
        <v>0</v>
      </c>
      <c r="Y40" s="25">
        <f>VLOOKUP($A40,'HALF YEARLY'!$1:$1048576,13,0)</f>
        <v>0</v>
      </c>
      <c r="Z40" s="25">
        <f>VLOOKUP($A40,'HALF YEARLY'!$1:$1048576,14,0)</f>
        <v>0</v>
      </c>
      <c r="AA40" s="30">
        <f>VLOOKUP($A40,'HALF YEARLY'!$1:$1048576,15,0)</f>
        <v>0</v>
      </c>
    </row>
    <row r="41" spans="1:27" x14ac:dyDescent="0.3">
      <c r="A41" s="3">
        <f>DETAILS!A40</f>
        <v>1614</v>
      </c>
      <c r="B41" s="3" t="str">
        <f>DETAILS!B40</f>
        <v>SHRISTI PATEL</v>
      </c>
      <c r="C41" s="25">
        <f>VLOOKUP($A41,'UT-I '!$1:$1048576,3,0)</f>
        <v>0</v>
      </c>
      <c r="D41" s="25">
        <f>IFERROR(ROUND(VLOOKUP($A41,'HALF YEARLY'!$1:$1048576,3,0)*0.8,0),VLOOKUP($A41,'HALF YEARLY'!$1:$1048576,3,0))</f>
        <v>0</v>
      </c>
      <c r="E41" s="31">
        <f t="shared" si="0"/>
        <v>0</v>
      </c>
      <c r="F41" s="25">
        <f>VLOOKUP($A41,'UT-I '!$1:$1048576,4,0)</f>
        <v>0</v>
      </c>
      <c r="G41" s="25">
        <f>IFERROR(ROUND(VLOOKUP($A41,'HALF YEARLY'!$1:$1048576,4,0)*0.8,0),VLOOKUP($A41,'HALF YEARLY'!$1:$1048576,4,0))</f>
        <v>0</v>
      </c>
      <c r="H41" s="31">
        <f t="shared" si="1"/>
        <v>0</v>
      </c>
      <c r="I41" s="25">
        <f>VLOOKUP($A41,'UT-I '!$1:$1048576,5,0)</f>
        <v>0</v>
      </c>
      <c r="J41" s="25">
        <f>IFERROR(ROUND(VLOOKUP($A41,'HALF YEARLY'!$1:$1048576,5,0)*0.8,0),VLOOKUP($A41,'HALF YEARLY'!$1:$1048576,5,0))</f>
        <v>0</v>
      </c>
      <c r="K41" s="31">
        <f t="shared" si="2"/>
        <v>0</v>
      </c>
      <c r="L41" s="25">
        <f>VLOOKUP($A41,'UT-I '!$1:$1048576,6,0)</f>
        <v>0</v>
      </c>
      <c r="M41" s="25">
        <f>IFERROR(ROUND(VLOOKUP($A41,'HALF YEARLY'!$1:$1048576,6,0)*0.8,0),VLOOKUP($A41,'HALF YEARLY'!$1:$1048576,6,0))</f>
        <v>0</v>
      </c>
      <c r="N41" s="31">
        <f t="shared" si="3"/>
        <v>0</v>
      </c>
      <c r="O41" s="25">
        <f>VLOOKUP($A41,'UT-I '!$1:$1048576,7,0)</f>
        <v>0</v>
      </c>
      <c r="P41" s="25">
        <f>IFERROR(ROUND(VLOOKUP($A41,'HALF YEARLY'!$1:$1048576,7,0)*0.8,0),VLOOKUP($A41,'HALF YEARLY'!$1:$1048576,7,0))</f>
        <v>0</v>
      </c>
      <c r="Q41" s="31">
        <f t="shared" si="4"/>
        <v>0</v>
      </c>
      <c r="R41" s="25">
        <f>VLOOKUP($A41,'UT-I '!$1:$1048576,8,0)</f>
        <v>0</v>
      </c>
      <c r="S41" s="25">
        <f>IFERROR(ROUND(VLOOKUP($A41,'HALF YEARLY'!$1:$1048576,8,0)*0.8,0),VLOOKUP($A41,'HALF YEARLY'!$1:$1048576,8,0))</f>
        <v>0</v>
      </c>
      <c r="T41" s="31">
        <f t="shared" si="5"/>
        <v>0</v>
      </c>
      <c r="U41" s="25">
        <f>VLOOKUP($A41,'HALF YEARLY'!$1:$1048576,9,0)</f>
        <v>0</v>
      </c>
      <c r="V41" s="25">
        <f>VLOOKUP($A41,'HALF YEARLY'!$1:$1048576,10,0)</f>
        <v>0</v>
      </c>
      <c r="W41" s="25">
        <f>VLOOKUP($A41,'HALF YEARLY'!$1:$1048576,11,0)</f>
        <v>0</v>
      </c>
      <c r="X41" s="25">
        <f>VLOOKUP($A41,'HALF YEARLY'!$1:$1048576,12,0)</f>
        <v>0</v>
      </c>
      <c r="Y41" s="25">
        <f>VLOOKUP($A41,'HALF YEARLY'!$1:$1048576,13,0)</f>
        <v>0</v>
      </c>
      <c r="Z41" s="25">
        <f>VLOOKUP($A41,'HALF YEARLY'!$1:$1048576,14,0)</f>
        <v>0</v>
      </c>
      <c r="AA41" s="30">
        <f>VLOOKUP($A41,'HALF YEARLY'!$1:$1048576,15,0)</f>
        <v>0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P18" sqref="P18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6"/>
      <c r="C1" s="56"/>
      <c r="D1" s="56"/>
      <c r="E1" s="56"/>
      <c r="F1" s="56"/>
      <c r="G1" s="56"/>
      <c r="H1" s="56"/>
      <c r="I1" s="56"/>
      <c r="J1" s="56"/>
      <c r="K1" s="56"/>
      <c r="L1" s="7"/>
      <c r="M1" s="7"/>
      <c r="N1" s="8"/>
    </row>
    <row r="2" spans="1:14" ht="32.4" x14ac:dyDescent="0.3">
      <c r="A2" s="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0"/>
    </row>
    <row r="3" spans="1:14" ht="18" customHeight="1" x14ac:dyDescent="0.3">
      <c r="A3" s="9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16.2" customHeight="1" x14ac:dyDescent="0.3">
      <c r="A4" s="9"/>
      <c r="B4" s="59" t="s">
        <v>57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0"/>
    </row>
    <row r="5" spans="1:14" ht="16.2" customHeight="1" x14ac:dyDescent="0.3">
      <c r="A5" s="9"/>
      <c r="B5" s="59" t="s">
        <v>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0"/>
    </row>
    <row r="6" spans="1:14" ht="18" customHeight="1" x14ac:dyDescent="0.3">
      <c r="A6" s="9"/>
      <c r="B6" s="51" t="s">
        <v>67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0"/>
    </row>
    <row r="7" spans="1:14" ht="20.25" customHeight="1" x14ac:dyDescent="0.3">
      <c r="A7" s="9"/>
      <c r="B7" s="52" t="s">
        <v>71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10"/>
    </row>
    <row r="8" spans="1:14" ht="18" customHeight="1" x14ac:dyDescent="0.3">
      <c r="A8" s="9"/>
      <c r="B8" s="53" t="s">
        <v>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4</v>
      </c>
      <c r="C9" s="54" t="e">
        <f>":      "&amp;VLOOKUP($K$9,DETAILS!$1:$1048576,2,0)</f>
        <v>#N/A</v>
      </c>
      <c r="D9" s="54"/>
      <c r="E9" s="54"/>
      <c r="F9" s="54"/>
      <c r="G9" s="54"/>
      <c r="I9" s="54" t="s">
        <v>52</v>
      </c>
      <c r="J9" s="54"/>
      <c r="K9" s="54">
        <v>1</v>
      </c>
      <c r="L9" s="54"/>
      <c r="M9" s="55"/>
      <c r="N9" s="10"/>
    </row>
    <row r="10" spans="1:14" x14ac:dyDescent="0.3">
      <c r="A10" s="9"/>
      <c r="B10" s="4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6</v>
      </c>
      <c r="C11" s="60" t="e">
        <f>":      "&amp;VLOOKUP($K$9,DETAILS!$1:$1048576,4,0)</f>
        <v>#N/A</v>
      </c>
      <c r="D11" s="60"/>
      <c r="E11" s="60"/>
      <c r="F11" s="60"/>
      <c r="G11" s="60"/>
      <c r="H11" s="2"/>
      <c r="I11" s="60" t="s">
        <v>54</v>
      </c>
      <c r="J11" s="60"/>
      <c r="K11" s="60" t="e">
        <f>VLOOKUP($K$9,DETAILS!$1:$1048576,5,0)</f>
        <v>#N/A</v>
      </c>
      <c r="L11" s="60"/>
      <c r="M11" s="61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55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77" t="s">
        <v>31</v>
      </c>
      <c r="C14" s="77"/>
      <c r="D14" s="76" t="s">
        <v>80</v>
      </c>
      <c r="E14" s="76"/>
      <c r="F14" s="76"/>
      <c r="G14" s="76" t="s">
        <v>66</v>
      </c>
      <c r="H14" s="76"/>
      <c r="I14" s="76"/>
      <c r="J14" s="76"/>
      <c r="K14" s="76" t="s">
        <v>81</v>
      </c>
      <c r="L14" s="76"/>
      <c r="M14" s="76"/>
      <c r="N14" s="10"/>
    </row>
    <row r="15" spans="1:14" x14ac:dyDescent="0.3">
      <c r="A15" s="9"/>
      <c r="B15" s="75" t="s">
        <v>7</v>
      </c>
      <c r="C15" s="75"/>
      <c r="D15" s="69" t="e">
        <f>VLOOKUP($K$9,'HY Compile'!$1:$1048576,3,0)</f>
        <v>#N/A</v>
      </c>
      <c r="E15" s="69"/>
      <c r="F15" s="69"/>
      <c r="G15" s="69" t="e">
        <f>VLOOKUP($K$9,'HY Compile'!$1:$1048576,4,0)</f>
        <v>#N/A</v>
      </c>
      <c r="H15" s="69"/>
      <c r="I15" s="69"/>
      <c r="J15" s="69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75" t="s">
        <v>8</v>
      </c>
      <c r="C16" s="75"/>
      <c r="D16" s="69" t="e">
        <f>VLOOKUP($K$9,'HY Compile'!$1:$1048576,6,0)</f>
        <v>#N/A</v>
      </c>
      <c r="E16" s="69"/>
      <c r="F16" s="69"/>
      <c r="G16" s="69" t="e">
        <f>VLOOKUP($K$9,'HY Compile'!$1:$1048576,7,0)</f>
        <v>#N/A</v>
      </c>
      <c r="H16" s="69"/>
      <c r="I16" s="69"/>
      <c r="J16" s="69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75" t="s">
        <v>9</v>
      </c>
      <c r="C17" s="75"/>
      <c r="D17" s="69" t="e">
        <f>VLOOKUP($K$9,'HY Compile'!$1:$1048576,9,0)</f>
        <v>#N/A</v>
      </c>
      <c r="E17" s="69"/>
      <c r="F17" s="69"/>
      <c r="G17" s="69" t="e">
        <f>VLOOKUP($K$9,'HY Compile'!$1:$1048576,10,0)</f>
        <v>#N/A</v>
      </c>
      <c r="H17" s="69"/>
      <c r="I17" s="69"/>
      <c r="J17" s="69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75" t="s">
        <v>73</v>
      </c>
      <c r="C18" s="75"/>
      <c r="D18" s="69" t="e">
        <f>VLOOKUP($K$9,'HY Compile'!$1:$1048576,12,0)</f>
        <v>#N/A</v>
      </c>
      <c r="E18" s="69"/>
      <c r="F18" s="69"/>
      <c r="G18" s="69" t="e">
        <f>VLOOKUP($K$9,'HY Compile'!$1:$1048576,13,0)</f>
        <v>#N/A</v>
      </c>
      <c r="H18" s="69"/>
      <c r="I18" s="69"/>
      <c r="J18" s="69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75" t="s">
        <v>74</v>
      </c>
      <c r="C19" s="75"/>
      <c r="D19" s="69" t="e">
        <f>VLOOKUP($K$9,'HY Compile'!$1:$1048576,15,0)</f>
        <v>#N/A</v>
      </c>
      <c r="E19" s="69"/>
      <c r="F19" s="69"/>
      <c r="G19" s="69" t="e">
        <f>VLOOKUP($K$9,'HY Compile'!$1:$1048576,16,0)</f>
        <v>#N/A</v>
      </c>
      <c r="H19" s="69"/>
      <c r="I19" s="69"/>
      <c r="J19" s="69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75" t="s">
        <v>75</v>
      </c>
      <c r="C20" s="75"/>
      <c r="D20" s="69" t="e">
        <f>VLOOKUP($K$9,'HY Compile'!$1:$1048576,18,0)</f>
        <v>#N/A</v>
      </c>
      <c r="E20" s="69"/>
      <c r="F20" s="69"/>
      <c r="G20" s="69" t="e">
        <f>VLOOKUP($K$9,'HY Compile'!$1:$1048576,19,0)</f>
        <v>#N/A</v>
      </c>
      <c r="H20" s="69"/>
      <c r="I20" s="69"/>
      <c r="J20" s="69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10</v>
      </c>
      <c r="C22" s="69" t="e">
        <f>VLOOKUP($K$9,'HY Compile'!$1:$1048576,25,0)</f>
        <v>#N/A</v>
      </c>
      <c r="D22" s="69" t="e">
        <f>VLOOKUP($K$9,'HY Compile'!$1:$1048576,26,0)</f>
        <v>#N/A</v>
      </c>
      <c r="J22" s="18" t="s">
        <v>27</v>
      </c>
      <c r="K22" s="19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9" t="e">
        <f>VLOOKUP($K$9,'HY Compile'!$1:$1048576,38,0)</f>
        <v>#N/A</v>
      </c>
      <c r="D23" s="69" t="e">
        <f>VLOOKUP($K$9,'HY Compile'!$1:$1048576,38,0)</f>
        <v>#N/A</v>
      </c>
      <c r="J23" s="18" t="s">
        <v>28</v>
      </c>
      <c r="K23" s="19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3" t="s">
        <v>56</v>
      </c>
      <c r="C26" s="53"/>
      <c r="D26" s="53"/>
      <c r="E26" s="53"/>
      <c r="F26" s="53"/>
      <c r="G26" s="53"/>
      <c r="H26" s="53"/>
      <c r="I26" s="53"/>
      <c r="J26" s="53"/>
      <c r="K26" s="53" t="s">
        <v>11</v>
      </c>
      <c r="L26" s="53"/>
      <c r="M26" s="53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VLOOKUP($K$9,'HY Compile'!$1:$1048576,21,0)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VLOOKUP($K$9,'HY Compile'!$1:$1048576,22,0)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VLOOKUP($K$9,'HY Compile'!$1:$1048576,23,0)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VLOOKUP($K$9,'HY Compile'!$1:$1048576,24,0)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8" t="s">
        <v>16</v>
      </c>
      <c r="C32" s="68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16"/>
    </row>
    <row r="33" spans="1:14" s="17" customFormat="1" ht="21" customHeight="1" x14ac:dyDescent="0.3">
      <c r="A33" s="15"/>
      <c r="B33" s="68" t="s">
        <v>21</v>
      </c>
      <c r="C33" s="68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3" t="e">
        <f>"Class Teacher's Remark: "&amp;VLOOKUP($K$9,'HY Compile'!$1:$1048576,27,0)</f>
        <v>#N/A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10"/>
    </row>
    <row r="37" spans="1:14" x14ac:dyDescent="0.3">
      <c r="A37" s="9"/>
      <c r="E37" s="11"/>
      <c r="N37" s="10"/>
    </row>
    <row r="38" spans="1:14" x14ac:dyDescent="0.3">
      <c r="A38" s="9"/>
      <c r="B38" s="62" t="s">
        <v>70</v>
      </c>
      <c r="C38" s="62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3" t="s">
        <v>29</v>
      </c>
      <c r="C41" s="73"/>
      <c r="D41" s="73"/>
      <c r="E41" s="17"/>
      <c r="F41" s="17"/>
      <c r="G41" s="17"/>
      <c r="H41" s="17"/>
      <c r="I41" s="17"/>
      <c r="J41" s="74" t="s">
        <v>30</v>
      </c>
      <c r="K41" s="74"/>
      <c r="L41" s="74"/>
      <c r="M41" s="74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87B5-0950-4F83-87BF-6899DEBABA39}">
  <dimension ref="A1:V46"/>
  <sheetViews>
    <sheetView topLeftCell="F1" zoomScaleNormal="100" workbookViewId="0">
      <selection activeCell="M4" sqref="M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0"/>
      <c r="T3" s="24" t="s">
        <v>85</v>
      </c>
      <c r="U3" s="24" t="s">
        <v>60</v>
      </c>
      <c r="V3" s="38"/>
    </row>
    <row r="4" spans="1:22" x14ac:dyDescent="0.3">
      <c r="A4" s="21">
        <f>DETAILS!A3</f>
        <v>1454</v>
      </c>
      <c r="B4" s="21" t="str">
        <f>DETAILS!B3</f>
        <v>AARUSH SONI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/>
    </row>
    <row r="5" spans="1:22" x14ac:dyDescent="0.3">
      <c r="A5" s="21">
        <f>DETAILS!A4</f>
        <v>1680</v>
      </c>
      <c r="B5" s="21" t="str">
        <f>DETAILS!B4</f>
        <v>AARVI JAISWAL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758</v>
      </c>
      <c r="B6" s="21" t="str">
        <f>DETAILS!B5</f>
        <v>ABDUL AHAD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1616</v>
      </c>
      <c r="B7" s="21" t="str">
        <f>DETAILS!B6</f>
        <v>ANAV SINGH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1443</v>
      </c>
      <c r="B8" s="21" t="str">
        <f>DETAILS!B7</f>
        <v>ANKIT KUMAR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2100</v>
      </c>
      <c r="B9" s="21" t="str">
        <f>DETAILS!B8</f>
        <v>ANSH SHUKLA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1767</v>
      </c>
      <c r="B10" s="21" t="str">
        <f>DETAILS!B9</f>
        <v>ANSHIKA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1486</v>
      </c>
      <c r="B11" s="21" t="str">
        <f>DETAILS!B10</f>
        <v>ANUBHAV CHOUDHARY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1615</v>
      </c>
      <c r="B12" s="21" t="str">
        <f>DETAILS!B11</f>
        <v>ARADHYA TIWARI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993</v>
      </c>
      <c r="B13" s="21" t="str">
        <f>DETAILS!B12</f>
        <v>ARYAN MAURYA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1296</v>
      </c>
      <c r="B14" s="21" t="str">
        <f>DETAILS!B13</f>
        <v>ARYAN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1392</v>
      </c>
      <c r="B15" s="21" t="str">
        <f>DETAILS!B14</f>
        <v>ASTITVA  SHYAM TIWARI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759</v>
      </c>
      <c r="B16" s="21" t="str">
        <f>DETAILS!B15</f>
        <v>DEVENDRA PATHAK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1598</v>
      </c>
      <c r="B17" s="21" t="str">
        <f>DETAILS!B16</f>
        <v>DIVYANSHI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1650</v>
      </c>
      <c r="B18" s="21" t="str">
        <f>DETAILS!B17</f>
        <v>DIVYANSHU YADAV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1661</v>
      </c>
      <c r="B19" s="21" t="str">
        <f>DETAILS!B18</f>
        <v>GARIMA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1704</v>
      </c>
      <c r="B20" s="21" t="str">
        <f>DETAILS!B19</f>
        <v>HARSH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1437</v>
      </c>
      <c r="B21" s="21" t="str">
        <f>DETAILS!B20</f>
        <v>KANISHKA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1605</v>
      </c>
      <c r="B22" s="21" t="str">
        <f>DETAILS!B21</f>
        <v>KARUNESH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1640</v>
      </c>
      <c r="B23" s="21" t="str">
        <f>DETAILS!B22</f>
        <v>KRISHNA GUPTA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1678</v>
      </c>
      <c r="B24" s="21" t="str">
        <f>DETAILS!B23</f>
        <v>KUNAL DHANUK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1330</v>
      </c>
      <c r="B25" s="21" t="str">
        <f>DETAILS!B24</f>
        <v>KUSHAGRA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777</v>
      </c>
      <c r="B26" s="21" t="str">
        <f>DETAILS!B25</f>
        <v>MAHEE JAISWAL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763</v>
      </c>
      <c r="B27" s="21" t="str">
        <f>DETAILS!B26</f>
        <v>MAHEK RAWAT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>
        <f>DETAILS!A27</f>
        <v>1619</v>
      </c>
      <c r="B28" s="21" t="str">
        <f>DETAILS!B27</f>
        <v>MOHD FAIZ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>
        <f>DETAILS!A28</f>
        <v>1687</v>
      </c>
      <c r="B29" s="21" t="str">
        <f>DETAILS!B28</f>
        <v>MOHINI YADAV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>
        <f>DETAILS!A29</f>
        <v>1653</v>
      </c>
      <c r="B30" s="21" t="str">
        <f>DETAILS!B29</f>
        <v>MUSKAN MEENA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>
        <f>DETAILS!A30</f>
        <v>1700</v>
      </c>
      <c r="B31" s="21" t="str">
        <f>DETAILS!B30</f>
        <v>NASHRA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>
        <f>DETAILS!A31</f>
        <v>1603</v>
      </c>
      <c r="B32" s="21" t="str">
        <f>DETAILS!B31</f>
        <v>PRAGATI TIWARI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>
        <f>DETAILS!A32</f>
        <v>764</v>
      </c>
      <c r="B33" s="21" t="str">
        <f>DETAILS!B32</f>
        <v>PRAKHAR VERMA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>
        <f>DETAILS!A33</f>
        <v>1301</v>
      </c>
      <c r="B34" s="21" t="str">
        <f>DETAILS!B33</f>
        <v>PRASHANT YADAV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>
        <f>DETAILS!A34</f>
        <v>1641</v>
      </c>
      <c r="B35" s="21" t="str">
        <f>DETAILS!B34</f>
        <v>PRIYANSHU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>
        <f>DETAILS!A35</f>
        <v>1669</v>
      </c>
      <c r="B36" s="21" t="str">
        <f>DETAILS!B35</f>
        <v>RAUNAK KUMAR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>
        <f>DETAILS!A36</f>
        <v>806</v>
      </c>
      <c r="B37" s="21" t="str">
        <f>DETAILS!B36</f>
        <v>SAMRIDH SRIVASTAVA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>
        <f>DETAILS!A37</f>
        <v>1367</v>
      </c>
      <c r="B38" s="21" t="str">
        <f>DETAILS!B37</f>
        <v>SATYAM 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>
        <f>DETAILS!A38</f>
        <v>1629</v>
      </c>
      <c r="B39" s="21" t="str">
        <f>DETAILS!B38</f>
        <v>SHAVI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>
        <f>DETAILS!A39</f>
        <v>1667</v>
      </c>
      <c r="B40" s="21" t="str">
        <f>DETAILS!B39</f>
        <v>SHIVA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>
        <f>DETAILS!A40</f>
        <v>1614</v>
      </c>
      <c r="B41" s="21" t="str">
        <f>DETAILS!B40</f>
        <v>SHRISTI PATEL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>
        <f>DETAILS!A41</f>
        <v>989</v>
      </c>
      <c r="B42" s="21" t="str">
        <f>DETAILS!B41</f>
        <v>SHUBHAM KUMAR VERMA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DETAILS!A42</f>
        <v>1645</v>
      </c>
      <c r="B43" s="21" t="str">
        <f>DETAILS!B42</f>
        <v>STUTI JAISWAL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DETAILS!A43</f>
        <v>1647</v>
      </c>
      <c r="B44" s="21" t="str">
        <f>DETAILS!B43</f>
        <v>SUDHA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DETAILS!A44</f>
        <v>766</v>
      </c>
      <c r="B45" s="21" t="str">
        <f>DETAILS!B44</f>
        <v>SURAJ SHARMA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DETAILS!A45</f>
        <v>1617</v>
      </c>
      <c r="B46" s="21" t="str">
        <f>DETAILS!B45</f>
        <v>TRAPTI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S2:S3"/>
    <mergeCell ref="A2:A3"/>
    <mergeCell ref="B2:B3"/>
    <mergeCell ref="O2:O3"/>
    <mergeCell ref="P2:P3"/>
    <mergeCell ref="T2:U2"/>
    <mergeCell ref="Q2:Q3"/>
    <mergeCell ref="R2:R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41A-CCB9-401E-A400-A10A8F1375F0}">
  <dimension ref="A1:V46"/>
  <sheetViews>
    <sheetView workbookViewId="0">
      <selection activeCell="C5" sqref="C5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0"/>
      <c r="T3" s="24" t="s">
        <v>85</v>
      </c>
      <c r="U3" s="24" t="s">
        <v>60</v>
      </c>
      <c r="V3" s="38"/>
    </row>
    <row r="4" spans="1:22" x14ac:dyDescent="0.3">
      <c r="A4" s="21">
        <f>DETAILS!A3</f>
        <v>1454</v>
      </c>
      <c r="B4" s="21" t="str">
        <f>DETAILS!B3</f>
        <v>AARUSH SONI</v>
      </c>
      <c r="C4" s="3">
        <f>'Pre-Board-I(Entry)'!C4</f>
        <v>0</v>
      </c>
      <c r="D4" s="3">
        <f>'Pre-Board-I(Entry)'!D4</f>
        <v>0</v>
      </c>
      <c r="E4" s="3">
        <f>'Pre-Board-I(Entry)'!E4</f>
        <v>0</v>
      </c>
      <c r="F4" s="3">
        <f>'Pre-Board-I(Entry)'!F4</f>
        <v>0</v>
      </c>
      <c r="G4" s="3">
        <f>'Pre-Board-I(Entry)'!G4</f>
        <v>0</v>
      </c>
      <c r="H4" s="3">
        <f>'Pre-Board-I(Entry)'!H4</f>
        <v>0</v>
      </c>
      <c r="I4" s="3">
        <f>'Pre-Board-I(Entry)'!I4</f>
        <v>0</v>
      </c>
      <c r="J4" s="3">
        <f>'Pre-Board-I(Entry)'!J4</f>
        <v>0</v>
      </c>
      <c r="K4" s="3">
        <f>'Pre-Board-I(Entry)'!K4</f>
        <v>0</v>
      </c>
      <c r="L4" s="3">
        <f>'Pre-Board-I(Entry)'!L4</f>
        <v>0</v>
      </c>
      <c r="M4" s="3">
        <f>'Pre-Board-I(Entry)'!M4</f>
        <v>0</v>
      </c>
      <c r="N4" s="3">
        <f>'Pre-Board-I(Entry)'!N4</f>
        <v>0</v>
      </c>
      <c r="O4" s="3">
        <f>SUM(C4:N4)</f>
        <v>0</v>
      </c>
      <c r="P4" s="3">
        <f>'Pre-Board-I(Entry)'!P4</f>
        <v>0</v>
      </c>
      <c r="Q4" s="3">
        <f>'Pre-Board-I(Entry)'!Q4</f>
        <v>0</v>
      </c>
      <c r="R4" s="3">
        <f>'Pre-Board-I(Entry)'!R4</f>
        <v>0</v>
      </c>
      <c r="S4" s="3">
        <f>'Pre-Board-I(Entry)'!S4</f>
        <v>0</v>
      </c>
      <c r="T4" s="3">
        <f>'Pre-Board-I(Entry)'!T4</f>
        <v>0</v>
      </c>
      <c r="U4" s="3">
        <f>'Pre-Board-I(Entry)'!U4</f>
        <v>0</v>
      </c>
      <c r="V4" s="3">
        <f>'Pre-Board-I(Entry)'!V4</f>
        <v>0</v>
      </c>
    </row>
    <row r="5" spans="1:22" x14ac:dyDescent="0.3">
      <c r="A5" s="21">
        <f>DETAILS!A4</f>
        <v>1680</v>
      </c>
      <c r="B5" s="21" t="str">
        <f>DETAILS!B4</f>
        <v>AARVI JAISWAL</v>
      </c>
      <c r="C5" s="3">
        <f>'Pre-Board-I(Entry)'!C5</f>
        <v>0</v>
      </c>
      <c r="D5" s="3">
        <f>'Pre-Board-I(Entry)'!D5</f>
        <v>0</v>
      </c>
      <c r="E5" s="3">
        <f>'Pre-Board-I(Entry)'!E5</f>
        <v>0</v>
      </c>
      <c r="F5" s="3">
        <f>'Pre-Board-I(Entry)'!F5</f>
        <v>0</v>
      </c>
      <c r="G5" s="3">
        <f>'Pre-Board-I(Entry)'!G5</f>
        <v>0</v>
      </c>
      <c r="H5" s="3">
        <f>'Pre-Board-I(Entry)'!H5</f>
        <v>0</v>
      </c>
      <c r="I5" s="3">
        <f>'Pre-Board-I(Entry)'!I5</f>
        <v>0</v>
      </c>
      <c r="J5" s="3">
        <f>'Pre-Board-I(Entry)'!J5</f>
        <v>0</v>
      </c>
      <c r="K5" s="3">
        <f>'Pre-Board-I(Entry)'!K5</f>
        <v>0</v>
      </c>
      <c r="L5" s="3">
        <f>'Pre-Board-I(Entry)'!L5</f>
        <v>0</v>
      </c>
      <c r="M5" s="3">
        <f>'Pre-Board-I(Entry)'!M5</f>
        <v>0</v>
      </c>
      <c r="N5" s="3">
        <f>'Pre-Board-I(Entry)'!N5</f>
        <v>0</v>
      </c>
      <c r="O5" s="3">
        <f t="shared" ref="O5:O46" si="0">SUM(C5:N5)</f>
        <v>0</v>
      </c>
      <c r="P5" s="3">
        <f>'Pre-Board-I(Entry)'!P5</f>
        <v>0</v>
      </c>
      <c r="Q5" s="3">
        <f>'Pre-Board-I(Entry)'!Q5</f>
        <v>0</v>
      </c>
      <c r="R5" s="3">
        <f>'Pre-Board-I(Entry)'!R5</f>
        <v>0</v>
      </c>
      <c r="S5" s="3">
        <f>'Pre-Board-I(Entry)'!S5</f>
        <v>0</v>
      </c>
      <c r="T5" s="3">
        <f>'Pre-Board-I(Entry)'!T5</f>
        <v>0</v>
      </c>
      <c r="U5" s="3">
        <f>'Pre-Board-I(Entry)'!U5</f>
        <v>0</v>
      </c>
      <c r="V5" s="3">
        <f>'Pre-Board-I(Entry)'!V5</f>
        <v>0</v>
      </c>
    </row>
    <row r="6" spans="1:22" x14ac:dyDescent="0.3">
      <c r="A6" s="21">
        <f>DETAILS!A5</f>
        <v>758</v>
      </c>
      <c r="B6" s="21" t="str">
        <f>DETAILS!B5</f>
        <v>ABDUL AHAD</v>
      </c>
      <c r="C6" s="3">
        <f>'Pre-Board-I(Entry)'!C6</f>
        <v>0</v>
      </c>
      <c r="D6" s="3">
        <f>'Pre-Board-I(Entry)'!D6</f>
        <v>0</v>
      </c>
      <c r="E6" s="3">
        <f>'Pre-Board-I(Entry)'!E6</f>
        <v>0</v>
      </c>
      <c r="F6" s="3">
        <f>'Pre-Board-I(Entry)'!F6</f>
        <v>0</v>
      </c>
      <c r="G6" s="3">
        <f>'Pre-Board-I(Entry)'!G6</f>
        <v>0</v>
      </c>
      <c r="H6" s="3">
        <f>'Pre-Board-I(Entry)'!H6</f>
        <v>0</v>
      </c>
      <c r="I6" s="3">
        <f>'Pre-Board-I(Entry)'!I6</f>
        <v>0</v>
      </c>
      <c r="J6" s="3">
        <f>'Pre-Board-I(Entry)'!J6</f>
        <v>0</v>
      </c>
      <c r="K6" s="3">
        <f>'Pre-Board-I(Entry)'!K6</f>
        <v>0</v>
      </c>
      <c r="L6" s="3">
        <f>'Pre-Board-I(Entry)'!L6</f>
        <v>0</v>
      </c>
      <c r="M6" s="3">
        <f>'Pre-Board-I(Entry)'!M6</f>
        <v>0</v>
      </c>
      <c r="N6" s="3">
        <f>'Pre-Board-I(Entry)'!N6</f>
        <v>0</v>
      </c>
      <c r="O6" s="3">
        <f t="shared" si="0"/>
        <v>0</v>
      </c>
      <c r="P6" s="3">
        <f>'Pre-Board-I(Entry)'!P6</f>
        <v>0</v>
      </c>
      <c r="Q6" s="3">
        <f>'Pre-Board-I(Entry)'!Q6</f>
        <v>0</v>
      </c>
      <c r="R6" s="3">
        <f>'Pre-Board-I(Entry)'!R6</f>
        <v>0</v>
      </c>
      <c r="S6" s="3">
        <f>'Pre-Board-I(Entry)'!S6</f>
        <v>0</v>
      </c>
      <c r="T6" s="3">
        <f>'Pre-Board-I(Entry)'!T6</f>
        <v>0</v>
      </c>
      <c r="U6" s="3">
        <f>'Pre-Board-I(Entry)'!U6</f>
        <v>0</v>
      </c>
      <c r="V6" s="3">
        <f>'Pre-Board-I(Entry)'!V6</f>
        <v>0</v>
      </c>
    </row>
    <row r="7" spans="1:22" x14ac:dyDescent="0.3">
      <c r="A7" s="21">
        <f>DETAILS!A6</f>
        <v>1616</v>
      </c>
      <c r="B7" s="21" t="str">
        <f>DETAILS!B6</f>
        <v>ANAV SINGH</v>
      </c>
      <c r="C7" s="3">
        <f>'Pre-Board-I(Entry)'!C7</f>
        <v>0</v>
      </c>
      <c r="D7" s="3">
        <f>'Pre-Board-I(Entry)'!D7</f>
        <v>0</v>
      </c>
      <c r="E7" s="3">
        <f>'Pre-Board-I(Entry)'!E7</f>
        <v>0</v>
      </c>
      <c r="F7" s="3">
        <f>'Pre-Board-I(Entry)'!F7</f>
        <v>0</v>
      </c>
      <c r="G7" s="3">
        <f>'Pre-Board-I(Entry)'!G7</f>
        <v>0</v>
      </c>
      <c r="H7" s="3">
        <f>'Pre-Board-I(Entry)'!H7</f>
        <v>0</v>
      </c>
      <c r="I7" s="3">
        <f>'Pre-Board-I(Entry)'!I7</f>
        <v>0</v>
      </c>
      <c r="J7" s="3">
        <f>'Pre-Board-I(Entry)'!J7</f>
        <v>0</v>
      </c>
      <c r="K7" s="3">
        <f>'Pre-Board-I(Entry)'!K7</f>
        <v>0</v>
      </c>
      <c r="L7" s="3">
        <f>'Pre-Board-I(Entry)'!L7</f>
        <v>0</v>
      </c>
      <c r="M7" s="3">
        <f>'Pre-Board-I(Entry)'!M7</f>
        <v>0</v>
      </c>
      <c r="N7" s="3">
        <f>'Pre-Board-I(Entry)'!N7</f>
        <v>0</v>
      </c>
      <c r="O7" s="3">
        <f t="shared" si="0"/>
        <v>0</v>
      </c>
      <c r="P7" s="3">
        <f>'Pre-Board-I(Entry)'!P7</f>
        <v>0</v>
      </c>
      <c r="Q7" s="3">
        <f>'Pre-Board-I(Entry)'!Q7</f>
        <v>0</v>
      </c>
      <c r="R7" s="3">
        <f>'Pre-Board-I(Entry)'!R7</f>
        <v>0</v>
      </c>
      <c r="S7" s="3">
        <f>'Pre-Board-I(Entry)'!S7</f>
        <v>0</v>
      </c>
      <c r="T7" s="3">
        <f>'Pre-Board-I(Entry)'!T7</f>
        <v>0</v>
      </c>
      <c r="U7" s="3">
        <f>'Pre-Board-I(Entry)'!U7</f>
        <v>0</v>
      </c>
      <c r="V7" s="3">
        <f>'Pre-Board-I(Entry)'!V7</f>
        <v>0</v>
      </c>
    </row>
    <row r="8" spans="1:22" x14ac:dyDescent="0.3">
      <c r="A8" s="21">
        <f>DETAILS!A7</f>
        <v>1443</v>
      </c>
      <c r="B8" s="21" t="str">
        <f>DETAILS!B7</f>
        <v>ANKIT KUMAR</v>
      </c>
      <c r="C8" s="3">
        <f>'Pre-Board-I(Entry)'!C8</f>
        <v>0</v>
      </c>
      <c r="D8" s="3">
        <f>'Pre-Board-I(Entry)'!D8</f>
        <v>0</v>
      </c>
      <c r="E8" s="3">
        <f>'Pre-Board-I(Entry)'!E8</f>
        <v>0</v>
      </c>
      <c r="F8" s="3">
        <f>'Pre-Board-I(Entry)'!F8</f>
        <v>0</v>
      </c>
      <c r="G8" s="3">
        <f>'Pre-Board-I(Entry)'!G8</f>
        <v>0</v>
      </c>
      <c r="H8" s="3">
        <f>'Pre-Board-I(Entry)'!H8</f>
        <v>0</v>
      </c>
      <c r="I8" s="3">
        <f>'Pre-Board-I(Entry)'!I8</f>
        <v>0</v>
      </c>
      <c r="J8" s="3">
        <f>'Pre-Board-I(Entry)'!J8</f>
        <v>0</v>
      </c>
      <c r="K8" s="3">
        <f>'Pre-Board-I(Entry)'!K8</f>
        <v>0</v>
      </c>
      <c r="L8" s="3">
        <f>'Pre-Board-I(Entry)'!L8</f>
        <v>0</v>
      </c>
      <c r="M8" s="3">
        <f>'Pre-Board-I(Entry)'!M8</f>
        <v>0</v>
      </c>
      <c r="N8" s="3">
        <f>'Pre-Board-I(Entry)'!N8</f>
        <v>0</v>
      </c>
      <c r="O8" s="3">
        <f t="shared" si="0"/>
        <v>0</v>
      </c>
      <c r="P8" s="3">
        <f>'Pre-Board-I(Entry)'!P8</f>
        <v>0</v>
      </c>
      <c r="Q8" s="3">
        <f>'Pre-Board-I(Entry)'!Q8</f>
        <v>0</v>
      </c>
      <c r="R8" s="3">
        <f>'Pre-Board-I(Entry)'!R8</f>
        <v>0</v>
      </c>
      <c r="S8" s="3">
        <f>'Pre-Board-I(Entry)'!S8</f>
        <v>0</v>
      </c>
      <c r="T8" s="3">
        <f>'Pre-Board-I(Entry)'!T8</f>
        <v>0</v>
      </c>
      <c r="U8" s="3">
        <f>'Pre-Board-I(Entry)'!U8</f>
        <v>0</v>
      </c>
      <c r="V8" s="3">
        <f>'Pre-Board-I(Entry)'!V8</f>
        <v>0</v>
      </c>
    </row>
    <row r="9" spans="1:22" x14ac:dyDescent="0.3">
      <c r="A9" s="21">
        <f>DETAILS!A8</f>
        <v>2100</v>
      </c>
      <c r="B9" s="21" t="str">
        <f>DETAILS!B8</f>
        <v>ANSH SHUKLA</v>
      </c>
      <c r="C9" s="3">
        <f>'Pre-Board-I(Entry)'!C9</f>
        <v>0</v>
      </c>
      <c r="D9" s="3">
        <f>'Pre-Board-I(Entry)'!D9</f>
        <v>0</v>
      </c>
      <c r="E9" s="3">
        <f>'Pre-Board-I(Entry)'!E9</f>
        <v>0</v>
      </c>
      <c r="F9" s="3">
        <f>'Pre-Board-I(Entry)'!F9</f>
        <v>0</v>
      </c>
      <c r="G9" s="3">
        <f>'Pre-Board-I(Entry)'!G9</f>
        <v>0</v>
      </c>
      <c r="H9" s="3">
        <f>'Pre-Board-I(Entry)'!H9</f>
        <v>0</v>
      </c>
      <c r="I9" s="3">
        <f>'Pre-Board-I(Entry)'!I9</f>
        <v>0</v>
      </c>
      <c r="J9" s="3">
        <f>'Pre-Board-I(Entry)'!J9</f>
        <v>0</v>
      </c>
      <c r="K9" s="3">
        <f>'Pre-Board-I(Entry)'!K9</f>
        <v>0</v>
      </c>
      <c r="L9" s="3">
        <f>'Pre-Board-I(Entry)'!L9</f>
        <v>0</v>
      </c>
      <c r="M9" s="3">
        <f>'Pre-Board-I(Entry)'!M9</f>
        <v>0</v>
      </c>
      <c r="N9" s="3">
        <f>'Pre-Board-I(Entry)'!N9</f>
        <v>0</v>
      </c>
      <c r="O9" s="3">
        <f t="shared" si="0"/>
        <v>0</v>
      </c>
      <c r="P9" s="3">
        <f>'Pre-Board-I(Entry)'!P9</f>
        <v>0</v>
      </c>
      <c r="Q9" s="3">
        <f>'Pre-Board-I(Entry)'!Q9</f>
        <v>0</v>
      </c>
      <c r="R9" s="3">
        <f>'Pre-Board-I(Entry)'!R9</f>
        <v>0</v>
      </c>
      <c r="S9" s="3">
        <f>'Pre-Board-I(Entry)'!S9</f>
        <v>0</v>
      </c>
      <c r="T9" s="3">
        <f>'Pre-Board-I(Entry)'!T9</f>
        <v>0</v>
      </c>
      <c r="U9" s="3">
        <f>'Pre-Board-I(Entry)'!U9</f>
        <v>0</v>
      </c>
      <c r="V9" s="3">
        <f>'Pre-Board-I(Entry)'!V9</f>
        <v>0</v>
      </c>
    </row>
    <row r="10" spans="1:22" x14ac:dyDescent="0.3">
      <c r="A10" s="21">
        <f>DETAILS!A9</f>
        <v>1767</v>
      </c>
      <c r="B10" s="21" t="str">
        <f>DETAILS!B9</f>
        <v>ANSHIKA MISHRA</v>
      </c>
      <c r="C10" s="3">
        <f>'Pre-Board-I(Entry)'!C10</f>
        <v>0</v>
      </c>
      <c r="D10" s="3">
        <f>'Pre-Board-I(Entry)'!D10</f>
        <v>0</v>
      </c>
      <c r="E10" s="3">
        <f>'Pre-Board-I(Entry)'!E10</f>
        <v>0</v>
      </c>
      <c r="F10" s="3">
        <f>'Pre-Board-I(Entry)'!F10</f>
        <v>0</v>
      </c>
      <c r="G10" s="3">
        <f>'Pre-Board-I(Entry)'!G10</f>
        <v>0</v>
      </c>
      <c r="H10" s="3">
        <f>'Pre-Board-I(Entry)'!H10</f>
        <v>0</v>
      </c>
      <c r="I10" s="3">
        <f>'Pre-Board-I(Entry)'!I10</f>
        <v>0</v>
      </c>
      <c r="J10" s="3">
        <f>'Pre-Board-I(Entry)'!J10</f>
        <v>0</v>
      </c>
      <c r="K10" s="3">
        <f>'Pre-Board-I(Entry)'!K10</f>
        <v>0</v>
      </c>
      <c r="L10" s="3">
        <f>'Pre-Board-I(Entry)'!L10</f>
        <v>0</v>
      </c>
      <c r="M10" s="3">
        <f>'Pre-Board-I(Entry)'!M10</f>
        <v>0</v>
      </c>
      <c r="N10" s="3">
        <f>'Pre-Board-I(Entry)'!N10</f>
        <v>0</v>
      </c>
      <c r="O10" s="3">
        <f t="shared" si="0"/>
        <v>0</v>
      </c>
      <c r="P10" s="3">
        <f>'Pre-Board-I(Entry)'!P10</f>
        <v>0</v>
      </c>
      <c r="Q10" s="3">
        <f>'Pre-Board-I(Entry)'!Q10</f>
        <v>0</v>
      </c>
      <c r="R10" s="3">
        <f>'Pre-Board-I(Entry)'!R10</f>
        <v>0</v>
      </c>
      <c r="S10" s="3">
        <f>'Pre-Board-I(Entry)'!S10</f>
        <v>0</v>
      </c>
      <c r="T10" s="3">
        <f>'Pre-Board-I(Entry)'!T10</f>
        <v>0</v>
      </c>
      <c r="U10" s="3">
        <f>'Pre-Board-I(Entry)'!U10</f>
        <v>0</v>
      </c>
      <c r="V10" s="3">
        <f>'Pre-Board-I(Entry)'!V10</f>
        <v>0</v>
      </c>
    </row>
    <row r="11" spans="1:22" x14ac:dyDescent="0.3">
      <c r="A11" s="21">
        <f>DETAILS!A10</f>
        <v>1486</v>
      </c>
      <c r="B11" s="21" t="str">
        <f>DETAILS!B10</f>
        <v>ANUBHAV CHOUDHARY</v>
      </c>
      <c r="C11" s="3">
        <f>'Pre-Board-I(Entry)'!C11</f>
        <v>0</v>
      </c>
      <c r="D11" s="3">
        <f>'Pre-Board-I(Entry)'!D11</f>
        <v>0</v>
      </c>
      <c r="E11" s="3">
        <f>'Pre-Board-I(Entry)'!E11</f>
        <v>0</v>
      </c>
      <c r="F11" s="3">
        <f>'Pre-Board-I(Entry)'!F11</f>
        <v>0</v>
      </c>
      <c r="G11" s="3">
        <f>'Pre-Board-I(Entry)'!G11</f>
        <v>0</v>
      </c>
      <c r="H11" s="3">
        <f>'Pre-Board-I(Entry)'!H11</f>
        <v>0</v>
      </c>
      <c r="I11" s="3">
        <f>'Pre-Board-I(Entry)'!I11</f>
        <v>0</v>
      </c>
      <c r="J11" s="3">
        <f>'Pre-Board-I(Entry)'!J11</f>
        <v>0</v>
      </c>
      <c r="K11" s="3">
        <f>'Pre-Board-I(Entry)'!K11</f>
        <v>0</v>
      </c>
      <c r="L11" s="3">
        <f>'Pre-Board-I(Entry)'!L11</f>
        <v>0</v>
      </c>
      <c r="M11" s="3">
        <f>'Pre-Board-I(Entry)'!M11</f>
        <v>0</v>
      </c>
      <c r="N11" s="3">
        <f>'Pre-Board-I(Entry)'!N11</f>
        <v>0</v>
      </c>
      <c r="O11" s="3">
        <f t="shared" si="0"/>
        <v>0</v>
      </c>
      <c r="P11" s="3">
        <f>'Pre-Board-I(Entry)'!P11</f>
        <v>0</v>
      </c>
      <c r="Q11" s="3">
        <f>'Pre-Board-I(Entry)'!Q11</f>
        <v>0</v>
      </c>
      <c r="R11" s="3">
        <f>'Pre-Board-I(Entry)'!R11</f>
        <v>0</v>
      </c>
      <c r="S11" s="3">
        <f>'Pre-Board-I(Entry)'!S11</f>
        <v>0</v>
      </c>
      <c r="T11" s="3">
        <f>'Pre-Board-I(Entry)'!T11</f>
        <v>0</v>
      </c>
      <c r="U11" s="3">
        <f>'Pre-Board-I(Entry)'!U11</f>
        <v>0</v>
      </c>
      <c r="V11" s="3">
        <f>'Pre-Board-I(Entry)'!V11</f>
        <v>0</v>
      </c>
    </row>
    <row r="12" spans="1:22" x14ac:dyDescent="0.3">
      <c r="A12" s="21">
        <f>DETAILS!A11</f>
        <v>1615</v>
      </c>
      <c r="B12" s="21" t="str">
        <f>DETAILS!B11</f>
        <v>ARADHYA TIWARI</v>
      </c>
      <c r="C12" s="3">
        <f>'Pre-Board-I(Entry)'!C12</f>
        <v>0</v>
      </c>
      <c r="D12" s="3">
        <f>'Pre-Board-I(Entry)'!D12</f>
        <v>0</v>
      </c>
      <c r="E12" s="3">
        <f>'Pre-Board-I(Entry)'!E12</f>
        <v>0</v>
      </c>
      <c r="F12" s="3">
        <f>'Pre-Board-I(Entry)'!F12</f>
        <v>0</v>
      </c>
      <c r="G12" s="3">
        <f>'Pre-Board-I(Entry)'!G12</f>
        <v>0</v>
      </c>
      <c r="H12" s="3">
        <f>'Pre-Board-I(Entry)'!H12</f>
        <v>0</v>
      </c>
      <c r="I12" s="3">
        <f>'Pre-Board-I(Entry)'!I12</f>
        <v>0</v>
      </c>
      <c r="J12" s="3">
        <f>'Pre-Board-I(Entry)'!J12</f>
        <v>0</v>
      </c>
      <c r="K12" s="3">
        <f>'Pre-Board-I(Entry)'!K12</f>
        <v>0</v>
      </c>
      <c r="L12" s="3">
        <f>'Pre-Board-I(Entry)'!L12</f>
        <v>0</v>
      </c>
      <c r="M12" s="3">
        <f>'Pre-Board-I(Entry)'!M12</f>
        <v>0</v>
      </c>
      <c r="N12" s="3">
        <f>'Pre-Board-I(Entry)'!N12</f>
        <v>0</v>
      </c>
      <c r="O12" s="3">
        <f t="shared" si="0"/>
        <v>0</v>
      </c>
      <c r="P12" s="3">
        <f>'Pre-Board-I(Entry)'!P12</f>
        <v>0</v>
      </c>
      <c r="Q12" s="3">
        <f>'Pre-Board-I(Entry)'!Q12</f>
        <v>0</v>
      </c>
      <c r="R12" s="3">
        <f>'Pre-Board-I(Entry)'!R12</f>
        <v>0</v>
      </c>
      <c r="S12" s="3">
        <f>'Pre-Board-I(Entry)'!S12</f>
        <v>0</v>
      </c>
      <c r="T12" s="3">
        <f>'Pre-Board-I(Entry)'!T12</f>
        <v>0</v>
      </c>
      <c r="U12" s="3">
        <f>'Pre-Board-I(Entry)'!U12</f>
        <v>0</v>
      </c>
      <c r="V12" s="3">
        <f>'Pre-Board-I(Entry)'!V12</f>
        <v>0</v>
      </c>
    </row>
    <row r="13" spans="1:22" x14ac:dyDescent="0.3">
      <c r="A13" s="21">
        <f>DETAILS!A12</f>
        <v>993</v>
      </c>
      <c r="B13" s="21" t="str">
        <f>DETAILS!B12</f>
        <v>ARYAN MAURYA</v>
      </c>
      <c r="C13" s="3">
        <f>'Pre-Board-I(Entry)'!C13</f>
        <v>0</v>
      </c>
      <c r="D13" s="3">
        <f>'Pre-Board-I(Entry)'!D13</f>
        <v>0</v>
      </c>
      <c r="E13" s="3">
        <f>'Pre-Board-I(Entry)'!E13</f>
        <v>0</v>
      </c>
      <c r="F13" s="3">
        <f>'Pre-Board-I(Entry)'!F13</f>
        <v>0</v>
      </c>
      <c r="G13" s="3">
        <f>'Pre-Board-I(Entry)'!G13</f>
        <v>0</v>
      </c>
      <c r="H13" s="3">
        <f>'Pre-Board-I(Entry)'!H13</f>
        <v>0</v>
      </c>
      <c r="I13" s="3">
        <f>'Pre-Board-I(Entry)'!I13</f>
        <v>0</v>
      </c>
      <c r="J13" s="3">
        <f>'Pre-Board-I(Entry)'!J13</f>
        <v>0</v>
      </c>
      <c r="K13" s="3">
        <f>'Pre-Board-I(Entry)'!K13</f>
        <v>0</v>
      </c>
      <c r="L13" s="3">
        <f>'Pre-Board-I(Entry)'!L13</f>
        <v>0</v>
      </c>
      <c r="M13" s="3">
        <f>'Pre-Board-I(Entry)'!M13</f>
        <v>0</v>
      </c>
      <c r="N13" s="3">
        <f>'Pre-Board-I(Entry)'!N13</f>
        <v>0</v>
      </c>
      <c r="O13" s="3">
        <f t="shared" si="0"/>
        <v>0</v>
      </c>
      <c r="P13" s="3">
        <f>'Pre-Board-I(Entry)'!P13</f>
        <v>0</v>
      </c>
      <c r="Q13" s="3">
        <f>'Pre-Board-I(Entry)'!Q13</f>
        <v>0</v>
      </c>
      <c r="R13" s="3">
        <f>'Pre-Board-I(Entry)'!R13</f>
        <v>0</v>
      </c>
      <c r="S13" s="3">
        <f>'Pre-Board-I(Entry)'!S13</f>
        <v>0</v>
      </c>
      <c r="T13" s="3">
        <f>'Pre-Board-I(Entry)'!T13</f>
        <v>0</v>
      </c>
      <c r="U13" s="3">
        <f>'Pre-Board-I(Entry)'!U13</f>
        <v>0</v>
      </c>
      <c r="V13" s="3">
        <f>'Pre-Board-I(Entry)'!V13</f>
        <v>0</v>
      </c>
    </row>
    <row r="14" spans="1:22" x14ac:dyDescent="0.3">
      <c r="A14" s="21">
        <f>DETAILS!A13</f>
        <v>1296</v>
      </c>
      <c r="B14" s="21" t="str">
        <f>DETAILS!B13</f>
        <v>ARYAN SINGH</v>
      </c>
      <c r="C14" s="3">
        <f>'Pre-Board-I(Entry)'!C14</f>
        <v>0</v>
      </c>
      <c r="D14" s="3">
        <f>'Pre-Board-I(Entry)'!D14</f>
        <v>0</v>
      </c>
      <c r="E14" s="3">
        <f>'Pre-Board-I(Entry)'!E14</f>
        <v>0</v>
      </c>
      <c r="F14" s="3">
        <f>'Pre-Board-I(Entry)'!F14</f>
        <v>0</v>
      </c>
      <c r="G14" s="3">
        <f>'Pre-Board-I(Entry)'!G14</f>
        <v>0</v>
      </c>
      <c r="H14" s="3">
        <f>'Pre-Board-I(Entry)'!H14</f>
        <v>0</v>
      </c>
      <c r="I14" s="3">
        <f>'Pre-Board-I(Entry)'!I14</f>
        <v>0</v>
      </c>
      <c r="J14" s="3">
        <f>'Pre-Board-I(Entry)'!J14</f>
        <v>0</v>
      </c>
      <c r="K14" s="3">
        <f>'Pre-Board-I(Entry)'!K14</f>
        <v>0</v>
      </c>
      <c r="L14" s="3">
        <f>'Pre-Board-I(Entry)'!L14</f>
        <v>0</v>
      </c>
      <c r="M14" s="3">
        <f>'Pre-Board-I(Entry)'!M14</f>
        <v>0</v>
      </c>
      <c r="N14" s="3">
        <f>'Pre-Board-I(Entry)'!N14</f>
        <v>0</v>
      </c>
      <c r="O14" s="3">
        <f t="shared" si="0"/>
        <v>0</v>
      </c>
      <c r="P14" s="3">
        <f>'Pre-Board-I(Entry)'!P14</f>
        <v>0</v>
      </c>
      <c r="Q14" s="3">
        <f>'Pre-Board-I(Entry)'!Q14</f>
        <v>0</v>
      </c>
      <c r="R14" s="3">
        <f>'Pre-Board-I(Entry)'!R14</f>
        <v>0</v>
      </c>
      <c r="S14" s="3">
        <f>'Pre-Board-I(Entry)'!S14</f>
        <v>0</v>
      </c>
      <c r="T14" s="3">
        <f>'Pre-Board-I(Entry)'!T14</f>
        <v>0</v>
      </c>
      <c r="U14" s="3">
        <f>'Pre-Board-I(Entry)'!U14</f>
        <v>0</v>
      </c>
      <c r="V14" s="3">
        <f>'Pre-Board-I(Entry)'!V14</f>
        <v>0</v>
      </c>
    </row>
    <row r="15" spans="1:22" x14ac:dyDescent="0.3">
      <c r="A15" s="21">
        <f>DETAILS!A14</f>
        <v>1392</v>
      </c>
      <c r="B15" s="21" t="str">
        <f>DETAILS!B14</f>
        <v>ASTITVA  SHYAM TIWARI</v>
      </c>
      <c r="C15" s="3">
        <f>'Pre-Board-I(Entry)'!C15</f>
        <v>0</v>
      </c>
      <c r="D15" s="3">
        <f>'Pre-Board-I(Entry)'!D15</f>
        <v>0</v>
      </c>
      <c r="E15" s="3">
        <f>'Pre-Board-I(Entry)'!E15</f>
        <v>0</v>
      </c>
      <c r="F15" s="3">
        <f>'Pre-Board-I(Entry)'!F15</f>
        <v>0</v>
      </c>
      <c r="G15" s="3">
        <f>'Pre-Board-I(Entry)'!G15</f>
        <v>0</v>
      </c>
      <c r="H15" s="3">
        <f>'Pre-Board-I(Entry)'!H15</f>
        <v>0</v>
      </c>
      <c r="I15" s="3">
        <f>'Pre-Board-I(Entry)'!I15</f>
        <v>0</v>
      </c>
      <c r="J15" s="3">
        <f>'Pre-Board-I(Entry)'!J15</f>
        <v>0</v>
      </c>
      <c r="K15" s="3">
        <f>'Pre-Board-I(Entry)'!K15</f>
        <v>0</v>
      </c>
      <c r="L15" s="3">
        <f>'Pre-Board-I(Entry)'!L15</f>
        <v>0</v>
      </c>
      <c r="M15" s="3">
        <f>'Pre-Board-I(Entry)'!M15</f>
        <v>0</v>
      </c>
      <c r="N15" s="3">
        <f>'Pre-Board-I(Entry)'!N15</f>
        <v>0</v>
      </c>
      <c r="O15" s="3">
        <f t="shared" si="0"/>
        <v>0</v>
      </c>
      <c r="P15" s="3">
        <f>'Pre-Board-I(Entry)'!P15</f>
        <v>0</v>
      </c>
      <c r="Q15" s="3">
        <f>'Pre-Board-I(Entry)'!Q15</f>
        <v>0</v>
      </c>
      <c r="R15" s="3">
        <f>'Pre-Board-I(Entry)'!R15</f>
        <v>0</v>
      </c>
      <c r="S15" s="3">
        <f>'Pre-Board-I(Entry)'!S15</f>
        <v>0</v>
      </c>
      <c r="T15" s="3">
        <f>'Pre-Board-I(Entry)'!T15</f>
        <v>0</v>
      </c>
      <c r="U15" s="3">
        <f>'Pre-Board-I(Entry)'!U15</f>
        <v>0</v>
      </c>
      <c r="V15" s="3">
        <f>'Pre-Board-I(Entry)'!V15</f>
        <v>0</v>
      </c>
    </row>
    <row r="16" spans="1:22" x14ac:dyDescent="0.3">
      <c r="A16" s="21">
        <f>DETAILS!A15</f>
        <v>759</v>
      </c>
      <c r="B16" s="21" t="str">
        <f>DETAILS!B15</f>
        <v>DEVENDRA PATHAK</v>
      </c>
      <c r="C16" s="3">
        <f>'Pre-Board-I(Entry)'!C16</f>
        <v>0</v>
      </c>
      <c r="D16" s="3">
        <f>'Pre-Board-I(Entry)'!D16</f>
        <v>0</v>
      </c>
      <c r="E16" s="3">
        <f>'Pre-Board-I(Entry)'!E16</f>
        <v>0</v>
      </c>
      <c r="F16" s="3">
        <f>'Pre-Board-I(Entry)'!F16</f>
        <v>0</v>
      </c>
      <c r="G16" s="3">
        <f>'Pre-Board-I(Entry)'!G16</f>
        <v>0</v>
      </c>
      <c r="H16" s="3">
        <f>'Pre-Board-I(Entry)'!H16</f>
        <v>0</v>
      </c>
      <c r="I16" s="3">
        <f>'Pre-Board-I(Entry)'!I16</f>
        <v>0</v>
      </c>
      <c r="J16" s="3">
        <f>'Pre-Board-I(Entry)'!J16</f>
        <v>0</v>
      </c>
      <c r="K16" s="3">
        <f>'Pre-Board-I(Entry)'!K16</f>
        <v>0</v>
      </c>
      <c r="L16" s="3">
        <f>'Pre-Board-I(Entry)'!L16</f>
        <v>0</v>
      </c>
      <c r="M16" s="3">
        <f>'Pre-Board-I(Entry)'!M16</f>
        <v>0</v>
      </c>
      <c r="N16" s="3">
        <f>'Pre-Board-I(Entry)'!N16</f>
        <v>0</v>
      </c>
      <c r="O16" s="3">
        <f t="shared" si="0"/>
        <v>0</v>
      </c>
      <c r="P16" s="3">
        <f>'Pre-Board-I(Entry)'!P16</f>
        <v>0</v>
      </c>
      <c r="Q16" s="3">
        <f>'Pre-Board-I(Entry)'!Q16</f>
        <v>0</v>
      </c>
      <c r="R16" s="3">
        <f>'Pre-Board-I(Entry)'!R16</f>
        <v>0</v>
      </c>
      <c r="S16" s="3">
        <f>'Pre-Board-I(Entry)'!S16</f>
        <v>0</v>
      </c>
      <c r="T16" s="3">
        <f>'Pre-Board-I(Entry)'!T16</f>
        <v>0</v>
      </c>
      <c r="U16" s="3">
        <f>'Pre-Board-I(Entry)'!U16</f>
        <v>0</v>
      </c>
      <c r="V16" s="3">
        <f>'Pre-Board-I(Entry)'!V16</f>
        <v>0</v>
      </c>
    </row>
    <row r="17" spans="1:22" x14ac:dyDescent="0.3">
      <c r="A17" s="21">
        <f>DETAILS!A16</f>
        <v>1598</v>
      </c>
      <c r="B17" s="21" t="str">
        <f>DETAILS!B16</f>
        <v>DIVYANSHI SINGH</v>
      </c>
      <c r="C17" s="3">
        <f>'Pre-Board-I(Entry)'!C17</f>
        <v>0</v>
      </c>
      <c r="D17" s="3">
        <f>'Pre-Board-I(Entry)'!D17</f>
        <v>0</v>
      </c>
      <c r="E17" s="3">
        <f>'Pre-Board-I(Entry)'!E17</f>
        <v>0</v>
      </c>
      <c r="F17" s="3">
        <f>'Pre-Board-I(Entry)'!F17</f>
        <v>0</v>
      </c>
      <c r="G17" s="3">
        <f>'Pre-Board-I(Entry)'!G17</f>
        <v>0</v>
      </c>
      <c r="H17" s="3">
        <f>'Pre-Board-I(Entry)'!H17</f>
        <v>0</v>
      </c>
      <c r="I17" s="3">
        <f>'Pre-Board-I(Entry)'!I17</f>
        <v>0</v>
      </c>
      <c r="J17" s="3">
        <f>'Pre-Board-I(Entry)'!J17</f>
        <v>0</v>
      </c>
      <c r="K17" s="3">
        <f>'Pre-Board-I(Entry)'!K17</f>
        <v>0</v>
      </c>
      <c r="L17" s="3">
        <f>'Pre-Board-I(Entry)'!L17</f>
        <v>0</v>
      </c>
      <c r="M17" s="3">
        <f>'Pre-Board-I(Entry)'!M17</f>
        <v>0</v>
      </c>
      <c r="N17" s="3">
        <f>'Pre-Board-I(Entry)'!N17</f>
        <v>0</v>
      </c>
      <c r="O17" s="3">
        <f t="shared" si="0"/>
        <v>0</v>
      </c>
      <c r="P17" s="3">
        <f>'Pre-Board-I(Entry)'!P17</f>
        <v>0</v>
      </c>
      <c r="Q17" s="3">
        <f>'Pre-Board-I(Entry)'!Q17</f>
        <v>0</v>
      </c>
      <c r="R17" s="3">
        <f>'Pre-Board-I(Entry)'!R17</f>
        <v>0</v>
      </c>
      <c r="S17" s="3">
        <f>'Pre-Board-I(Entry)'!S17</f>
        <v>0</v>
      </c>
      <c r="T17" s="3">
        <f>'Pre-Board-I(Entry)'!T17</f>
        <v>0</v>
      </c>
      <c r="U17" s="3">
        <f>'Pre-Board-I(Entry)'!U17</f>
        <v>0</v>
      </c>
      <c r="V17" s="3">
        <f>'Pre-Board-I(Entry)'!V17</f>
        <v>0</v>
      </c>
    </row>
    <row r="18" spans="1:22" x14ac:dyDescent="0.3">
      <c r="A18" s="21">
        <f>DETAILS!A17</f>
        <v>1650</v>
      </c>
      <c r="B18" s="21" t="str">
        <f>DETAILS!B17</f>
        <v>DIVYANSHU YADAV</v>
      </c>
      <c r="C18" s="3">
        <f>'Pre-Board-I(Entry)'!C18</f>
        <v>0</v>
      </c>
      <c r="D18" s="3">
        <f>'Pre-Board-I(Entry)'!D18</f>
        <v>0</v>
      </c>
      <c r="E18" s="3">
        <f>'Pre-Board-I(Entry)'!E18</f>
        <v>0</v>
      </c>
      <c r="F18" s="3">
        <f>'Pre-Board-I(Entry)'!F18</f>
        <v>0</v>
      </c>
      <c r="G18" s="3">
        <f>'Pre-Board-I(Entry)'!G18</f>
        <v>0</v>
      </c>
      <c r="H18" s="3">
        <f>'Pre-Board-I(Entry)'!H18</f>
        <v>0</v>
      </c>
      <c r="I18" s="3">
        <f>'Pre-Board-I(Entry)'!I18</f>
        <v>0</v>
      </c>
      <c r="J18" s="3">
        <f>'Pre-Board-I(Entry)'!J18</f>
        <v>0</v>
      </c>
      <c r="K18" s="3">
        <f>'Pre-Board-I(Entry)'!K18</f>
        <v>0</v>
      </c>
      <c r="L18" s="3">
        <f>'Pre-Board-I(Entry)'!L18</f>
        <v>0</v>
      </c>
      <c r="M18" s="3">
        <f>'Pre-Board-I(Entry)'!M18</f>
        <v>0</v>
      </c>
      <c r="N18" s="3">
        <f>'Pre-Board-I(Entry)'!N18</f>
        <v>0</v>
      </c>
      <c r="O18" s="3">
        <f t="shared" si="0"/>
        <v>0</v>
      </c>
      <c r="P18" s="3">
        <f>'Pre-Board-I(Entry)'!P18</f>
        <v>0</v>
      </c>
      <c r="Q18" s="3">
        <f>'Pre-Board-I(Entry)'!Q18</f>
        <v>0</v>
      </c>
      <c r="R18" s="3">
        <f>'Pre-Board-I(Entry)'!R18</f>
        <v>0</v>
      </c>
      <c r="S18" s="3">
        <f>'Pre-Board-I(Entry)'!S18</f>
        <v>0</v>
      </c>
      <c r="T18" s="3">
        <f>'Pre-Board-I(Entry)'!T18</f>
        <v>0</v>
      </c>
      <c r="U18" s="3">
        <f>'Pre-Board-I(Entry)'!U18</f>
        <v>0</v>
      </c>
      <c r="V18" s="3">
        <f>'Pre-Board-I(Entry)'!V18</f>
        <v>0</v>
      </c>
    </row>
    <row r="19" spans="1:22" x14ac:dyDescent="0.3">
      <c r="A19" s="21">
        <f>DETAILS!A18</f>
        <v>1661</v>
      </c>
      <c r="B19" s="21" t="str">
        <f>DETAILS!B18</f>
        <v>GARIMA YADAV</v>
      </c>
      <c r="C19" s="3">
        <f>'Pre-Board-I(Entry)'!C19</f>
        <v>0</v>
      </c>
      <c r="D19" s="3">
        <f>'Pre-Board-I(Entry)'!D19</f>
        <v>0</v>
      </c>
      <c r="E19" s="3">
        <f>'Pre-Board-I(Entry)'!E19</f>
        <v>0</v>
      </c>
      <c r="F19" s="3">
        <f>'Pre-Board-I(Entry)'!F19</f>
        <v>0</v>
      </c>
      <c r="G19" s="3">
        <f>'Pre-Board-I(Entry)'!G19</f>
        <v>0</v>
      </c>
      <c r="H19" s="3">
        <f>'Pre-Board-I(Entry)'!H19</f>
        <v>0</v>
      </c>
      <c r="I19" s="3">
        <f>'Pre-Board-I(Entry)'!I19</f>
        <v>0</v>
      </c>
      <c r="J19" s="3">
        <f>'Pre-Board-I(Entry)'!J19</f>
        <v>0</v>
      </c>
      <c r="K19" s="3">
        <f>'Pre-Board-I(Entry)'!K19</f>
        <v>0</v>
      </c>
      <c r="L19" s="3">
        <f>'Pre-Board-I(Entry)'!L19</f>
        <v>0</v>
      </c>
      <c r="M19" s="3">
        <f>'Pre-Board-I(Entry)'!M19</f>
        <v>0</v>
      </c>
      <c r="N19" s="3">
        <f>'Pre-Board-I(Entry)'!N19</f>
        <v>0</v>
      </c>
      <c r="O19" s="3">
        <f t="shared" si="0"/>
        <v>0</v>
      </c>
      <c r="P19" s="3">
        <f>'Pre-Board-I(Entry)'!P19</f>
        <v>0</v>
      </c>
      <c r="Q19" s="3">
        <f>'Pre-Board-I(Entry)'!Q19</f>
        <v>0</v>
      </c>
      <c r="R19" s="3">
        <f>'Pre-Board-I(Entry)'!R19</f>
        <v>0</v>
      </c>
      <c r="S19" s="3">
        <f>'Pre-Board-I(Entry)'!S19</f>
        <v>0</v>
      </c>
      <c r="T19" s="3">
        <f>'Pre-Board-I(Entry)'!T19</f>
        <v>0</v>
      </c>
      <c r="U19" s="3">
        <f>'Pre-Board-I(Entry)'!U19</f>
        <v>0</v>
      </c>
      <c r="V19" s="3">
        <f>'Pre-Board-I(Entry)'!V19</f>
        <v>0</v>
      </c>
    </row>
    <row r="20" spans="1:22" x14ac:dyDescent="0.3">
      <c r="A20" s="21">
        <f>DETAILS!A19</f>
        <v>1704</v>
      </c>
      <c r="B20" s="21" t="str">
        <f>DETAILS!B19</f>
        <v>HARSH SINGH</v>
      </c>
      <c r="C20" s="3">
        <f>'Pre-Board-I(Entry)'!C20</f>
        <v>0</v>
      </c>
      <c r="D20" s="3">
        <f>'Pre-Board-I(Entry)'!D20</f>
        <v>0</v>
      </c>
      <c r="E20" s="3">
        <f>'Pre-Board-I(Entry)'!E20</f>
        <v>0</v>
      </c>
      <c r="F20" s="3">
        <f>'Pre-Board-I(Entry)'!F20</f>
        <v>0</v>
      </c>
      <c r="G20" s="3">
        <f>'Pre-Board-I(Entry)'!G20</f>
        <v>0</v>
      </c>
      <c r="H20" s="3">
        <f>'Pre-Board-I(Entry)'!H20</f>
        <v>0</v>
      </c>
      <c r="I20" s="3">
        <f>'Pre-Board-I(Entry)'!I20</f>
        <v>0</v>
      </c>
      <c r="J20" s="3">
        <f>'Pre-Board-I(Entry)'!J20</f>
        <v>0</v>
      </c>
      <c r="K20" s="3">
        <f>'Pre-Board-I(Entry)'!K20</f>
        <v>0</v>
      </c>
      <c r="L20" s="3">
        <f>'Pre-Board-I(Entry)'!L20</f>
        <v>0</v>
      </c>
      <c r="M20" s="3">
        <f>'Pre-Board-I(Entry)'!M20</f>
        <v>0</v>
      </c>
      <c r="N20" s="3">
        <f>'Pre-Board-I(Entry)'!N20</f>
        <v>0</v>
      </c>
      <c r="O20" s="3">
        <f t="shared" si="0"/>
        <v>0</v>
      </c>
      <c r="P20" s="3">
        <f>'Pre-Board-I(Entry)'!P20</f>
        <v>0</v>
      </c>
      <c r="Q20" s="3">
        <f>'Pre-Board-I(Entry)'!Q20</f>
        <v>0</v>
      </c>
      <c r="R20" s="3">
        <f>'Pre-Board-I(Entry)'!R20</f>
        <v>0</v>
      </c>
      <c r="S20" s="3">
        <f>'Pre-Board-I(Entry)'!S20</f>
        <v>0</v>
      </c>
      <c r="T20" s="3">
        <f>'Pre-Board-I(Entry)'!T20</f>
        <v>0</v>
      </c>
      <c r="U20" s="3">
        <f>'Pre-Board-I(Entry)'!U20</f>
        <v>0</v>
      </c>
      <c r="V20" s="3">
        <f>'Pre-Board-I(Entry)'!V20</f>
        <v>0</v>
      </c>
    </row>
    <row r="21" spans="1:22" x14ac:dyDescent="0.3">
      <c r="A21" s="21">
        <f>DETAILS!A20</f>
        <v>1437</v>
      </c>
      <c r="B21" s="21" t="str">
        <f>DETAILS!B20</f>
        <v>KANISHKA YADAV</v>
      </c>
      <c r="C21" s="3">
        <f>'Pre-Board-I(Entry)'!C21</f>
        <v>0</v>
      </c>
      <c r="D21" s="3">
        <f>'Pre-Board-I(Entry)'!D21</f>
        <v>0</v>
      </c>
      <c r="E21" s="3">
        <f>'Pre-Board-I(Entry)'!E21</f>
        <v>0</v>
      </c>
      <c r="F21" s="3">
        <f>'Pre-Board-I(Entry)'!F21</f>
        <v>0</v>
      </c>
      <c r="G21" s="3">
        <f>'Pre-Board-I(Entry)'!G21</f>
        <v>0</v>
      </c>
      <c r="H21" s="3">
        <f>'Pre-Board-I(Entry)'!H21</f>
        <v>0</v>
      </c>
      <c r="I21" s="3">
        <f>'Pre-Board-I(Entry)'!I21</f>
        <v>0</v>
      </c>
      <c r="J21" s="3">
        <f>'Pre-Board-I(Entry)'!J21</f>
        <v>0</v>
      </c>
      <c r="K21" s="3">
        <f>'Pre-Board-I(Entry)'!K21</f>
        <v>0</v>
      </c>
      <c r="L21" s="3">
        <f>'Pre-Board-I(Entry)'!L21</f>
        <v>0</v>
      </c>
      <c r="M21" s="3">
        <f>'Pre-Board-I(Entry)'!M21</f>
        <v>0</v>
      </c>
      <c r="N21" s="3">
        <f>'Pre-Board-I(Entry)'!N21</f>
        <v>0</v>
      </c>
      <c r="O21" s="3">
        <f t="shared" si="0"/>
        <v>0</v>
      </c>
      <c r="P21" s="3">
        <f>'Pre-Board-I(Entry)'!P21</f>
        <v>0</v>
      </c>
      <c r="Q21" s="3">
        <f>'Pre-Board-I(Entry)'!Q21</f>
        <v>0</v>
      </c>
      <c r="R21" s="3">
        <f>'Pre-Board-I(Entry)'!R21</f>
        <v>0</v>
      </c>
      <c r="S21" s="3">
        <f>'Pre-Board-I(Entry)'!S21</f>
        <v>0</v>
      </c>
      <c r="T21" s="3">
        <f>'Pre-Board-I(Entry)'!T21</f>
        <v>0</v>
      </c>
      <c r="U21" s="3">
        <f>'Pre-Board-I(Entry)'!U21</f>
        <v>0</v>
      </c>
      <c r="V21" s="3">
        <f>'Pre-Board-I(Entry)'!V21</f>
        <v>0</v>
      </c>
    </row>
    <row r="22" spans="1:22" x14ac:dyDescent="0.3">
      <c r="A22" s="21">
        <f>DETAILS!A21</f>
        <v>1605</v>
      </c>
      <c r="B22" s="21" t="str">
        <f>DETAILS!B21</f>
        <v>KARUNESH SINGH</v>
      </c>
      <c r="C22" s="3">
        <f>'Pre-Board-I(Entry)'!C22</f>
        <v>0</v>
      </c>
      <c r="D22" s="3">
        <f>'Pre-Board-I(Entry)'!D22</f>
        <v>0</v>
      </c>
      <c r="E22" s="3">
        <f>'Pre-Board-I(Entry)'!E22</f>
        <v>0</v>
      </c>
      <c r="F22" s="3">
        <f>'Pre-Board-I(Entry)'!F22</f>
        <v>0</v>
      </c>
      <c r="G22" s="3">
        <f>'Pre-Board-I(Entry)'!G22</f>
        <v>0</v>
      </c>
      <c r="H22" s="3">
        <f>'Pre-Board-I(Entry)'!H22</f>
        <v>0</v>
      </c>
      <c r="I22" s="3">
        <f>'Pre-Board-I(Entry)'!I22</f>
        <v>0</v>
      </c>
      <c r="J22" s="3">
        <f>'Pre-Board-I(Entry)'!J22</f>
        <v>0</v>
      </c>
      <c r="K22" s="3">
        <f>'Pre-Board-I(Entry)'!K22</f>
        <v>0</v>
      </c>
      <c r="L22" s="3">
        <f>'Pre-Board-I(Entry)'!L22</f>
        <v>0</v>
      </c>
      <c r="M22" s="3">
        <f>'Pre-Board-I(Entry)'!M22</f>
        <v>0</v>
      </c>
      <c r="N22" s="3">
        <f>'Pre-Board-I(Entry)'!N22</f>
        <v>0</v>
      </c>
      <c r="O22" s="3">
        <f t="shared" si="0"/>
        <v>0</v>
      </c>
      <c r="P22" s="3">
        <f>'Pre-Board-I(Entry)'!P22</f>
        <v>0</v>
      </c>
      <c r="Q22" s="3">
        <f>'Pre-Board-I(Entry)'!Q22</f>
        <v>0</v>
      </c>
      <c r="R22" s="3">
        <f>'Pre-Board-I(Entry)'!R22</f>
        <v>0</v>
      </c>
      <c r="S22" s="3">
        <f>'Pre-Board-I(Entry)'!S22</f>
        <v>0</v>
      </c>
      <c r="T22" s="3">
        <f>'Pre-Board-I(Entry)'!T22</f>
        <v>0</v>
      </c>
      <c r="U22" s="3">
        <f>'Pre-Board-I(Entry)'!U22</f>
        <v>0</v>
      </c>
      <c r="V22" s="3">
        <f>'Pre-Board-I(Entry)'!V22</f>
        <v>0</v>
      </c>
    </row>
    <row r="23" spans="1:22" x14ac:dyDescent="0.3">
      <c r="A23" s="21">
        <f>DETAILS!A22</f>
        <v>1640</v>
      </c>
      <c r="B23" s="21" t="str">
        <f>DETAILS!B22</f>
        <v>KRISHNA GUPTA</v>
      </c>
      <c r="C23" s="3">
        <f>'Pre-Board-I(Entry)'!C23</f>
        <v>0</v>
      </c>
      <c r="D23" s="3">
        <f>'Pre-Board-I(Entry)'!D23</f>
        <v>0</v>
      </c>
      <c r="E23" s="3">
        <f>'Pre-Board-I(Entry)'!E23</f>
        <v>0</v>
      </c>
      <c r="F23" s="3">
        <f>'Pre-Board-I(Entry)'!F23</f>
        <v>0</v>
      </c>
      <c r="G23" s="3">
        <f>'Pre-Board-I(Entry)'!G23</f>
        <v>0</v>
      </c>
      <c r="H23" s="3">
        <f>'Pre-Board-I(Entry)'!H23</f>
        <v>0</v>
      </c>
      <c r="I23" s="3">
        <f>'Pre-Board-I(Entry)'!I23</f>
        <v>0</v>
      </c>
      <c r="J23" s="3">
        <f>'Pre-Board-I(Entry)'!J23</f>
        <v>0</v>
      </c>
      <c r="K23" s="3">
        <f>'Pre-Board-I(Entry)'!K23</f>
        <v>0</v>
      </c>
      <c r="L23" s="3">
        <f>'Pre-Board-I(Entry)'!L23</f>
        <v>0</v>
      </c>
      <c r="M23" s="3">
        <f>'Pre-Board-I(Entry)'!M23</f>
        <v>0</v>
      </c>
      <c r="N23" s="3">
        <f>'Pre-Board-I(Entry)'!N23</f>
        <v>0</v>
      </c>
      <c r="O23" s="3">
        <f t="shared" si="0"/>
        <v>0</v>
      </c>
      <c r="P23" s="3">
        <f>'Pre-Board-I(Entry)'!P23</f>
        <v>0</v>
      </c>
      <c r="Q23" s="3">
        <f>'Pre-Board-I(Entry)'!Q23</f>
        <v>0</v>
      </c>
      <c r="R23" s="3">
        <f>'Pre-Board-I(Entry)'!R23</f>
        <v>0</v>
      </c>
      <c r="S23" s="3">
        <f>'Pre-Board-I(Entry)'!S23</f>
        <v>0</v>
      </c>
      <c r="T23" s="3">
        <f>'Pre-Board-I(Entry)'!T23</f>
        <v>0</v>
      </c>
      <c r="U23" s="3">
        <f>'Pre-Board-I(Entry)'!U23</f>
        <v>0</v>
      </c>
      <c r="V23" s="3">
        <f>'Pre-Board-I(Entry)'!V23</f>
        <v>0</v>
      </c>
    </row>
    <row r="24" spans="1:22" x14ac:dyDescent="0.3">
      <c r="A24" s="21">
        <f>DETAILS!A23</f>
        <v>1678</v>
      </c>
      <c r="B24" s="21" t="str">
        <f>DETAILS!B23</f>
        <v>KUNAL DHANUK</v>
      </c>
      <c r="C24" s="3">
        <f>'Pre-Board-I(Entry)'!C24</f>
        <v>0</v>
      </c>
      <c r="D24" s="3">
        <f>'Pre-Board-I(Entry)'!D24</f>
        <v>0</v>
      </c>
      <c r="E24" s="3">
        <f>'Pre-Board-I(Entry)'!E24</f>
        <v>0</v>
      </c>
      <c r="F24" s="3">
        <f>'Pre-Board-I(Entry)'!F24</f>
        <v>0</v>
      </c>
      <c r="G24" s="3">
        <f>'Pre-Board-I(Entry)'!G24</f>
        <v>0</v>
      </c>
      <c r="H24" s="3">
        <f>'Pre-Board-I(Entry)'!H24</f>
        <v>0</v>
      </c>
      <c r="I24" s="3">
        <f>'Pre-Board-I(Entry)'!I24</f>
        <v>0</v>
      </c>
      <c r="J24" s="3">
        <f>'Pre-Board-I(Entry)'!J24</f>
        <v>0</v>
      </c>
      <c r="K24" s="3">
        <f>'Pre-Board-I(Entry)'!K24</f>
        <v>0</v>
      </c>
      <c r="L24" s="3">
        <f>'Pre-Board-I(Entry)'!L24</f>
        <v>0</v>
      </c>
      <c r="M24" s="3">
        <f>'Pre-Board-I(Entry)'!M24</f>
        <v>0</v>
      </c>
      <c r="N24" s="3">
        <f>'Pre-Board-I(Entry)'!N24</f>
        <v>0</v>
      </c>
      <c r="O24" s="3">
        <f t="shared" si="0"/>
        <v>0</v>
      </c>
      <c r="P24" s="3">
        <f>'Pre-Board-I(Entry)'!P24</f>
        <v>0</v>
      </c>
      <c r="Q24" s="3">
        <f>'Pre-Board-I(Entry)'!Q24</f>
        <v>0</v>
      </c>
      <c r="R24" s="3">
        <f>'Pre-Board-I(Entry)'!R24</f>
        <v>0</v>
      </c>
      <c r="S24" s="3">
        <f>'Pre-Board-I(Entry)'!S24</f>
        <v>0</v>
      </c>
      <c r="T24" s="3">
        <f>'Pre-Board-I(Entry)'!T24</f>
        <v>0</v>
      </c>
      <c r="U24" s="3">
        <f>'Pre-Board-I(Entry)'!U24</f>
        <v>0</v>
      </c>
      <c r="V24" s="3">
        <f>'Pre-Board-I(Entry)'!V24</f>
        <v>0</v>
      </c>
    </row>
    <row r="25" spans="1:22" x14ac:dyDescent="0.3">
      <c r="A25" s="21">
        <f>DETAILS!A24</f>
        <v>1330</v>
      </c>
      <c r="B25" s="21" t="str">
        <f>DETAILS!B24</f>
        <v>KUSHAGRA SINGH</v>
      </c>
      <c r="C25" s="3">
        <f>'Pre-Board-I(Entry)'!C25</f>
        <v>0</v>
      </c>
      <c r="D25" s="3">
        <f>'Pre-Board-I(Entry)'!D25</f>
        <v>0</v>
      </c>
      <c r="E25" s="3">
        <f>'Pre-Board-I(Entry)'!E25</f>
        <v>0</v>
      </c>
      <c r="F25" s="3">
        <f>'Pre-Board-I(Entry)'!F25</f>
        <v>0</v>
      </c>
      <c r="G25" s="3">
        <f>'Pre-Board-I(Entry)'!G25</f>
        <v>0</v>
      </c>
      <c r="H25" s="3">
        <f>'Pre-Board-I(Entry)'!H25</f>
        <v>0</v>
      </c>
      <c r="I25" s="3">
        <f>'Pre-Board-I(Entry)'!I25</f>
        <v>0</v>
      </c>
      <c r="J25" s="3">
        <f>'Pre-Board-I(Entry)'!J25</f>
        <v>0</v>
      </c>
      <c r="K25" s="3">
        <f>'Pre-Board-I(Entry)'!K25</f>
        <v>0</v>
      </c>
      <c r="L25" s="3">
        <f>'Pre-Board-I(Entry)'!L25</f>
        <v>0</v>
      </c>
      <c r="M25" s="3">
        <f>'Pre-Board-I(Entry)'!M25</f>
        <v>0</v>
      </c>
      <c r="N25" s="3">
        <f>'Pre-Board-I(Entry)'!N25</f>
        <v>0</v>
      </c>
      <c r="O25" s="3">
        <f t="shared" si="0"/>
        <v>0</v>
      </c>
      <c r="P25" s="3">
        <f>'Pre-Board-I(Entry)'!P25</f>
        <v>0</v>
      </c>
      <c r="Q25" s="3">
        <f>'Pre-Board-I(Entry)'!Q25</f>
        <v>0</v>
      </c>
      <c r="R25" s="3">
        <f>'Pre-Board-I(Entry)'!R25</f>
        <v>0</v>
      </c>
      <c r="S25" s="3">
        <f>'Pre-Board-I(Entry)'!S25</f>
        <v>0</v>
      </c>
      <c r="T25" s="3">
        <f>'Pre-Board-I(Entry)'!T25</f>
        <v>0</v>
      </c>
      <c r="U25" s="3">
        <f>'Pre-Board-I(Entry)'!U25</f>
        <v>0</v>
      </c>
      <c r="V25" s="3">
        <f>'Pre-Board-I(Entry)'!V25</f>
        <v>0</v>
      </c>
    </row>
    <row r="26" spans="1:22" x14ac:dyDescent="0.3">
      <c r="A26" s="21">
        <f>DETAILS!A25</f>
        <v>777</v>
      </c>
      <c r="B26" s="21" t="str">
        <f>DETAILS!B25</f>
        <v>MAHEE JAISWAL</v>
      </c>
      <c r="C26" s="3">
        <f>'Pre-Board-I(Entry)'!C26</f>
        <v>0</v>
      </c>
      <c r="D26" s="3">
        <f>'Pre-Board-I(Entry)'!D26</f>
        <v>0</v>
      </c>
      <c r="E26" s="3">
        <f>'Pre-Board-I(Entry)'!E26</f>
        <v>0</v>
      </c>
      <c r="F26" s="3">
        <f>'Pre-Board-I(Entry)'!F26</f>
        <v>0</v>
      </c>
      <c r="G26" s="3">
        <f>'Pre-Board-I(Entry)'!G26</f>
        <v>0</v>
      </c>
      <c r="H26" s="3">
        <f>'Pre-Board-I(Entry)'!H26</f>
        <v>0</v>
      </c>
      <c r="I26" s="3">
        <f>'Pre-Board-I(Entry)'!I26</f>
        <v>0</v>
      </c>
      <c r="J26" s="3">
        <f>'Pre-Board-I(Entry)'!J26</f>
        <v>0</v>
      </c>
      <c r="K26" s="3">
        <f>'Pre-Board-I(Entry)'!K26</f>
        <v>0</v>
      </c>
      <c r="L26" s="3">
        <f>'Pre-Board-I(Entry)'!L26</f>
        <v>0</v>
      </c>
      <c r="M26" s="3">
        <f>'Pre-Board-I(Entry)'!M26</f>
        <v>0</v>
      </c>
      <c r="N26" s="3">
        <f>'Pre-Board-I(Entry)'!N26</f>
        <v>0</v>
      </c>
      <c r="O26" s="3">
        <f t="shared" si="0"/>
        <v>0</v>
      </c>
      <c r="P26" s="3">
        <f>'Pre-Board-I(Entry)'!P26</f>
        <v>0</v>
      </c>
      <c r="Q26" s="3">
        <f>'Pre-Board-I(Entry)'!Q26</f>
        <v>0</v>
      </c>
      <c r="R26" s="3">
        <f>'Pre-Board-I(Entry)'!R26</f>
        <v>0</v>
      </c>
      <c r="S26" s="3">
        <f>'Pre-Board-I(Entry)'!S26</f>
        <v>0</v>
      </c>
      <c r="T26" s="3">
        <f>'Pre-Board-I(Entry)'!T26</f>
        <v>0</v>
      </c>
      <c r="U26" s="3">
        <f>'Pre-Board-I(Entry)'!U26</f>
        <v>0</v>
      </c>
      <c r="V26" s="3">
        <f>'Pre-Board-I(Entry)'!V26</f>
        <v>0</v>
      </c>
    </row>
    <row r="27" spans="1:22" x14ac:dyDescent="0.3">
      <c r="A27" s="21">
        <f>DETAILS!A26</f>
        <v>763</v>
      </c>
      <c r="B27" s="21" t="str">
        <f>DETAILS!B26</f>
        <v>MAHEK RAWAT</v>
      </c>
      <c r="C27" s="3">
        <f>'Pre-Board-I(Entry)'!C27</f>
        <v>0</v>
      </c>
      <c r="D27" s="3">
        <f>'Pre-Board-I(Entry)'!D27</f>
        <v>0</v>
      </c>
      <c r="E27" s="3">
        <f>'Pre-Board-I(Entry)'!E27</f>
        <v>0</v>
      </c>
      <c r="F27" s="3">
        <f>'Pre-Board-I(Entry)'!F27</f>
        <v>0</v>
      </c>
      <c r="G27" s="3">
        <f>'Pre-Board-I(Entry)'!G27</f>
        <v>0</v>
      </c>
      <c r="H27" s="3">
        <f>'Pre-Board-I(Entry)'!H27</f>
        <v>0</v>
      </c>
      <c r="I27" s="3">
        <f>'Pre-Board-I(Entry)'!I27</f>
        <v>0</v>
      </c>
      <c r="J27" s="3">
        <f>'Pre-Board-I(Entry)'!J27</f>
        <v>0</v>
      </c>
      <c r="K27" s="3">
        <f>'Pre-Board-I(Entry)'!K27</f>
        <v>0</v>
      </c>
      <c r="L27" s="3">
        <f>'Pre-Board-I(Entry)'!L27</f>
        <v>0</v>
      </c>
      <c r="M27" s="3">
        <f>'Pre-Board-I(Entry)'!M27</f>
        <v>0</v>
      </c>
      <c r="N27" s="3">
        <f>'Pre-Board-I(Entry)'!N27</f>
        <v>0</v>
      </c>
      <c r="O27" s="3">
        <f t="shared" si="0"/>
        <v>0</v>
      </c>
      <c r="P27" s="3">
        <f>'Pre-Board-I(Entry)'!P27</f>
        <v>0</v>
      </c>
      <c r="Q27" s="3">
        <f>'Pre-Board-I(Entry)'!Q27</f>
        <v>0</v>
      </c>
      <c r="R27" s="3">
        <f>'Pre-Board-I(Entry)'!R27</f>
        <v>0</v>
      </c>
      <c r="S27" s="3">
        <f>'Pre-Board-I(Entry)'!S27</f>
        <v>0</v>
      </c>
      <c r="T27" s="3">
        <f>'Pre-Board-I(Entry)'!T27</f>
        <v>0</v>
      </c>
      <c r="U27" s="3">
        <f>'Pre-Board-I(Entry)'!U27</f>
        <v>0</v>
      </c>
      <c r="V27" s="3">
        <f>'Pre-Board-I(Entry)'!V27</f>
        <v>0</v>
      </c>
    </row>
    <row r="28" spans="1:22" x14ac:dyDescent="0.3">
      <c r="A28" s="21">
        <f>DETAILS!A27</f>
        <v>1619</v>
      </c>
      <c r="B28" s="21" t="str">
        <f>DETAILS!B27</f>
        <v>MOHD FAIZ</v>
      </c>
      <c r="C28" s="3">
        <f>'Pre-Board-I(Entry)'!C28</f>
        <v>0</v>
      </c>
      <c r="D28" s="3">
        <f>'Pre-Board-I(Entry)'!D28</f>
        <v>0</v>
      </c>
      <c r="E28" s="3">
        <f>'Pre-Board-I(Entry)'!E28</f>
        <v>0</v>
      </c>
      <c r="F28" s="3">
        <f>'Pre-Board-I(Entry)'!F28</f>
        <v>0</v>
      </c>
      <c r="G28" s="3">
        <f>'Pre-Board-I(Entry)'!G28</f>
        <v>0</v>
      </c>
      <c r="H28" s="3">
        <f>'Pre-Board-I(Entry)'!H28</f>
        <v>0</v>
      </c>
      <c r="I28" s="3">
        <f>'Pre-Board-I(Entry)'!I28</f>
        <v>0</v>
      </c>
      <c r="J28" s="3">
        <f>'Pre-Board-I(Entry)'!J28</f>
        <v>0</v>
      </c>
      <c r="K28" s="3">
        <f>'Pre-Board-I(Entry)'!K28</f>
        <v>0</v>
      </c>
      <c r="L28" s="3">
        <f>'Pre-Board-I(Entry)'!L28</f>
        <v>0</v>
      </c>
      <c r="M28" s="3">
        <f>'Pre-Board-I(Entry)'!M28</f>
        <v>0</v>
      </c>
      <c r="N28" s="3">
        <f>'Pre-Board-I(Entry)'!N28</f>
        <v>0</v>
      </c>
      <c r="O28" s="3">
        <f t="shared" si="0"/>
        <v>0</v>
      </c>
      <c r="P28" s="3">
        <f>'Pre-Board-I(Entry)'!P28</f>
        <v>0</v>
      </c>
      <c r="Q28" s="3">
        <f>'Pre-Board-I(Entry)'!Q28</f>
        <v>0</v>
      </c>
      <c r="R28" s="3">
        <f>'Pre-Board-I(Entry)'!R28</f>
        <v>0</v>
      </c>
      <c r="S28" s="3">
        <f>'Pre-Board-I(Entry)'!S28</f>
        <v>0</v>
      </c>
      <c r="T28" s="3">
        <f>'Pre-Board-I(Entry)'!T28</f>
        <v>0</v>
      </c>
      <c r="U28" s="3">
        <f>'Pre-Board-I(Entry)'!U28</f>
        <v>0</v>
      </c>
      <c r="V28" s="3">
        <f>'Pre-Board-I(Entry)'!V28</f>
        <v>0</v>
      </c>
    </row>
    <row r="29" spans="1:22" x14ac:dyDescent="0.3">
      <c r="A29" s="21">
        <f>DETAILS!A28</f>
        <v>1687</v>
      </c>
      <c r="B29" s="21" t="str">
        <f>DETAILS!B28</f>
        <v>MOHINI YADAV</v>
      </c>
      <c r="C29" s="3">
        <f>'Pre-Board-I(Entry)'!C29</f>
        <v>0</v>
      </c>
      <c r="D29" s="3">
        <f>'Pre-Board-I(Entry)'!D29</f>
        <v>0</v>
      </c>
      <c r="E29" s="3">
        <f>'Pre-Board-I(Entry)'!E29</f>
        <v>0</v>
      </c>
      <c r="F29" s="3">
        <f>'Pre-Board-I(Entry)'!F29</f>
        <v>0</v>
      </c>
      <c r="G29" s="3">
        <f>'Pre-Board-I(Entry)'!G29</f>
        <v>0</v>
      </c>
      <c r="H29" s="3">
        <f>'Pre-Board-I(Entry)'!H29</f>
        <v>0</v>
      </c>
      <c r="I29" s="3">
        <f>'Pre-Board-I(Entry)'!I29</f>
        <v>0</v>
      </c>
      <c r="J29" s="3">
        <f>'Pre-Board-I(Entry)'!J29</f>
        <v>0</v>
      </c>
      <c r="K29" s="3">
        <f>'Pre-Board-I(Entry)'!K29</f>
        <v>0</v>
      </c>
      <c r="L29" s="3">
        <f>'Pre-Board-I(Entry)'!L29</f>
        <v>0</v>
      </c>
      <c r="M29" s="3">
        <f>'Pre-Board-I(Entry)'!M29</f>
        <v>0</v>
      </c>
      <c r="N29" s="3">
        <f>'Pre-Board-I(Entry)'!N29</f>
        <v>0</v>
      </c>
      <c r="O29" s="3">
        <f t="shared" si="0"/>
        <v>0</v>
      </c>
      <c r="P29" s="3">
        <f>'Pre-Board-I(Entry)'!P29</f>
        <v>0</v>
      </c>
      <c r="Q29" s="3">
        <f>'Pre-Board-I(Entry)'!Q29</f>
        <v>0</v>
      </c>
      <c r="R29" s="3">
        <f>'Pre-Board-I(Entry)'!R29</f>
        <v>0</v>
      </c>
      <c r="S29" s="3">
        <f>'Pre-Board-I(Entry)'!S29</f>
        <v>0</v>
      </c>
      <c r="T29" s="3">
        <f>'Pre-Board-I(Entry)'!T29</f>
        <v>0</v>
      </c>
      <c r="U29" s="3">
        <f>'Pre-Board-I(Entry)'!U29</f>
        <v>0</v>
      </c>
      <c r="V29" s="3">
        <f>'Pre-Board-I(Entry)'!V29</f>
        <v>0</v>
      </c>
    </row>
    <row r="30" spans="1:22" x14ac:dyDescent="0.3">
      <c r="A30" s="21">
        <f>DETAILS!A29</f>
        <v>1653</v>
      </c>
      <c r="B30" s="21" t="str">
        <f>DETAILS!B29</f>
        <v>MUSKAN MEENA</v>
      </c>
      <c r="C30" s="3">
        <f>'Pre-Board-I(Entry)'!C30</f>
        <v>0</v>
      </c>
      <c r="D30" s="3">
        <f>'Pre-Board-I(Entry)'!D30</f>
        <v>0</v>
      </c>
      <c r="E30" s="3">
        <f>'Pre-Board-I(Entry)'!E30</f>
        <v>0</v>
      </c>
      <c r="F30" s="3">
        <f>'Pre-Board-I(Entry)'!F30</f>
        <v>0</v>
      </c>
      <c r="G30" s="3">
        <f>'Pre-Board-I(Entry)'!G30</f>
        <v>0</v>
      </c>
      <c r="H30" s="3">
        <f>'Pre-Board-I(Entry)'!H30</f>
        <v>0</v>
      </c>
      <c r="I30" s="3">
        <f>'Pre-Board-I(Entry)'!I30</f>
        <v>0</v>
      </c>
      <c r="J30" s="3">
        <f>'Pre-Board-I(Entry)'!J30</f>
        <v>0</v>
      </c>
      <c r="K30" s="3">
        <f>'Pre-Board-I(Entry)'!K30</f>
        <v>0</v>
      </c>
      <c r="L30" s="3">
        <f>'Pre-Board-I(Entry)'!L30</f>
        <v>0</v>
      </c>
      <c r="M30" s="3">
        <f>'Pre-Board-I(Entry)'!M30</f>
        <v>0</v>
      </c>
      <c r="N30" s="3">
        <f>'Pre-Board-I(Entry)'!N30</f>
        <v>0</v>
      </c>
      <c r="O30" s="3">
        <f t="shared" si="0"/>
        <v>0</v>
      </c>
      <c r="P30" s="3">
        <f>'Pre-Board-I(Entry)'!P30</f>
        <v>0</v>
      </c>
      <c r="Q30" s="3">
        <f>'Pre-Board-I(Entry)'!Q30</f>
        <v>0</v>
      </c>
      <c r="R30" s="3">
        <f>'Pre-Board-I(Entry)'!R30</f>
        <v>0</v>
      </c>
      <c r="S30" s="3">
        <f>'Pre-Board-I(Entry)'!S30</f>
        <v>0</v>
      </c>
      <c r="T30" s="3">
        <f>'Pre-Board-I(Entry)'!T30</f>
        <v>0</v>
      </c>
      <c r="U30" s="3">
        <f>'Pre-Board-I(Entry)'!U30</f>
        <v>0</v>
      </c>
      <c r="V30" s="3">
        <f>'Pre-Board-I(Entry)'!V30</f>
        <v>0</v>
      </c>
    </row>
    <row r="31" spans="1:22" x14ac:dyDescent="0.3">
      <c r="A31" s="21">
        <f>DETAILS!A30</f>
        <v>1700</v>
      </c>
      <c r="B31" s="21" t="str">
        <f>DETAILS!B30</f>
        <v>NASHRA</v>
      </c>
      <c r="C31" s="3">
        <f>'Pre-Board-I(Entry)'!C31</f>
        <v>0</v>
      </c>
      <c r="D31" s="3">
        <f>'Pre-Board-I(Entry)'!D31</f>
        <v>0</v>
      </c>
      <c r="E31" s="3">
        <f>'Pre-Board-I(Entry)'!E31</f>
        <v>0</v>
      </c>
      <c r="F31" s="3">
        <f>'Pre-Board-I(Entry)'!F31</f>
        <v>0</v>
      </c>
      <c r="G31" s="3">
        <f>'Pre-Board-I(Entry)'!G31</f>
        <v>0</v>
      </c>
      <c r="H31" s="3">
        <f>'Pre-Board-I(Entry)'!H31</f>
        <v>0</v>
      </c>
      <c r="I31" s="3">
        <f>'Pre-Board-I(Entry)'!I31</f>
        <v>0</v>
      </c>
      <c r="J31" s="3">
        <f>'Pre-Board-I(Entry)'!J31</f>
        <v>0</v>
      </c>
      <c r="K31" s="3">
        <f>'Pre-Board-I(Entry)'!K31</f>
        <v>0</v>
      </c>
      <c r="L31" s="3">
        <f>'Pre-Board-I(Entry)'!L31</f>
        <v>0</v>
      </c>
      <c r="M31" s="3">
        <f>'Pre-Board-I(Entry)'!M31</f>
        <v>0</v>
      </c>
      <c r="N31" s="3">
        <f>'Pre-Board-I(Entry)'!N31</f>
        <v>0</v>
      </c>
      <c r="O31" s="3">
        <f t="shared" si="0"/>
        <v>0</v>
      </c>
      <c r="P31" s="3">
        <f>'Pre-Board-I(Entry)'!P31</f>
        <v>0</v>
      </c>
      <c r="Q31" s="3">
        <f>'Pre-Board-I(Entry)'!Q31</f>
        <v>0</v>
      </c>
      <c r="R31" s="3">
        <f>'Pre-Board-I(Entry)'!R31</f>
        <v>0</v>
      </c>
      <c r="S31" s="3">
        <f>'Pre-Board-I(Entry)'!S31</f>
        <v>0</v>
      </c>
      <c r="T31" s="3">
        <f>'Pre-Board-I(Entry)'!T31</f>
        <v>0</v>
      </c>
      <c r="U31" s="3">
        <f>'Pre-Board-I(Entry)'!U31</f>
        <v>0</v>
      </c>
      <c r="V31" s="3">
        <f>'Pre-Board-I(Entry)'!V31</f>
        <v>0</v>
      </c>
    </row>
    <row r="32" spans="1:22" x14ac:dyDescent="0.3">
      <c r="A32" s="21">
        <f>DETAILS!A31</f>
        <v>1603</v>
      </c>
      <c r="B32" s="21" t="str">
        <f>DETAILS!B31</f>
        <v>PRAGATI TIWARI</v>
      </c>
      <c r="C32" s="3">
        <f>'Pre-Board-I(Entry)'!C32</f>
        <v>0</v>
      </c>
      <c r="D32" s="3">
        <f>'Pre-Board-I(Entry)'!D32</f>
        <v>0</v>
      </c>
      <c r="E32" s="3">
        <f>'Pre-Board-I(Entry)'!E32</f>
        <v>0</v>
      </c>
      <c r="F32" s="3">
        <f>'Pre-Board-I(Entry)'!F32</f>
        <v>0</v>
      </c>
      <c r="G32" s="3">
        <f>'Pre-Board-I(Entry)'!G32</f>
        <v>0</v>
      </c>
      <c r="H32" s="3">
        <f>'Pre-Board-I(Entry)'!H32</f>
        <v>0</v>
      </c>
      <c r="I32" s="3">
        <f>'Pre-Board-I(Entry)'!I32</f>
        <v>0</v>
      </c>
      <c r="J32" s="3">
        <f>'Pre-Board-I(Entry)'!J32</f>
        <v>0</v>
      </c>
      <c r="K32" s="3">
        <f>'Pre-Board-I(Entry)'!K32</f>
        <v>0</v>
      </c>
      <c r="L32" s="3">
        <f>'Pre-Board-I(Entry)'!L32</f>
        <v>0</v>
      </c>
      <c r="M32" s="3">
        <f>'Pre-Board-I(Entry)'!M32</f>
        <v>0</v>
      </c>
      <c r="N32" s="3">
        <f>'Pre-Board-I(Entry)'!N32</f>
        <v>0</v>
      </c>
      <c r="O32" s="3">
        <f t="shared" si="0"/>
        <v>0</v>
      </c>
      <c r="P32" s="3">
        <f>'Pre-Board-I(Entry)'!P32</f>
        <v>0</v>
      </c>
      <c r="Q32" s="3">
        <f>'Pre-Board-I(Entry)'!Q32</f>
        <v>0</v>
      </c>
      <c r="R32" s="3">
        <f>'Pre-Board-I(Entry)'!R32</f>
        <v>0</v>
      </c>
      <c r="S32" s="3">
        <f>'Pre-Board-I(Entry)'!S32</f>
        <v>0</v>
      </c>
      <c r="T32" s="3">
        <f>'Pre-Board-I(Entry)'!T32</f>
        <v>0</v>
      </c>
      <c r="U32" s="3">
        <f>'Pre-Board-I(Entry)'!U32</f>
        <v>0</v>
      </c>
      <c r="V32" s="3">
        <f>'Pre-Board-I(Entry)'!V32</f>
        <v>0</v>
      </c>
    </row>
    <row r="33" spans="1:22" x14ac:dyDescent="0.3">
      <c r="A33" s="21">
        <f>DETAILS!A32</f>
        <v>764</v>
      </c>
      <c r="B33" s="21" t="str">
        <f>DETAILS!B32</f>
        <v>PRAKHAR VERMA</v>
      </c>
      <c r="C33" s="3">
        <f>'Pre-Board-I(Entry)'!C33</f>
        <v>0</v>
      </c>
      <c r="D33" s="3">
        <f>'Pre-Board-I(Entry)'!D33</f>
        <v>0</v>
      </c>
      <c r="E33" s="3">
        <f>'Pre-Board-I(Entry)'!E33</f>
        <v>0</v>
      </c>
      <c r="F33" s="3">
        <f>'Pre-Board-I(Entry)'!F33</f>
        <v>0</v>
      </c>
      <c r="G33" s="3">
        <f>'Pre-Board-I(Entry)'!G33</f>
        <v>0</v>
      </c>
      <c r="H33" s="3">
        <f>'Pre-Board-I(Entry)'!H33</f>
        <v>0</v>
      </c>
      <c r="I33" s="3">
        <f>'Pre-Board-I(Entry)'!I33</f>
        <v>0</v>
      </c>
      <c r="J33" s="3">
        <f>'Pre-Board-I(Entry)'!J33</f>
        <v>0</v>
      </c>
      <c r="K33" s="3">
        <f>'Pre-Board-I(Entry)'!K33</f>
        <v>0</v>
      </c>
      <c r="L33" s="3">
        <f>'Pre-Board-I(Entry)'!L33</f>
        <v>0</v>
      </c>
      <c r="M33" s="3">
        <f>'Pre-Board-I(Entry)'!M33</f>
        <v>0</v>
      </c>
      <c r="N33" s="3">
        <f>'Pre-Board-I(Entry)'!N33</f>
        <v>0</v>
      </c>
      <c r="O33" s="3">
        <f t="shared" si="0"/>
        <v>0</v>
      </c>
      <c r="P33" s="3">
        <f>'Pre-Board-I(Entry)'!P33</f>
        <v>0</v>
      </c>
      <c r="Q33" s="3">
        <f>'Pre-Board-I(Entry)'!Q33</f>
        <v>0</v>
      </c>
      <c r="R33" s="3">
        <f>'Pre-Board-I(Entry)'!R33</f>
        <v>0</v>
      </c>
      <c r="S33" s="3">
        <f>'Pre-Board-I(Entry)'!S33</f>
        <v>0</v>
      </c>
      <c r="T33" s="3">
        <f>'Pre-Board-I(Entry)'!T33</f>
        <v>0</v>
      </c>
      <c r="U33" s="3">
        <f>'Pre-Board-I(Entry)'!U33</f>
        <v>0</v>
      </c>
      <c r="V33" s="3">
        <f>'Pre-Board-I(Entry)'!V33</f>
        <v>0</v>
      </c>
    </row>
    <row r="34" spans="1:22" x14ac:dyDescent="0.3">
      <c r="A34" s="21">
        <f>DETAILS!A33</f>
        <v>1301</v>
      </c>
      <c r="B34" s="21" t="str">
        <f>DETAILS!B33</f>
        <v>PRASHANT YADAV</v>
      </c>
      <c r="C34" s="3">
        <f>'Pre-Board-I(Entry)'!C34</f>
        <v>0</v>
      </c>
      <c r="D34" s="3">
        <f>'Pre-Board-I(Entry)'!D34</f>
        <v>0</v>
      </c>
      <c r="E34" s="3">
        <f>'Pre-Board-I(Entry)'!E34</f>
        <v>0</v>
      </c>
      <c r="F34" s="3">
        <f>'Pre-Board-I(Entry)'!F34</f>
        <v>0</v>
      </c>
      <c r="G34" s="3">
        <f>'Pre-Board-I(Entry)'!G34</f>
        <v>0</v>
      </c>
      <c r="H34" s="3">
        <f>'Pre-Board-I(Entry)'!H34</f>
        <v>0</v>
      </c>
      <c r="I34" s="3">
        <f>'Pre-Board-I(Entry)'!I34</f>
        <v>0</v>
      </c>
      <c r="J34" s="3">
        <f>'Pre-Board-I(Entry)'!J34</f>
        <v>0</v>
      </c>
      <c r="K34" s="3">
        <f>'Pre-Board-I(Entry)'!K34</f>
        <v>0</v>
      </c>
      <c r="L34" s="3">
        <f>'Pre-Board-I(Entry)'!L34</f>
        <v>0</v>
      </c>
      <c r="M34" s="3">
        <f>'Pre-Board-I(Entry)'!M34</f>
        <v>0</v>
      </c>
      <c r="N34" s="3">
        <f>'Pre-Board-I(Entry)'!N34</f>
        <v>0</v>
      </c>
      <c r="O34" s="3">
        <f t="shared" si="0"/>
        <v>0</v>
      </c>
      <c r="P34" s="3">
        <f>'Pre-Board-I(Entry)'!P34</f>
        <v>0</v>
      </c>
      <c r="Q34" s="3">
        <f>'Pre-Board-I(Entry)'!Q34</f>
        <v>0</v>
      </c>
      <c r="R34" s="3">
        <f>'Pre-Board-I(Entry)'!R34</f>
        <v>0</v>
      </c>
      <c r="S34" s="3">
        <f>'Pre-Board-I(Entry)'!S34</f>
        <v>0</v>
      </c>
      <c r="T34" s="3">
        <f>'Pre-Board-I(Entry)'!T34</f>
        <v>0</v>
      </c>
      <c r="U34" s="3">
        <f>'Pre-Board-I(Entry)'!U34</f>
        <v>0</v>
      </c>
      <c r="V34" s="3">
        <f>'Pre-Board-I(Entry)'!V34</f>
        <v>0</v>
      </c>
    </row>
    <row r="35" spans="1:22" x14ac:dyDescent="0.3">
      <c r="A35" s="21">
        <f>DETAILS!A34</f>
        <v>1641</v>
      </c>
      <c r="B35" s="21" t="str">
        <f>DETAILS!B34</f>
        <v>PRIYANSHU YADAV</v>
      </c>
      <c r="C35" s="3">
        <f>'Pre-Board-I(Entry)'!C35</f>
        <v>0</v>
      </c>
      <c r="D35" s="3">
        <f>'Pre-Board-I(Entry)'!D35</f>
        <v>0</v>
      </c>
      <c r="E35" s="3">
        <f>'Pre-Board-I(Entry)'!E35</f>
        <v>0</v>
      </c>
      <c r="F35" s="3">
        <f>'Pre-Board-I(Entry)'!F35</f>
        <v>0</v>
      </c>
      <c r="G35" s="3">
        <f>'Pre-Board-I(Entry)'!G35</f>
        <v>0</v>
      </c>
      <c r="H35" s="3">
        <f>'Pre-Board-I(Entry)'!H35</f>
        <v>0</v>
      </c>
      <c r="I35" s="3">
        <f>'Pre-Board-I(Entry)'!I35</f>
        <v>0</v>
      </c>
      <c r="J35" s="3">
        <f>'Pre-Board-I(Entry)'!J35</f>
        <v>0</v>
      </c>
      <c r="K35" s="3">
        <f>'Pre-Board-I(Entry)'!K35</f>
        <v>0</v>
      </c>
      <c r="L35" s="3">
        <f>'Pre-Board-I(Entry)'!L35</f>
        <v>0</v>
      </c>
      <c r="M35" s="3">
        <f>'Pre-Board-I(Entry)'!M35</f>
        <v>0</v>
      </c>
      <c r="N35" s="3">
        <f>'Pre-Board-I(Entry)'!N35</f>
        <v>0</v>
      </c>
      <c r="O35" s="3">
        <f t="shared" si="0"/>
        <v>0</v>
      </c>
      <c r="P35" s="3">
        <f>'Pre-Board-I(Entry)'!P35</f>
        <v>0</v>
      </c>
      <c r="Q35" s="3">
        <f>'Pre-Board-I(Entry)'!Q35</f>
        <v>0</v>
      </c>
      <c r="R35" s="3">
        <f>'Pre-Board-I(Entry)'!R35</f>
        <v>0</v>
      </c>
      <c r="S35" s="3">
        <f>'Pre-Board-I(Entry)'!S35</f>
        <v>0</v>
      </c>
      <c r="T35" s="3">
        <f>'Pre-Board-I(Entry)'!T35</f>
        <v>0</v>
      </c>
      <c r="U35" s="3">
        <f>'Pre-Board-I(Entry)'!U35</f>
        <v>0</v>
      </c>
      <c r="V35" s="3">
        <f>'Pre-Board-I(Entry)'!V35</f>
        <v>0</v>
      </c>
    </row>
    <row r="36" spans="1:22" x14ac:dyDescent="0.3">
      <c r="A36" s="21">
        <f>DETAILS!A35</f>
        <v>1669</v>
      </c>
      <c r="B36" s="21" t="str">
        <f>DETAILS!B35</f>
        <v>RAUNAK KUMAR</v>
      </c>
      <c r="C36" s="3">
        <f>'Pre-Board-I(Entry)'!C36</f>
        <v>0</v>
      </c>
      <c r="D36" s="3">
        <f>'Pre-Board-I(Entry)'!D36</f>
        <v>0</v>
      </c>
      <c r="E36" s="3">
        <f>'Pre-Board-I(Entry)'!E36</f>
        <v>0</v>
      </c>
      <c r="F36" s="3">
        <f>'Pre-Board-I(Entry)'!F36</f>
        <v>0</v>
      </c>
      <c r="G36" s="3">
        <f>'Pre-Board-I(Entry)'!G36</f>
        <v>0</v>
      </c>
      <c r="H36" s="3">
        <f>'Pre-Board-I(Entry)'!H36</f>
        <v>0</v>
      </c>
      <c r="I36" s="3">
        <f>'Pre-Board-I(Entry)'!I36</f>
        <v>0</v>
      </c>
      <c r="J36" s="3">
        <f>'Pre-Board-I(Entry)'!J36</f>
        <v>0</v>
      </c>
      <c r="K36" s="3">
        <f>'Pre-Board-I(Entry)'!K36</f>
        <v>0</v>
      </c>
      <c r="L36" s="3">
        <f>'Pre-Board-I(Entry)'!L36</f>
        <v>0</v>
      </c>
      <c r="M36" s="3">
        <f>'Pre-Board-I(Entry)'!M36</f>
        <v>0</v>
      </c>
      <c r="N36" s="3">
        <f>'Pre-Board-I(Entry)'!N36</f>
        <v>0</v>
      </c>
      <c r="O36" s="3">
        <f t="shared" si="0"/>
        <v>0</v>
      </c>
      <c r="P36" s="3">
        <f>'Pre-Board-I(Entry)'!P36</f>
        <v>0</v>
      </c>
      <c r="Q36" s="3">
        <f>'Pre-Board-I(Entry)'!Q36</f>
        <v>0</v>
      </c>
      <c r="R36" s="3">
        <f>'Pre-Board-I(Entry)'!R36</f>
        <v>0</v>
      </c>
      <c r="S36" s="3">
        <f>'Pre-Board-I(Entry)'!S36</f>
        <v>0</v>
      </c>
      <c r="T36" s="3">
        <f>'Pre-Board-I(Entry)'!T36</f>
        <v>0</v>
      </c>
      <c r="U36" s="3">
        <f>'Pre-Board-I(Entry)'!U36</f>
        <v>0</v>
      </c>
      <c r="V36" s="3">
        <f>'Pre-Board-I(Entry)'!V36</f>
        <v>0</v>
      </c>
    </row>
    <row r="37" spans="1:22" x14ac:dyDescent="0.3">
      <c r="A37" s="21">
        <f>DETAILS!A36</f>
        <v>806</v>
      </c>
      <c r="B37" s="21" t="str">
        <f>DETAILS!B36</f>
        <v>SAMRIDH SRIVASTAVA</v>
      </c>
      <c r="C37" s="3">
        <f>'Pre-Board-I(Entry)'!C37</f>
        <v>0</v>
      </c>
      <c r="D37" s="3">
        <f>'Pre-Board-I(Entry)'!D37</f>
        <v>0</v>
      </c>
      <c r="E37" s="3">
        <f>'Pre-Board-I(Entry)'!E37</f>
        <v>0</v>
      </c>
      <c r="F37" s="3">
        <f>'Pre-Board-I(Entry)'!F37</f>
        <v>0</v>
      </c>
      <c r="G37" s="3">
        <f>'Pre-Board-I(Entry)'!G37</f>
        <v>0</v>
      </c>
      <c r="H37" s="3">
        <f>'Pre-Board-I(Entry)'!H37</f>
        <v>0</v>
      </c>
      <c r="I37" s="3">
        <f>'Pre-Board-I(Entry)'!I37</f>
        <v>0</v>
      </c>
      <c r="J37" s="3">
        <f>'Pre-Board-I(Entry)'!J37</f>
        <v>0</v>
      </c>
      <c r="K37" s="3">
        <f>'Pre-Board-I(Entry)'!K37</f>
        <v>0</v>
      </c>
      <c r="L37" s="3">
        <f>'Pre-Board-I(Entry)'!L37</f>
        <v>0</v>
      </c>
      <c r="M37" s="3">
        <f>'Pre-Board-I(Entry)'!M37</f>
        <v>0</v>
      </c>
      <c r="N37" s="3">
        <f>'Pre-Board-I(Entry)'!N37</f>
        <v>0</v>
      </c>
      <c r="O37" s="3">
        <f t="shared" si="0"/>
        <v>0</v>
      </c>
      <c r="P37" s="3">
        <f>'Pre-Board-I(Entry)'!P37</f>
        <v>0</v>
      </c>
      <c r="Q37" s="3">
        <f>'Pre-Board-I(Entry)'!Q37</f>
        <v>0</v>
      </c>
      <c r="R37" s="3">
        <f>'Pre-Board-I(Entry)'!R37</f>
        <v>0</v>
      </c>
      <c r="S37" s="3">
        <f>'Pre-Board-I(Entry)'!S37</f>
        <v>0</v>
      </c>
      <c r="T37" s="3">
        <f>'Pre-Board-I(Entry)'!T37</f>
        <v>0</v>
      </c>
      <c r="U37" s="3">
        <f>'Pre-Board-I(Entry)'!U37</f>
        <v>0</v>
      </c>
      <c r="V37" s="3">
        <f>'Pre-Board-I(Entry)'!V37</f>
        <v>0</v>
      </c>
    </row>
    <row r="38" spans="1:22" x14ac:dyDescent="0.3">
      <c r="A38" s="21">
        <f>DETAILS!A37</f>
        <v>1367</v>
      </c>
      <c r="B38" s="21" t="str">
        <f>DETAILS!B37</f>
        <v>SATYAM  SINGH</v>
      </c>
      <c r="C38" s="3">
        <f>'Pre-Board-I(Entry)'!C38</f>
        <v>0</v>
      </c>
      <c r="D38" s="3">
        <f>'Pre-Board-I(Entry)'!D38</f>
        <v>0</v>
      </c>
      <c r="E38" s="3">
        <f>'Pre-Board-I(Entry)'!E38</f>
        <v>0</v>
      </c>
      <c r="F38" s="3">
        <f>'Pre-Board-I(Entry)'!F38</f>
        <v>0</v>
      </c>
      <c r="G38" s="3">
        <f>'Pre-Board-I(Entry)'!G38</f>
        <v>0</v>
      </c>
      <c r="H38" s="3">
        <f>'Pre-Board-I(Entry)'!H38</f>
        <v>0</v>
      </c>
      <c r="I38" s="3">
        <f>'Pre-Board-I(Entry)'!I38</f>
        <v>0</v>
      </c>
      <c r="J38" s="3">
        <f>'Pre-Board-I(Entry)'!J38</f>
        <v>0</v>
      </c>
      <c r="K38" s="3">
        <f>'Pre-Board-I(Entry)'!K38</f>
        <v>0</v>
      </c>
      <c r="L38" s="3">
        <f>'Pre-Board-I(Entry)'!L38</f>
        <v>0</v>
      </c>
      <c r="M38" s="3">
        <f>'Pre-Board-I(Entry)'!M38</f>
        <v>0</v>
      </c>
      <c r="N38" s="3">
        <f>'Pre-Board-I(Entry)'!N38</f>
        <v>0</v>
      </c>
      <c r="O38" s="3">
        <f t="shared" si="0"/>
        <v>0</v>
      </c>
      <c r="P38" s="3">
        <f>'Pre-Board-I(Entry)'!P38</f>
        <v>0</v>
      </c>
      <c r="Q38" s="3">
        <f>'Pre-Board-I(Entry)'!Q38</f>
        <v>0</v>
      </c>
      <c r="R38" s="3">
        <f>'Pre-Board-I(Entry)'!R38</f>
        <v>0</v>
      </c>
      <c r="S38" s="3">
        <f>'Pre-Board-I(Entry)'!S38</f>
        <v>0</v>
      </c>
      <c r="T38" s="3">
        <f>'Pre-Board-I(Entry)'!T38</f>
        <v>0</v>
      </c>
      <c r="U38" s="3">
        <f>'Pre-Board-I(Entry)'!U38</f>
        <v>0</v>
      </c>
      <c r="V38" s="3">
        <f>'Pre-Board-I(Entry)'!V38</f>
        <v>0</v>
      </c>
    </row>
    <row r="39" spans="1:22" x14ac:dyDescent="0.3">
      <c r="A39" s="21">
        <f>DETAILS!A38</f>
        <v>1629</v>
      </c>
      <c r="B39" s="21" t="str">
        <f>DETAILS!B38</f>
        <v>SHAVI JAISWAL</v>
      </c>
      <c r="C39" s="3">
        <f>'Pre-Board-I(Entry)'!C39</f>
        <v>0</v>
      </c>
      <c r="D39" s="3">
        <f>'Pre-Board-I(Entry)'!D39</f>
        <v>0</v>
      </c>
      <c r="E39" s="3">
        <f>'Pre-Board-I(Entry)'!E39</f>
        <v>0</v>
      </c>
      <c r="F39" s="3">
        <f>'Pre-Board-I(Entry)'!F39</f>
        <v>0</v>
      </c>
      <c r="G39" s="3">
        <f>'Pre-Board-I(Entry)'!G39</f>
        <v>0</v>
      </c>
      <c r="H39" s="3">
        <f>'Pre-Board-I(Entry)'!H39</f>
        <v>0</v>
      </c>
      <c r="I39" s="3">
        <f>'Pre-Board-I(Entry)'!I39</f>
        <v>0</v>
      </c>
      <c r="J39" s="3">
        <f>'Pre-Board-I(Entry)'!J39</f>
        <v>0</v>
      </c>
      <c r="K39" s="3">
        <f>'Pre-Board-I(Entry)'!K39</f>
        <v>0</v>
      </c>
      <c r="L39" s="3">
        <f>'Pre-Board-I(Entry)'!L39</f>
        <v>0</v>
      </c>
      <c r="M39" s="3">
        <f>'Pre-Board-I(Entry)'!M39</f>
        <v>0</v>
      </c>
      <c r="N39" s="3">
        <f>'Pre-Board-I(Entry)'!N39</f>
        <v>0</v>
      </c>
      <c r="O39" s="3">
        <f t="shared" si="0"/>
        <v>0</v>
      </c>
      <c r="P39" s="3">
        <f>'Pre-Board-I(Entry)'!P39</f>
        <v>0</v>
      </c>
      <c r="Q39" s="3">
        <f>'Pre-Board-I(Entry)'!Q39</f>
        <v>0</v>
      </c>
      <c r="R39" s="3">
        <f>'Pre-Board-I(Entry)'!R39</f>
        <v>0</v>
      </c>
      <c r="S39" s="3">
        <f>'Pre-Board-I(Entry)'!S39</f>
        <v>0</v>
      </c>
      <c r="T39" s="3">
        <f>'Pre-Board-I(Entry)'!T39</f>
        <v>0</v>
      </c>
      <c r="U39" s="3">
        <f>'Pre-Board-I(Entry)'!U39</f>
        <v>0</v>
      </c>
      <c r="V39" s="3">
        <f>'Pre-Board-I(Entry)'!V39</f>
        <v>0</v>
      </c>
    </row>
    <row r="40" spans="1:22" x14ac:dyDescent="0.3">
      <c r="A40" s="21">
        <f>DETAILS!A39</f>
        <v>1667</v>
      </c>
      <c r="B40" s="21" t="str">
        <f>DETAILS!B39</f>
        <v>SHIVA VERMA</v>
      </c>
      <c r="C40" s="3">
        <f>'Pre-Board-I(Entry)'!C40</f>
        <v>0</v>
      </c>
      <c r="D40" s="3">
        <f>'Pre-Board-I(Entry)'!D40</f>
        <v>0</v>
      </c>
      <c r="E40" s="3">
        <f>'Pre-Board-I(Entry)'!E40</f>
        <v>0</v>
      </c>
      <c r="F40" s="3">
        <f>'Pre-Board-I(Entry)'!F40</f>
        <v>0</v>
      </c>
      <c r="G40" s="3">
        <f>'Pre-Board-I(Entry)'!G40</f>
        <v>0</v>
      </c>
      <c r="H40" s="3">
        <f>'Pre-Board-I(Entry)'!H40</f>
        <v>0</v>
      </c>
      <c r="I40" s="3">
        <f>'Pre-Board-I(Entry)'!I40</f>
        <v>0</v>
      </c>
      <c r="J40" s="3">
        <f>'Pre-Board-I(Entry)'!J40</f>
        <v>0</v>
      </c>
      <c r="K40" s="3">
        <f>'Pre-Board-I(Entry)'!K40</f>
        <v>0</v>
      </c>
      <c r="L40" s="3">
        <f>'Pre-Board-I(Entry)'!L40</f>
        <v>0</v>
      </c>
      <c r="M40" s="3">
        <f>'Pre-Board-I(Entry)'!M40</f>
        <v>0</v>
      </c>
      <c r="N40" s="3">
        <f>'Pre-Board-I(Entry)'!N40</f>
        <v>0</v>
      </c>
      <c r="O40" s="3">
        <f t="shared" si="0"/>
        <v>0</v>
      </c>
      <c r="P40" s="3">
        <f>'Pre-Board-I(Entry)'!P40</f>
        <v>0</v>
      </c>
      <c r="Q40" s="3">
        <f>'Pre-Board-I(Entry)'!Q40</f>
        <v>0</v>
      </c>
      <c r="R40" s="3">
        <f>'Pre-Board-I(Entry)'!R40</f>
        <v>0</v>
      </c>
      <c r="S40" s="3">
        <f>'Pre-Board-I(Entry)'!S40</f>
        <v>0</v>
      </c>
      <c r="T40" s="3">
        <f>'Pre-Board-I(Entry)'!T40</f>
        <v>0</v>
      </c>
      <c r="U40" s="3">
        <f>'Pre-Board-I(Entry)'!U40</f>
        <v>0</v>
      </c>
      <c r="V40" s="3">
        <f>'Pre-Board-I(Entry)'!V40</f>
        <v>0</v>
      </c>
    </row>
    <row r="41" spans="1:22" x14ac:dyDescent="0.3">
      <c r="A41" s="21">
        <f>DETAILS!A40</f>
        <v>1614</v>
      </c>
      <c r="B41" s="21" t="str">
        <f>DETAILS!B40</f>
        <v>SHRISTI PATEL</v>
      </c>
      <c r="C41" s="3">
        <f>'Pre-Board-I(Entry)'!C41</f>
        <v>0</v>
      </c>
      <c r="D41" s="3">
        <f>'Pre-Board-I(Entry)'!D41</f>
        <v>0</v>
      </c>
      <c r="E41" s="3">
        <f>'Pre-Board-I(Entry)'!E41</f>
        <v>0</v>
      </c>
      <c r="F41" s="3">
        <f>'Pre-Board-I(Entry)'!F41</f>
        <v>0</v>
      </c>
      <c r="G41" s="3">
        <f>'Pre-Board-I(Entry)'!G41</f>
        <v>0</v>
      </c>
      <c r="H41" s="3">
        <f>'Pre-Board-I(Entry)'!H41</f>
        <v>0</v>
      </c>
      <c r="I41" s="3">
        <f>'Pre-Board-I(Entry)'!I41</f>
        <v>0</v>
      </c>
      <c r="J41" s="3">
        <f>'Pre-Board-I(Entry)'!J41</f>
        <v>0</v>
      </c>
      <c r="K41" s="3">
        <f>'Pre-Board-I(Entry)'!K41</f>
        <v>0</v>
      </c>
      <c r="L41" s="3">
        <f>'Pre-Board-I(Entry)'!L41</f>
        <v>0</v>
      </c>
      <c r="M41" s="3">
        <f>'Pre-Board-I(Entry)'!M41</f>
        <v>0</v>
      </c>
      <c r="N41" s="3">
        <f>'Pre-Board-I(Entry)'!N41</f>
        <v>0</v>
      </c>
      <c r="O41" s="3">
        <f t="shared" si="0"/>
        <v>0</v>
      </c>
      <c r="P41" s="3">
        <f>'Pre-Board-I(Entry)'!P41</f>
        <v>0</v>
      </c>
      <c r="Q41" s="3">
        <f>'Pre-Board-I(Entry)'!Q41</f>
        <v>0</v>
      </c>
      <c r="R41" s="3">
        <f>'Pre-Board-I(Entry)'!R41</f>
        <v>0</v>
      </c>
      <c r="S41" s="3">
        <f>'Pre-Board-I(Entry)'!S41</f>
        <v>0</v>
      </c>
      <c r="T41" s="3">
        <f>'Pre-Board-I(Entry)'!T41</f>
        <v>0</v>
      </c>
      <c r="U41" s="3">
        <f>'Pre-Board-I(Entry)'!U41</f>
        <v>0</v>
      </c>
      <c r="V41" s="3">
        <f>'Pre-Board-I(Entry)'!V41</f>
        <v>0</v>
      </c>
    </row>
    <row r="42" spans="1:22" x14ac:dyDescent="0.3">
      <c r="A42" s="21">
        <f>DETAILS!A41</f>
        <v>989</v>
      </c>
      <c r="B42" s="21" t="str">
        <f>DETAILS!B41</f>
        <v>SHUBHAM KUMAR VERMA</v>
      </c>
      <c r="C42" s="3">
        <f>'Pre-Board-I(Entry)'!C42</f>
        <v>0</v>
      </c>
      <c r="D42" s="3">
        <f>'Pre-Board-I(Entry)'!D42</f>
        <v>0</v>
      </c>
      <c r="E42" s="3">
        <f>'Pre-Board-I(Entry)'!E42</f>
        <v>0</v>
      </c>
      <c r="F42" s="3">
        <f>'Pre-Board-I(Entry)'!F42</f>
        <v>0</v>
      </c>
      <c r="G42" s="3">
        <f>'Pre-Board-I(Entry)'!G42</f>
        <v>0</v>
      </c>
      <c r="H42" s="3">
        <f>'Pre-Board-I(Entry)'!H42</f>
        <v>0</v>
      </c>
      <c r="I42" s="3">
        <f>'Pre-Board-I(Entry)'!I42</f>
        <v>0</v>
      </c>
      <c r="J42" s="3">
        <f>'Pre-Board-I(Entry)'!J42</f>
        <v>0</v>
      </c>
      <c r="K42" s="3">
        <f>'Pre-Board-I(Entry)'!K42</f>
        <v>0</v>
      </c>
      <c r="L42" s="3">
        <f>'Pre-Board-I(Entry)'!L42</f>
        <v>0</v>
      </c>
      <c r="M42" s="3">
        <f>'Pre-Board-I(Entry)'!M42</f>
        <v>0</v>
      </c>
      <c r="N42" s="3">
        <f>'Pre-Board-I(Entry)'!N42</f>
        <v>0</v>
      </c>
      <c r="O42" s="3">
        <f t="shared" si="0"/>
        <v>0</v>
      </c>
      <c r="P42" s="3">
        <f>'Pre-Board-I(Entry)'!P42</f>
        <v>0</v>
      </c>
      <c r="Q42" s="3">
        <f>'Pre-Board-I(Entry)'!Q42</f>
        <v>0</v>
      </c>
      <c r="R42" s="3">
        <f>'Pre-Board-I(Entry)'!R42</f>
        <v>0</v>
      </c>
      <c r="S42" s="3">
        <f>'Pre-Board-I(Entry)'!S42</f>
        <v>0</v>
      </c>
      <c r="T42" s="3">
        <f>'Pre-Board-I(Entry)'!T42</f>
        <v>0</v>
      </c>
      <c r="U42" s="3">
        <f>'Pre-Board-I(Entry)'!U42</f>
        <v>0</v>
      </c>
      <c r="V42" s="3">
        <f>'Pre-Board-I(Entry)'!V42</f>
        <v>0</v>
      </c>
    </row>
    <row r="43" spans="1:22" x14ac:dyDescent="0.3">
      <c r="A43" s="21">
        <f>DETAILS!A42</f>
        <v>1645</v>
      </c>
      <c r="B43" s="21" t="str">
        <f>DETAILS!B42</f>
        <v>STUTI JAISWAL</v>
      </c>
      <c r="C43" s="3">
        <f>'Pre-Board-I(Entry)'!C43</f>
        <v>0</v>
      </c>
      <c r="D43" s="3">
        <f>'Pre-Board-I(Entry)'!D43</f>
        <v>0</v>
      </c>
      <c r="E43" s="3">
        <f>'Pre-Board-I(Entry)'!E43</f>
        <v>0</v>
      </c>
      <c r="F43" s="3">
        <f>'Pre-Board-I(Entry)'!F43</f>
        <v>0</v>
      </c>
      <c r="G43" s="3">
        <f>'Pre-Board-I(Entry)'!G43</f>
        <v>0</v>
      </c>
      <c r="H43" s="3">
        <f>'Pre-Board-I(Entry)'!H43</f>
        <v>0</v>
      </c>
      <c r="I43" s="3">
        <f>'Pre-Board-I(Entry)'!I43</f>
        <v>0</v>
      </c>
      <c r="J43" s="3">
        <f>'Pre-Board-I(Entry)'!J43</f>
        <v>0</v>
      </c>
      <c r="K43" s="3">
        <f>'Pre-Board-I(Entry)'!K43</f>
        <v>0</v>
      </c>
      <c r="L43" s="3">
        <f>'Pre-Board-I(Entry)'!L43</f>
        <v>0</v>
      </c>
      <c r="M43" s="3">
        <f>'Pre-Board-I(Entry)'!M43</f>
        <v>0</v>
      </c>
      <c r="N43" s="3">
        <f>'Pre-Board-I(Entry)'!N43</f>
        <v>0</v>
      </c>
      <c r="O43" s="3">
        <f t="shared" si="0"/>
        <v>0</v>
      </c>
      <c r="P43" s="3">
        <f>'Pre-Board-I(Entry)'!P43</f>
        <v>0</v>
      </c>
      <c r="Q43" s="3">
        <f>'Pre-Board-I(Entry)'!Q43</f>
        <v>0</v>
      </c>
      <c r="R43" s="3">
        <f>'Pre-Board-I(Entry)'!R43</f>
        <v>0</v>
      </c>
      <c r="S43" s="3">
        <f>'Pre-Board-I(Entry)'!S43</f>
        <v>0</v>
      </c>
      <c r="T43" s="3">
        <f>'Pre-Board-I(Entry)'!T43</f>
        <v>0</v>
      </c>
      <c r="U43" s="3">
        <f>'Pre-Board-I(Entry)'!U43</f>
        <v>0</v>
      </c>
      <c r="V43" s="3">
        <f>'Pre-Board-I(Entry)'!V43</f>
        <v>0</v>
      </c>
    </row>
    <row r="44" spans="1:22" x14ac:dyDescent="0.3">
      <c r="A44" s="21">
        <f>DETAILS!A43</f>
        <v>1647</v>
      </c>
      <c r="B44" s="21" t="str">
        <f>DETAILS!B43</f>
        <v>SUDHA</v>
      </c>
      <c r="C44" s="3">
        <f>'Pre-Board-I(Entry)'!C44</f>
        <v>0</v>
      </c>
      <c r="D44" s="3">
        <f>'Pre-Board-I(Entry)'!D44</f>
        <v>0</v>
      </c>
      <c r="E44" s="3">
        <f>'Pre-Board-I(Entry)'!E44</f>
        <v>0</v>
      </c>
      <c r="F44" s="3">
        <f>'Pre-Board-I(Entry)'!F44</f>
        <v>0</v>
      </c>
      <c r="G44" s="3">
        <f>'Pre-Board-I(Entry)'!G44</f>
        <v>0</v>
      </c>
      <c r="H44" s="3">
        <f>'Pre-Board-I(Entry)'!H44</f>
        <v>0</v>
      </c>
      <c r="I44" s="3">
        <f>'Pre-Board-I(Entry)'!I44</f>
        <v>0</v>
      </c>
      <c r="J44" s="3">
        <f>'Pre-Board-I(Entry)'!J44</f>
        <v>0</v>
      </c>
      <c r="K44" s="3">
        <f>'Pre-Board-I(Entry)'!K44</f>
        <v>0</v>
      </c>
      <c r="L44" s="3">
        <f>'Pre-Board-I(Entry)'!L44</f>
        <v>0</v>
      </c>
      <c r="M44" s="3">
        <f>'Pre-Board-I(Entry)'!M44</f>
        <v>0</v>
      </c>
      <c r="N44" s="3">
        <f>'Pre-Board-I(Entry)'!N44</f>
        <v>0</v>
      </c>
      <c r="O44" s="3">
        <f t="shared" si="0"/>
        <v>0</v>
      </c>
      <c r="P44" s="3">
        <f>'Pre-Board-I(Entry)'!P44</f>
        <v>0</v>
      </c>
      <c r="Q44" s="3">
        <f>'Pre-Board-I(Entry)'!Q44</f>
        <v>0</v>
      </c>
      <c r="R44" s="3">
        <f>'Pre-Board-I(Entry)'!R44</f>
        <v>0</v>
      </c>
      <c r="S44" s="3">
        <f>'Pre-Board-I(Entry)'!S44</f>
        <v>0</v>
      </c>
      <c r="T44" s="3">
        <f>'Pre-Board-I(Entry)'!T44</f>
        <v>0</v>
      </c>
      <c r="U44" s="3">
        <f>'Pre-Board-I(Entry)'!U44</f>
        <v>0</v>
      </c>
      <c r="V44" s="3">
        <f>'Pre-Board-I(Entry)'!V44</f>
        <v>0</v>
      </c>
    </row>
    <row r="45" spans="1:22" x14ac:dyDescent="0.3">
      <c r="A45" s="21">
        <f>DETAILS!A44</f>
        <v>766</v>
      </c>
      <c r="B45" s="21" t="str">
        <f>DETAILS!B44</f>
        <v>SURAJ SHARMA</v>
      </c>
      <c r="C45" s="3">
        <f>'Pre-Board-I(Entry)'!C45</f>
        <v>0</v>
      </c>
      <c r="D45" s="3">
        <f>'Pre-Board-I(Entry)'!D45</f>
        <v>0</v>
      </c>
      <c r="E45" s="3">
        <f>'Pre-Board-I(Entry)'!E45</f>
        <v>0</v>
      </c>
      <c r="F45" s="3">
        <f>'Pre-Board-I(Entry)'!F45</f>
        <v>0</v>
      </c>
      <c r="G45" s="3">
        <f>'Pre-Board-I(Entry)'!G45</f>
        <v>0</v>
      </c>
      <c r="H45" s="3">
        <f>'Pre-Board-I(Entry)'!H45</f>
        <v>0</v>
      </c>
      <c r="I45" s="3">
        <f>'Pre-Board-I(Entry)'!I45</f>
        <v>0</v>
      </c>
      <c r="J45" s="3">
        <f>'Pre-Board-I(Entry)'!J45</f>
        <v>0</v>
      </c>
      <c r="K45" s="3">
        <f>'Pre-Board-I(Entry)'!K45</f>
        <v>0</v>
      </c>
      <c r="L45" s="3">
        <f>'Pre-Board-I(Entry)'!L45</f>
        <v>0</v>
      </c>
      <c r="M45" s="3">
        <f>'Pre-Board-I(Entry)'!M45</f>
        <v>0</v>
      </c>
      <c r="N45" s="3">
        <f>'Pre-Board-I(Entry)'!N45</f>
        <v>0</v>
      </c>
      <c r="O45" s="3">
        <f t="shared" si="0"/>
        <v>0</v>
      </c>
      <c r="P45" s="3">
        <f>'Pre-Board-I(Entry)'!P45</f>
        <v>0</v>
      </c>
      <c r="Q45" s="3">
        <f>'Pre-Board-I(Entry)'!Q45</f>
        <v>0</v>
      </c>
      <c r="R45" s="3">
        <f>'Pre-Board-I(Entry)'!R45</f>
        <v>0</v>
      </c>
      <c r="S45" s="3">
        <f>'Pre-Board-I(Entry)'!S45</f>
        <v>0</v>
      </c>
      <c r="T45" s="3">
        <f>'Pre-Board-I(Entry)'!T45</f>
        <v>0</v>
      </c>
      <c r="U45" s="3">
        <f>'Pre-Board-I(Entry)'!U45</f>
        <v>0</v>
      </c>
      <c r="V45" s="3">
        <f>'Pre-Board-I(Entry)'!V45</f>
        <v>0</v>
      </c>
    </row>
    <row r="46" spans="1:22" x14ac:dyDescent="0.3">
      <c r="A46" s="21">
        <f>DETAILS!A45</f>
        <v>1617</v>
      </c>
      <c r="B46" s="21" t="str">
        <f>DETAILS!B45</f>
        <v>TRAPTI</v>
      </c>
      <c r="C46" s="3">
        <f>'Pre-Board-I(Entry)'!C46</f>
        <v>0</v>
      </c>
      <c r="D46" s="3">
        <f>'Pre-Board-I(Entry)'!D46</f>
        <v>0</v>
      </c>
      <c r="E46" s="3">
        <f>'Pre-Board-I(Entry)'!E46</f>
        <v>0</v>
      </c>
      <c r="F46" s="3">
        <f>'Pre-Board-I(Entry)'!F46</f>
        <v>0</v>
      </c>
      <c r="G46" s="3">
        <f>'Pre-Board-I(Entry)'!G46</f>
        <v>0</v>
      </c>
      <c r="H46" s="3">
        <f>'Pre-Board-I(Entry)'!H46</f>
        <v>0</v>
      </c>
      <c r="I46" s="3">
        <f>'Pre-Board-I(Entry)'!I46</f>
        <v>0</v>
      </c>
      <c r="J46" s="3">
        <f>'Pre-Board-I(Entry)'!J46</f>
        <v>0</v>
      </c>
      <c r="K46" s="3">
        <f>'Pre-Board-I(Entry)'!K46</f>
        <v>0</v>
      </c>
      <c r="L46" s="3">
        <f>'Pre-Board-I(Entry)'!L46</f>
        <v>0</v>
      </c>
      <c r="M46" s="3">
        <f>'Pre-Board-I(Entry)'!M46</f>
        <v>0</v>
      </c>
      <c r="N46" s="3">
        <f>'Pre-Board-I(Entry)'!N46</f>
        <v>0</v>
      </c>
      <c r="O46" s="3">
        <f t="shared" si="0"/>
        <v>0</v>
      </c>
      <c r="P46" s="3">
        <f>'Pre-Board-I(Entry)'!P46</f>
        <v>0</v>
      </c>
      <c r="Q46" s="3">
        <f>'Pre-Board-I(Entry)'!Q46</f>
        <v>0</v>
      </c>
      <c r="R46" s="3">
        <f>'Pre-Board-I(Entry)'!R46</f>
        <v>0</v>
      </c>
      <c r="S46" s="3">
        <f>'Pre-Board-I(Entry)'!S46</f>
        <v>0</v>
      </c>
      <c r="T46" s="3">
        <f>'Pre-Board-I(Entry)'!T46</f>
        <v>0</v>
      </c>
      <c r="U46" s="3">
        <f>'Pre-Board-I(Entry)'!U46</f>
        <v>0</v>
      </c>
      <c r="V46" s="3">
        <f>'Pre-Board-I(Entry)'!V46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6DA8-44F2-47F3-ACA9-275663E34AD1}">
  <dimension ref="A1:N43"/>
  <sheetViews>
    <sheetView topLeftCell="A13" zoomScaleNormal="100" workbookViewId="0">
      <selection activeCell="P31" sqref="P31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6"/>
      <c r="C1" s="56"/>
      <c r="D1" s="56"/>
      <c r="E1" s="56"/>
      <c r="F1" s="56"/>
      <c r="G1" s="56"/>
      <c r="H1" s="56"/>
      <c r="I1" s="56"/>
      <c r="J1" s="56"/>
      <c r="K1" s="56"/>
      <c r="L1" s="7"/>
      <c r="M1" s="7"/>
      <c r="N1" s="8"/>
    </row>
    <row r="2" spans="1:14" ht="32.4" x14ac:dyDescent="0.3">
      <c r="A2" s="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0"/>
    </row>
    <row r="3" spans="1:14" ht="18" customHeight="1" x14ac:dyDescent="0.3">
      <c r="A3" s="9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16.2" customHeight="1" x14ac:dyDescent="0.3">
      <c r="A4" s="9"/>
      <c r="B4" s="59" t="s">
        <v>57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0"/>
    </row>
    <row r="5" spans="1:14" ht="16.2" customHeight="1" x14ac:dyDescent="0.3">
      <c r="A5" s="9"/>
      <c r="B5" s="59" t="s">
        <v>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0"/>
    </row>
    <row r="6" spans="1:14" ht="18" customHeight="1" x14ac:dyDescent="0.3">
      <c r="A6" s="9"/>
      <c r="B6" s="51" t="s">
        <v>67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0"/>
    </row>
    <row r="7" spans="1:14" ht="20.25" customHeight="1" x14ac:dyDescent="0.3">
      <c r="A7" s="9"/>
      <c r="B7" s="52" t="s">
        <v>71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10"/>
    </row>
    <row r="8" spans="1:14" ht="18" customHeight="1" x14ac:dyDescent="0.3">
      <c r="A8" s="9"/>
      <c r="B8" s="53" t="s">
        <v>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4</v>
      </c>
      <c r="C9" s="54" t="e">
        <f>":      "&amp;VLOOKUP($K$9,DETAILS!$1:$1048576,2,0)</f>
        <v>#N/A</v>
      </c>
      <c r="D9" s="54"/>
      <c r="E9" s="54"/>
      <c r="F9" s="54"/>
      <c r="G9" s="54"/>
      <c r="I9" s="54" t="s">
        <v>52</v>
      </c>
      <c r="J9" s="54"/>
      <c r="K9" s="54">
        <v>1</v>
      </c>
      <c r="L9" s="54"/>
      <c r="M9" s="55"/>
      <c r="N9" s="10"/>
    </row>
    <row r="10" spans="1:14" x14ac:dyDescent="0.3">
      <c r="A10" s="9"/>
      <c r="B10" s="4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6</v>
      </c>
      <c r="C11" s="60" t="e">
        <f>":      "&amp;VLOOKUP($K$9,DETAILS!$1:$1048576,4,0)</f>
        <v>#N/A</v>
      </c>
      <c r="D11" s="60"/>
      <c r="E11" s="60"/>
      <c r="F11" s="60"/>
      <c r="G11" s="60"/>
      <c r="H11" s="2"/>
      <c r="I11" s="60" t="s">
        <v>54</v>
      </c>
      <c r="J11" s="60"/>
      <c r="K11" s="60" t="e">
        <f>VLOOKUP($K$9,DETAILS!$1:$1048576,5,0)</f>
        <v>#N/A</v>
      </c>
      <c r="L11" s="60"/>
      <c r="M11" s="61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55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77" t="s">
        <v>31</v>
      </c>
      <c r="C14" s="77"/>
      <c r="D14" s="76" t="s">
        <v>89</v>
      </c>
      <c r="E14" s="76"/>
      <c r="F14" s="76"/>
      <c r="G14" s="76" t="s">
        <v>90</v>
      </c>
      <c r="H14" s="76"/>
      <c r="I14" s="76"/>
      <c r="J14" s="76"/>
      <c r="K14" s="76" t="s">
        <v>81</v>
      </c>
      <c r="L14" s="76"/>
      <c r="M14" s="76"/>
      <c r="N14" s="10"/>
    </row>
    <row r="15" spans="1:14" x14ac:dyDescent="0.3">
      <c r="A15" s="9"/>
      <c r="B15" s="75" t="s">
        <v>7</v>
      </c>
      <c r="C15" s="75"/>
      <c r="D15" s="69" t="e">
        <f>VLOOKUP($K$9,'Pre-Board-I'!$1:$1048576,3,0)</f>
        <v>#N/A</v>
      </c>
      <c r="E15" s="69"/>
      <c r="F15" s="69"/>
      <c r="G15" s="65" t="e">
        <f>VLOOKUP($K$9,'Pre-Board-I'!$1:$1048576,4,0)</f>
        <v>#N/A</v>
      </c>
      <c r="H15" s="66"/>
      <c r="I15" s="66"/>
      <c r="J15" s="67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75" t="s">
        <v>8</v>
      </c>
      <c r="C16" s="75"/>
      <c r="D16" s="69" t="e">
        <f>VLOOKUP($K$9,'Pre-Board-I'!$1:$1048576,5,0)</f>
        <v>#N/A</v>
      </c>
      <c r="E16" s="69"/>
      <c r="F16" s="69"/>
      <c r="G16" s="65" t="e">
        <f>VLOOKUP($K$9,'Pre-Board-I'!$1:$1048576,6,0)</f>
        <v>#N/A</v>
      </c>
      <c r="H16" s="66"/>
      <c r="I16" s="66"/>
      <c r="J16" s="67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75" t="s">
        <v>9</v>
      </c>
      <c r="C17" s="75"/>
      <c r="D17" s="69" t="e">
        <f>VLOOKUP($K$9,'Pre-Board-I'!$1:$1048576,7,0)</f>
        <v>#N/A</v>
      </c>
      <c r="E17" s="69"/>
      <c r="F17" s="69"/>
      <c r="G17" s="65" t="e">
        <f>VLOOKUP($K$9,'Pre-Board-I'!$1:$1048576,8,0)</f>
        <v>#N/A</v>
      </c>
      <c r="H17" s="66"/>
      <c r="I17" s="66"/>
      <c r="J17" s="67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75" t="s">
        <v>73</v>
      </c>
      <c r="C18" s="75"/>
      <c r="D18" s="69" t="e">
        <f>VLOOKUP($K$9,'Pre-Board-I'!$1:$1048576,9,0)</f>
        <v>#N/A</v>
      </c>
      <c r="E18" s="69"/>
      <c r="F18" s="69"/>
      <c r="G18" s="65" t="e">
        <f>VLOOKUP($K$9,'Pre-Board-I'!$1:$1048576,10,0)</f>
        <v>#N/A</v>
      </c>
      <c r="H18" s="66"/>
      <c r="I18" s="66"/>
      <c r="J18" s="67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75" t="s">
        <v>74</v>
      </c>
      <c r="C19" s="75"/>
      <c r="D19" s="69" t="e">
        <f>VLOOKUP($K$9,'Pre-Board-I'!$1:$1048576,11,0)</f>
        <v>#N/A</v>
      </c>
      <c r="E19" s="69"/>
      <c r="F19" s="69"/>
      <c r="G19" s="65" t="e">
        <f>VLOOKUP($K$9,'Pre-Board-I'!$1:$1048576,12,0)</f>
        <v>#N/A</v>
      </c>
      <c r="H19" s="66"/>
      <c r="I19" s="66"/>
      <c r="J19" s="67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75" t="s">
        <v>75</v>
      </c>
      <c r="C20" s="75"/>
      <c r="D20" s="69" t="e">
        <f>VLOOKUP($K$9,'Pre-Board-I'!$1:$1048576,13,0)</f>
        <v>#N/A</v>
      </c>
      <c r="E20" s="69"/>
      <c r="F20" s="69"/>
      <c r="G20" s="65" t="e">
        <f>VLOOKUP($K$9,'Pre-Board-I'!$1:$1048576,14,0)</f>
        <v>#N/A</v>
      </c>
      <c r="H20" s="66"/>
      <c r="I20" s="66"/>
      <c r="J20" s="67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10</v>
      </c>
      <c r="C22" s="69" t="e">
        <f>VLOOKUP($K$9,'Pre-Board-I'!$1:$1048576,20,0)</f>
        <v>#N/A</v>
      </c>
      <c r="D22" s="69" t="e">
        <f>VLOOKUP($K$9,'Pre-Board-I'!$1:$1048576,21,0)</f>
        <v>#N/A</v>
      </c>
      <c r="J22" s="18" t="s">
        <v>27</v>
      </c>
      <c r="K22" s="19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9" t="e">
        <f>VLOOKUP($K$9,'Pre-Board-I'!$1:$1048576,16,0)</f>
        <v>#N/A</v>
      </c>
      <c r="D23" s="69" t="e">
        <f>VLOOKUP($K$9,'Pre-Board-I'!$1:$1048576,16,0)</f>
        <v>#N/A</v>
      </c>
      <c r="J23" s="18" t="s">
        <v>28</v>
      </c>
      <c r="K23" s="19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3" t="s">
        <v>56</v>
      </c>
      <c r="C26" s="53"/>
      <c r="D26" s="53"/>
      <c r="E26" s="53"/>
      <c r="F26" s="53"/>
      <c r="G26" s="53"/>
      <c r="H26" s="53"/>
      <c r="I26" s="53"/>
      <c r="J26" s="53"/>
      <c r="K26" s="53" t="s">
        <v>11</v>
      </c>
      <c r="L26" s="53"/>
      <c r="M26" s="53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VLOOKUP($K$9,'Pre-Board-I'!$1:$1048576,16,0)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VLOOKUP($K$9,'Pre-Board-I'!$1:$1048576,17,0)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VLOOKUP($K$9,'Pre-Board-I'!$1:$1048576,18,0)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VLOOKUP($K$9,'Pre-Board-I'!$1:$1048576,19,0)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8" t="s">
        <v>16</v>
      </c>
      <c r="C32" s="68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16"/>
    </row>
    <row r="33" spans="1:14" s="17" customFormat="1" ht="21" customHeight="1" x14ac:dyDescent="0.3">
      <c r="A33" s="15"/>
      <c r="B33" s="68" t="s">
        <v>21</v>
      </c>
      <c r="C33" s="68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3" t="e">
        <f>"Class Teacher's Remark: "&amp;VLOOKUP($K$9,'Pre-Board-I'!$1:$1048576,22,0)</f>
        <v>#N/A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10"/>
    </row>
    <row r="37" spans="1:14" x14ac:dyDescent="0.3">
      <c r="A37" s="9"/>
      <c r="E37" s="11"/>
      <c r="N37" s="10"/>
    </row>
    <row r="38" spans="1:14" x14ac:dyDescent="0.3">
      <c r="A38" s="9"/>
      <c r="B38" s="62" t="s">
        <v>70</v>
      </c>
      <c r="C38" s="62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3" t="s">
        <v>29</v>
      </c>
      <c r="C41" s="73"/>
      <c r="D41" s="73"/>
      <c r="E41" s="17"/>
      <c r="F41" s="17"/>
      <c r="G41" s="17"/>
      <c r="H41" s="17"/>
      <c r="I41" s="17"/>
      <c r="J41" s="74" t="s">
        <v>30</v>
      </c>
      <c r="K41" s="74"/>
      <c r="L41" s="74"/>
      <c r="M41" s="74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E329-AB4C-43D4-A397-8524B6D29C63}">
  <dimension ref="A1:V46"/>
  <sheetViews>
    <sheetView zoomScaleNormal="100" workbookViewId="0">
      <selection activeCell="M8" sqref="M8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91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0"/>
      <c r="T3" s="24" t="s">
        <v>85</v>
      </c>
      <c r="U3" s="24" t="s">
        <v>60</v>
      </c>
      <c r="V3" s="38"/>
    </row>
    <row r="4" spans="1:22" x14ac:dyDescent="0.3">
      <c r="A4" s="21">
        <f>DETAILS!A3</f>
        <v>1454</v>
      </c>
      <c r="B4" s="21" t="str">
        <f>DETAILS!B3</f>
        <v>AARUSH SONI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 t="s">
        <v>92</v>
      </c>
    </row>
    <row r="5" spans="1:22" x14ac:dyDescent="0.3">
      <c r="A5" s="21">
        <f>DETAILS!A4</f>
        <v>1680</v>
      </c>
      <c r="B5" s="21" t="str">
        <f>DETAILS!B4</f>
        <v>AARVI JAISWAL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758</v>
      </c>
      <c r="B6" s="21" t="str">
        <f>DETAILS!B5</f>
        <v>ABDUL AHAD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1616</v>
      </c>
      <c r="B7" s="21" t="str">
        <f>DETAILS!B6</f>
        <v>ANAV SINGH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1443</v>
      </c>
      <c r="B8" s="21" t="str">
        <f>DETAILS!B7</f>
        <v>ANKIT KUMAR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2100</v>
      </c>
      <c r="B9" s="21" t="str">
        <f>DETAILS!B8</f>
        <v>ANSH SHUKLA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1767</v>
      </c>
      <c r="B10" s="21" t="str">
        <f>DETAILS!B9</f>
        <v>ANSHIKA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1486</v>
      </c>
      <c r="B11" s="21" t="str">
        <f>DETAILS!B10</f>
        <v>ANUBHAV CHOUDHARY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1615</v>
      </c>
      <c r="B12" s="21" t="str">
        <f>DETAILS!B11</f>
        <v>ARADHYA TIWARI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993</v>
      </c>
      <c r="B13" s="21" t="str">
        <f>DETAILS!B12</f>
        <v>ARYAN MAURYA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1296</v>
      </c>
      <c r="B14" s="21" t="str">
        <f>DETAILS!B13</f>
        <v>ARYAN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1392</v>
      </c>
      <c r="B15" s="21" t="str">
        <f>DETAILS!B14</f>
        <v>ASTITVA  SHYAM TIWARI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759</v>
      </c>
      <c r="B16" s="21" t="str">
        <f>DETAILS!B15</f>
        <v>DEVENDRA PATHAK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1598</v>
      </c>
      <c r="B17" s="21" t="str">
        <f>DETAILS!B16</f>
        <v>DIVYANSHI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1650</v>
      </c>
      <c r="B18" s="21" t="str">
        <f>DETAILS!B17</f>
        <v>DIVYANSHU YADAV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1661</v>
      </c>
      <c r="B19" s="21" t="str">
        <f>DETAILS!B18</f>
        <v>GARIMA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1704</v>
      </c>
      <c r="B20" s="21" t="str">
        <f>DETAILS!B19</f>
        <v>HARSH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1437</v>
      </c>
      <c r="B21" s="21" t="str">
        <f>DETAILS!B20</f>
        <v>KANISHKA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1605</v>
      </c>
      <c r="B22" s="21" t="str">
        <f>DETAILS!B21</f>
        <v>KARUNESH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1640</v>
      </c>
      <c r="B23" s="21" t="str">
        <f>DETAILS!B22</f>
        <v>KRISHNA GUPTA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1678</v>
      </c>
      <c r="B24" s="21" t="str">
        <f>DETAILS!B23</f>
        <v>KUNAL DHANUK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1330</v>
      </c>
      <c r="B25" s="21" t="str">
        <f>DETAILS!B24</f>
        <v>KUSHAGRA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777</v>
      </c>
      <c r="B26" s="21" t="str">
        <f>DETAILS!B25</f>
        <v>MAHEE JAISWAL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763</v>
      </c>
      <c r="B27" s="21" t="str">
        <f>DETAILS!B26</f>
        <v>MAHEK RAWAT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>
        <f>DETAILS!A27</f>
        <v>1619</v>
      </c>
      <c r="B28" s="21" t="str">
        <f>DETAILS!B27</f>
        <v>MOHD FAIZ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>
        <f>DETAILS!A28</f>
        <v>1687</v>
      </c>
      <c r="B29" s="21" t="str">
        <f>DETAILS!B28</f>
        <v>MOHINI YADAV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>
        <f>DETAILS!A29</f>
        <v>1653</v>
      </c>
      <c r="B30" s="21" t="str">
        <f>DETAILS!B29</f>
        <v>MUSKAN MEENA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>
        <f>DETAILS!A30</f>
        <v>1700</v>
      </c>
      <c r="B31" s="21" t="str">
        <f>DETAILS!B30</f>
        <v>NASHRA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>
        <f>DETAILS!A31</f>
        <v>1603</v>
      </c>
      <c r="B32" s="21" t="str">
        <f>DETAILS!B31</f>
        <v>PRAGATI TIWARI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>
        <f>DETAILS!A32</f>
        <v>764</v>
      </c>
      <c r="B33" s="21" t="str">
        <f>DETAILS!B32</f>
        <v>PRAKHAR VERMA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>
        <f>DETAILS!A33</f>
        <v>1301</v>
      </c>
      <c r="B34" s="21" t="str">
        <f>DETAILS!B33</f>
        <v>PRASHANT YADAV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>
        <f>DETAILS!A34</f>
        <v>1641</v>
      </c>
      <c r="B35" s="21" t="str">
        <f>DETAILS!B34</f>
        <v>PRIYANSHU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>
        <f>DETAILS!A35</f>
        <v>1669</v>
      </c>
      <c r="B36" s="21" t="str">
        <f>DETAILS!B35</f>
        <v>RAUNAK KUMAR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>
        <f>DETAILS!A36</f>
        <v>806</v>
      </c>
      <c r="B37" s="21" t="str">
        <f>DETAILS!B36</f>
        <v>SAMRIDH SRIVASTAVA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>
        <f>DETAILS!A37</f>
        <v>1367</v>
      </c>
      <c r="B38" s="21" t="str">
        <f>DETAILS!B37</f>
        <v>SATYAM 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>
        <f>DETAILS!A38</f>
        <v>1629</v>
      </c>
      <c r="B39" s="21" t="str">
        <f>DETAILS!B38</f>
        <v>SHAVI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>
        <f>DETAILS!A39</f>
        <v>1667</v>
      </c>
      <c r="B40" s="21" t="str">
        <f>DETAILS!B39</f>
        <v>SHIVA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>
        <f>DETAILS!A40</f>
        <v>1614</v>
      </c>
      <c r="B41" s="21" t="str">
        <f>DETAILS!B40</f>
        <v>SHRISTI PATEL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>
        <f>DETAILS!A41</f>
        <v>989</v>
      </c>
      <c r="B42" s="21" t="str">
        <f>DETAILS!B41</f>
        <v>SHUBHAM KUMAR VERMA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DETAILS!A42</f>
        <v>1645</v>
      </c>
      <c r="B43" s="21" t="str">
        <f>DETAILS!B42</f>
        <v>STUTI JAISWAL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DETAILS!A43</f>
        <v>1647</v>
      </c>
      <c r="B44" s="21" t="str">
        <f>DETAILS!B43</f>
        <v>SUDHA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DETAILS!A44</f>
        <v>766</v>
      </c>
      <c r="B45" s="21" t="str">
        <f>DETAILS!B44</f>
        <v>SURAJ SHARMA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DETAILS!A45</f>
        <v>1617</v>
      </c>
      <c r="B46" s="21" t="str">
        <f>DETAILS!B45</f>
        <v>TRAPTI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8A87-3FF5-4C02-84D8-92C48AB6D659}">
  <dimension ref="A1:V46"/>
  <sheetViews>
    <sheetView workbookViewId="0">
      <selection activeCell="C4" sqref="C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91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0"/>
      <c r="T3" s="24" t="s">
        <v>85</v>
      </c>
      <c r="U3" s="24" t="s">
        <v>60</v>
      </c>
      <c r="V3" s="38"/>
    </row>
    <row r="4" spans="1:22" x14ac:dyDescent="0.3">
      <c r="A4" s="21">
        <f>DETAILS!A3</f>
        <v>1454</v>
      </c>
      <c r="B4" s="21" t="str">
        <f>DETAILS!B3</f>
        <v>AARUSH SONI</v>
      </c>
      <c r="C4" s="3">
        <f>'Pre-Board-II(Entry)'!C4</f>
        <v>0</v>
      </c>
      <c r="D4" s="3">
        <f>'Pre-Board-II(Entry)'!D4</f>
        <v>0</v>
      </c>
      <c r="E4" s="3">
        <f>'Pre-Board-II(Entry)'!E4</f>
        <v>0</v>
      </c>
      <c r="F4" s="3">
        <f>'Pre-Board-II(Entry)'!F4</f>
        <v>0</v>
      </c>
      <c r="G4" s="3">
        <f>'Pre-Board-II(Entry)'!G4</f>
        <v>0</v>
      </c>
      <c r="H4" s="3">
        <f>'Pre-Board-II(Entry)'!H4</f>
        <v>0</v>
      </c>
      <c r="I4" s="3">
        <f>'Pre-Board-II(Entry)'!I4</f>
        <v>0</v>
      </c>
      <c r="J4" s="3">
        <f>'Pre-Board-II(Entry)'!J4</f>
        <v>0</v>
      </c>
      <c r="K4" s="3">
        <f>'Pre-Board-II(Entry)'!K4</f>
        <v>0</v>
      </c>
      <c r="L4" s="3">
        <f>'Pre-Board-II(Entry)'!L4</f>
        <v>0</v>
      </c>
      <c r="M4" s="3">
        <f>'Pre-Board-II(Entry)'!M4</f>
        <v>0</v>
      </c>
      <c r="N4" s="3">
        <f>'Pre-Board-II(Entry)'!N4</f>
        <v>0</v>
      </c>
      <c r="O4" s="3">
        <f t="shared" ref="O4:O46" si="0">SUM(C4:N4)</f>
        <v>0</v>
      </c>
      <c r="P4" s="3">
        <f>'Pre-Board-II(Entry)'!P4</f>
        <v>0</v>
      </c>
      <c r="Q4" s="3">
        <f>'Pre-Board-II(Entry)'!Q4</f>
        <v>0</v>
      </c>
      <c r="R4" s="3">
        <f>'Pre-Board-II(Entry)'!R4</f>
        <v>0</v>
      </c>
      <c r="S4" s="3">
        <f>'Pre-Board-II(Entry)'!S4</f>
        <v>0</v>
      </c>
      <c r="T4" s="3">
        <f>'Pre-Board-II(Entry)'!T4</f>
        <v>0</v>
      </c>
      <c r="U4" s="3">
        <f>'Pre-Board-II(Entry)'!U4</f>
        <v>0</v>
      </c>
      <c r="V4" s="3">
        <v>0</v>
      </c>
    </row>
    <row r="5" spans="1:22" x14ac:dyDescent="0.3">
      <c r="A5" s="21">
        <f>DETAILS!A4</f>
        <v>1680</v>
      </c>
      <c r="B5" s="21" t="str">
        <f>DETAILS!B4</f>
        <v>AARVI JAISWAL</v>
      </c>
      <c r="C5" s="3">
        <f>'Pre-Board-II(Entry)'!C5</f>
        <v>0</v>
      </c>
      <c r="D5" s="3">
        <f>'Pre-Board-II(Entry)'!D5</f>
        <v>0</v>
      </c>
      <c r="E5" s="3">
        <f>'Pre-Board-II(Entry)'!E5</f>
        <v>0</v>
      </c>
      <c r="F5" s="3">
        <f>'Pre-Board-II(Entry)'!F5</f>
        <v>0</v>
      </c>
      <c r="G5" s="3">
        <f>'Pre-Board-II(Entry)'!G5</f>
        <v>0</v>
      </c>
      <c r="H5" s="3">
        <f>'Pre-Board-II(Entry)'!H5</f>
        <v>0</v>
      </c>
      <c r="I5" s="3">
        <f>'Pre-Board-II(Entry)'!I5</f>
        <v>0</v>
      </c>
      <c r="J5" s="3">
        <f>'Pre-Board-II(Entry)'!J5</f>
        <v>0</v>
      </c>
      <c r="K5" s="3">
        <f>'Pre-Board-II(Entry)'!K5</f>
        <v>0</v>
      </c>
      <c r="L5" s="3">
        <f>'Pre-Board-II(Entry)'!L5</f>
        <v>0</v>
      </c>
      <c r="M5" s="3">
        <f>'Pre-Board-II(Entry)'!M5</f>
        <v>0</v>
      </c>
      <c r="N5" s="3">
        <f>'Pre-Board-II(Entry)'!N5</f>
        <v>0</v>
      </c>
      <c r="O5" s="3">
        <f t="shared" si="0"/>
        <v>0</v>
      </c>
      <c r="P5" s="3">
        <f>'Pre-Board-II(Entry)'!P5</f>
        <v>0</v>
      </c>
      <c r="Q5" s="3">
        <f>'Pre-Board-II(Entry)'!Q5</f>
        <v>0</v>
      </c>
      <c r="R5" s="3">
        <f>'Pre-Board-II(Entry)'!R5</f>
        <v>0</v>
      </c>
      <c r="S5" s="3">
        <f>'Pre-Board-II(Entry)'!S5</f>
        <v>0</v>
      </c>
      <c r="T5" s="3">
        <f>'Pre-Board-II(Entry)'!T5</f>
        <v>0</v>
      </c>
      <c r="U5" s="3">
        <f>'Pre-Board-II(Entry)'!U5</f>
        <v>0</v>
      </c>
      <c r="V5" s="3">
        <f>'Pre-Board-II(Entry)'!V5</f>
        <v>0</v>
      </c>
    </row>
    <row r="6" spans="1:22" x14ac:dyDescent="0.3">
      <c r="A6" s="21">
        <f>DETAILS!A5</f>
        <v>758</v>
      </c>
      <c r="B6" s="21" t="str">
        <f>DETAILS!B5</f>
        <v>ABDUL AHAD</v>
      </c>
      <c r="C6" s="3">
        <f>'Pre-Board-II(Entry)'!C6</f>
        <v>0</v>
      </c>
      <c r="D6" s="3">
        <f>'Pre-Board-II(Entry)'!D6</f>
        <v>0</v>
      </c>
      <c r="E6" s="3">
        <f>'Pre-Board-II(Entry)'!E6</f>
        <v>0</v>
      </c>
      <c r="F6" s="3">
        <f>'Pre-Board-II(Entry)'!F6</f>
        <v>0</v>
      </c>
      <c r="G6" s="3">
        <f>'Pre-Board-II(Entry)'!G6</f>
        <v>0</v>
      </c>
      <c r="H6" s="3">
        <f>'Pre-Board-II(Entry)'!H6</f>
        <v>0</v>
      </c>
      <c r="I6" s="3">
        <f>'Pre-Board-II(Entry)'!I6</f>
        <v>0</v>
      </c>
      <c r="J6" s="3">
        <f>'Pre-Board-II(Entry)'!J6</f>
        <v>0</v>
      </c>
      <c r="K6" s="3">
        <f>'Pre-Board-II(Entry)'!K6</f>
        <v>0</v>
      </c>
      <c r="L6" s="3">
        <f>'Pre-Board-II(Entry)'!L6</f>
        <v>0</v>
      </c>
      <c r="M6" s="3">
        <f>'Pre-Board-II(Entry)'!M6</f>
        <v>0</v>
      </c>
      <c r="N6" s="3">
        <f>'Pre-Board-II(Entry)'!N6</f>
        <v>0</v>
      </c>
      <c r="O6" s="3">
        <f t="shared" si="0"/>
        <v>0</v>
      </c>
      <c r="P6" s="3">
        <f>'Pre-Board-II(Entry)'!P6</f>
        <v>0</v>
      </c>
      <c r="Q6" s="3">
        <f>'Pre-Board-II(Entry)'!Q6</f>
        <v>0</v>
      </c>
      <c r="R6" s="3">
        <f>'Pre-Board-II(Entry)'!R6</f>
        <v>0</v>
      </c>
      <c r="S6" s="3">
        <f>'Pre-Board-II(Entry)'!S6</f>
        <v>0</v>
      </c>
      <c r="T6" s="3">
        <f>'Pre-Board-II(Entry)'!T6</f>
        <v>0</v>
      </c>
      <c r="U6" s="3">
        <f>'Pre-Board-II(Entry)'!U6</f>
        <v>0</v>
      </c>
      <c r="V6" s="3">
        <f>'Pre-Board-II(Entry)'!V6</f>
        <v>0</v>
      </c>
    </row>
    <row r="7" spans="1:22" x14ac:dyDescent="0.3">
      <c r="A7" s="21">
        <f>DETAILS!A6</f>
        <v>1616</v>
      </c>
      <c r="B7" s="21" t="str">
        <f>DETAILS!B6</f>
        <v>ANAV SINGH</v>
      </c>
      <c r="C7" s="3">
        <f>'Pre-Board-II(Entry)'!C7</f>
        <v>0</v>
      </c>
      <c r="D7" s="3">
        <f>'Pre-Board-II(Entry)'!D7</f>
        <v>0</v>
      </c>
      <c r="E7" s="3">
        <f>'Pre-Board-II(Entry)'!E7</f>
        <v>0</v>
      </c>
      <c r="F7" s="3">
        <f>'Pre-Board-II(Entry)'!F7</f>
        <v>0</v>
      </c>
      <c r="G7" s="3">
        <f>'Pre-Board-II(Entry)'!G7</f>
        <v>0</v>
      </c>
      <c r="H7" s="3">
        <f>'Pre-Board-II(Entry)'!H7</f>
        <v>0</v>
      </c>
      <c r="I7" s="3">
        <f>'Pre-Board-II(Entry)'!I7</f>
        <v>0</v>
      </c>
      <c r="J7" s="3">
        <f>'Pre-Board-II(Entry)'!J7</f>
        <v>0</v>
      </c>
      <c r="K7" s="3">
        <f>'Pre-Board-II(Entry)'!K7</f>
        <v>0</v>
      </c>
      <c r="L7" s="3">
        <f>'Pre-Board-II(Entry)'!L7</f>
        <v>0</v>
      </c>
      <c r="M7" s="3">
        <f>'Pre-Board-II(Entry)'!M7</f>
        <v>0</v>
      </c>
      <c r="N7" s="3">
        <f>'Pre-Board-II(Entry)'!N7</f>
        <v>0</v>
      </c>
      <c r="O7" s="3">
        <f t="shared" si="0"/>
        <v>0</v>
      </c>
      <c r="P7" s="3">
        <f>'Pre-Board-II(Entry)'!P7</f>
        <v>0</v>
      </c>
      <c r="Q7" s="3">
        <f>'Pre-Board-II(Entry)'!Q7</f>
        <v>0</v>
      </c>
      <c r="R7" s="3">
        <f>'Pre-Board-II(Entry)'!R7</f>
        <v>0</v>
      </c>
      <c r="S7" s="3">
        <f>'Pre-Board-II(Entry)'!S7</f>
        <v>0</v>
      </c>
      <c r="T7" s="3">
        <f>'Pre-Board-II(Entry)'!T7</f>
        <v>0</v>
      </c>
      <c r="U7" s="3">
        <f>'Pre-Board-II(Entry)'!U7</f>
        <v>0</v>
      </c>
      <c r="V7" s="3">
        <f>'Pre-Board-II(Entry)'!V7</f>
        <v>0</v>
      </c>
    </row>
    <row r="8" spans="1:22" x14ac:dyDescent="0.3">
      <c r="A8" s="21">
        <f>DETAILS!A7</f>
        <v>1443</v>
      </c>
      <c r="B8" s="21" t="str">
        <f>DETAILS!B7</f>
        <v>ANKIT KUMAR</v>
      </c>
      <c r="C8" s="3">
        <f>'Pre-Board-II(Entry)'!C8</f>
        <v>0</v>
      </c>
      <c r="D8" s="3">
        <f>'Pre-Board-II(Entry)'!D8</f>
        <v>0</v>
      </c>
      <c r="E8" s="3">
        <f>'Pre-Board-II(Entry)'!E8</f>
        <v>0</v>
      </c>
      <c r="F8" s="3">
        <f>'Pre-Board-II(Entry)'!F8</f>
        <v>0</v>
      </c>
      <c r="G8" s="3">
        <f>'Pre-Board-II(Entry)'!G8</f>
        <v>0</v>
      </c>
      <c r="H8" s="3">
        <f>'Pre-Board-II(Entry)'!H8</f>
        <v>0</v>
      </c>
      <c r="I8" s="3">
        <f>'Pre-Board-II(Entry)'!I8</f>
        <v>0</v>
      </c>
      <c r="J8" s="3">
        <f>'Pre-Board-II(Entry)'!J8</f>
        <v>0</v>
      </c>
      <c r="K8" s="3">
        <f>'Pre-Board-II(Entry)'!K8</f>
        <v>0</v>
      </c>
      <c r="L8" s="3">
        <f>'Pre-Board-II(Entry)'!L8</f>
        <v>0</v>
      </c>
      <c r="M8" s="3">
        <f>'Pre-Board-II(Entry)'!M8</f>
        <v>0</v>
      </c>
      <c r="N8" s="3">
        <f>'Pre-Board-II(Entry)'!N8</f>
        <v>0</v>
      </c>
      <c r="O8" s="3">
        <f t="shared" si="0"/>
        <v>0</v>
      </c>
      <c r="P8" s="3">
        <f>'Pre-Board-II(Entry)'!P8</f>
        <v>0</v>
      </c>
      <c r="Q8" s="3">
        <f>'Pre-Board-II(Entry)'!Q8</f>
        <v>0</v>
      </c>
      <c r="R8" s="3">
        <f>'Pre-Board-II(Entry)'!R8</f>
        <v>0</v>
      </c>
      <c r="S8" s="3">
        <f>'Pre-Board-II(Entry)'!S8</f>
        <v>0</v>
      </c>
      <c r="T8" s="3">
        <f>'Pre-Board-II(Entry)'!T8</f>
        <v>0</v>
      </c>
      <c r="U8" s="3">
        <f>'Pre-Board-II(Entry)'!U8</f>
        <v>0</v>
      </c>
      <c r="V8" s="3">
        <f>'Pre-Board-II(Entry)'!V8</f>
        <v>0</v>
      </c>
    </row>
    <row r="9" spans="1:22" x14ac:dyDescent="0.3">
      <c r="A9" s="21">
        <f>DETAILS!A8</f>
        <v>2100</v>
      </c>
      <c r="B9" s="21" t="str">
        <f>DETAILS!B8</f>
        <v>ANSH SHUKLA</v>
      </c>
      <c r="C9" s="3">
        <f>'Pre-Board-II(Entry)'!C9</f>
        <v>0</v>
      </c>
      <c r="D9" s="3">
        <f>'Pre-Board-II(Entry)'!D9</f>
        <v>0</v>
      </c>
      <c r="E9" s="3">
        <f>'Pre-Board-II(Entry)'!E9</f>
        <v>0</v>
      </c>
      <c r="F9" s="3">
        <f>'Pre-Board-II(Entry)'!F9</f>
        <v>0</v>
      </c>
      <c r="G9" s="3">
        <f>'Pre-Board-II(Entry)'!G9</f>
        <v>0</v>
      </c>
      <c r="H9" s="3">
        <f>'Pre-Board-II(Entry)'!H9</f>
        <v>0</v>
      </c>
      <c r="I9" s="3">
        <f>'Pre-Board-II(Entry)'!I9</f>
        <v>0</v>
      </c>
      <c r="J9" s="3">
        <f>'Pre-Board-II(Entry)'!J9</f>
        <v>0</v>
      </c>
      <c r="K9" s="3">
        <f>'Pre-Board-II(Entry)'!K9</f>
        <v>0</v>
      </c>
      <c r="L9" s="3">
        <f>'Pre-Board-II(Entry)'!L9</f>
        <v>0</v>
      </c>
      <c r="M9" s="3">
        <f>'Pre-Board-II(Entry)'!M9</f>
        <v>0</v>
      </c>
      <c r="N9" s="3">
        <f>'Pre-Board-II(Entry)'!N9</f>
        <v>0</v>
      </c>
      <c r="O9" s="3">
        <f t="shared" si="0"/>
        <v>0</v>
      </c>
      <c r="P9" s="3">
        <f>'Pre-Board-II(Entry)'!P9</f>
        <v>0</v>
      </c>
      <c r="Q9" s="3">
        <f>'Pre-Board-II(Entry)'!Q9</f>
        <v>0</v>
      </c>
      <c r="R9" s="3">
        <f>'Pre-Board-II(Entry)'!R9</f>
        <v>0</v>
      </c>
      <c r="S9" s="3">
        <f>'Pre-Board-II(Entry)'!S9</f>
        <v>0</v>
      </c>
      <c r="T9" s="3">
        <f>'Pre-Board-II(Entry)'!T9</f>
        <v>0</v>
      </c>
      <c r="U9" s="3">
        <f>'Pre-Board-II(Entry)'!U9</f>
        <v>0</v>
      </c>
      <c r="V9" s="3">
        <f>'Pre-Board-II(Entry)'!V9</f>
        <v>0</v>
      </c>
    </row>
    <row r="10" spans="1:22" x14ac:dyDescent="0.3">
      <c r="A10" s="21">
        <f>DETAILS!A9</f>
        <v>1767</v>
      </c>
      <c r="B10" s="21" t="str">
        <f>DETAILS!B9</f>
        <v>ANSHIKA MISHRA</v>
      </c>
      <c r="C10" s="3">
        <f>'Pre-Board-II(Entry)'!C10</f>
        <v>0</v>
      </c>
      <c r="D10" s="3">
        <f>'Pre-Board-II(Entry)'!D10</f>
        <v>0</v>
      </c>
      <c r="E10" s="3">
        <f>'Pre-Board-II(Entry)'!E10</f>
        <v>0</v>
      </c>
      <c r="F10" s="3">
        <f>'Pre-Board-II(Entry)'!F10</f>
        <v>0</v>
      </c>
      <c r="G10" s="3">
        <f>'Pre-Board-II(Entry)'!G10</f>
        <v>0</v>
      </c>
      <c r="H10" s="3">
        <f>'Pre-Board-II(Entry)'!H10</f>
        <v>0</v>
      </c>
      <c r="I10" s="3">
        <f>'Pre-Board-II(Entry)'!I10</f>
        <v>0</v>
      </c>
      <c r="J10" s="3">
        <f>'Pre-Board-II(Entry)'!J10</f>
        <v>0</v>
      </c>
      <c r="K10" s="3">
        <f>'Pre-Board-II(Entry)'!K10</f>
        <v>0</v>
      </c>
      <c r="L10" s="3">
        <f>'Pre-Board-II(Entry)'!L10</f>
        <v>0</v>
      </c>
      <c r="M10" s="3">
        <f>'Pre-Board-II(Entry)'!M10</f>
        <v>0</v>
      </c>
      <c r="N10" s="3">
        <f>'Pre-Board-II(Entry)'!N10</f>
        <v>0</v>
      </c>
      <c r="O10" s="3">
        <f t="shared" si="0"/>
        <v>0</v>
      </c>
      <c r="P10" s="3">
        <f>'Pre-Board-II(Entry)'!P10</f>
        <v>0</v>
      </c>
      <c r="Q10" s="3">
        <f>'Pre-Board-II(Entry)'!Q10</f>
        <v>0</v>
      </c>
      <c r="R10" s="3">
        <f>'Pre-Board-II(Entry)'!R10</f>
        <v>0</v>
      </c>
      <c r="S10" s="3">
        <f>'Pre-Board-II(Entry)'!S10</f>
        <v>0</v>
      </c>
      <c r="T10" s="3">
        <f>'Pre-Board-II(Entry)'!T10</f>
        <v>0</v>
      </c>
      <c r="U10" s="3">
        <f>'Pre-Board-II(Entry)'!U10</f>
        <v>0</v>
      </c>
      <c r="V10" s="3">
        <f>'Pre-Board-II(Entry)'!V10</f>
        <v>0</v>
      </c>
    </row>
    <row r="11" spans="1:22" x14ac:dyDescent="0.3">
      <c r="A11" s="21">
        <f>DETAILS!A10</f>
        <v>1486</v>
      </c>
      <c r="B11" s="21" t="str">
        <f>DETAILS!B10</f>
        <v>ANUBHAV CHOUDHARY</v>
      </c>
      <c r="C11" s="3">
        <f>'Pre-Board-II(Entry)'!C11</f>
        <v>0</v>
      </c>
      <c r="D11" s="3">
        <f>'Pre-Board-II(Entry)'!D11</f>
        <v>0</v>
      </c>
      <c r="E11" s="3">
        <f>'Pre-Board-II(Entry)'!E11</f>
        <v>0</v>
      </c>
      <c r="F11" s="3">
        <f>'Pre-Board-II(Entry)'!F11</f>
        <v>0</v>
      </c>
      <c r="G11" s="3">
        <f>'Pre-Board-II(Entry)'!G11</f>
        <v>0</v>
      </c>
      <c r="H11" s="3">
        <f>'Pre-Board-II(Entry)'!H11</f>
        <v>0</v>
      </c>
      <c r="I11" s="3">
        <f>'Pre-Board-II(Entry)'!I11</f>
        <v>0</v>
      </c>
      <c r="J11" s="3">
        <f>'Pre-Board-II(Entry)'!J11</f>
        <v>0</v>
      </c>
      <c r="K11" s="3">
        <f>'Pre-Board-II(Entry)'!K11</f>
        <v>0</v>
      </c>
      <c r="L11" s="3">
        <f>'Pre-Board-II(Entry)'!L11</f>
        <v>0</v>
      </c>
      <c r="M11" s="3">
        <f>'Pre-Board-II(Entry)'!M11</f>
        <v>0</v>
      </c>
      <c r="N11" s="3">
        <f>'Pre-Board-II(Entry)'!N11</f>
        <v>0</v>
      </c>
      <c r="O11" s="3">
        <f t="shared" si="0"/>
        <v>0</v>
      </c>
      <c r="P11" s="3">
        <f>'Pre-Board-II(Entry)'!P11</f>
        <v>0</v>
      </c>
      <c r="Q11" s="3">
        <f>'Pre-Board-II(Entry)'!Q11</f>
        <v>0</v>
      </c>
      <c r="R11" s="3">
        <f>'Pre-Board-II(Entry)'!R11</f>
        <v>0</v>
      </c>
      <c r="S11" s="3">
        <f>'Pre-Board-II(Entry)'!S11</f>
        <v>0</v>
      </c>
      <c r="T11" s="3">
        <f>'Pre-Board-II(Entry)'!T11</f>
        <v>0</v>
      </c>
      <c r="U11" s="3">
        <f>'Pre-Board-II(Entry)'!U11</f>
        <v>0</v>
      </c>
      <c r="V11" s="3">
        <f>'Pre-Board-II(Entry)'!V11</f>
        <v>0</v>
      </c>
    </row>
    <row r="12" spans="1:22" x14ac:dyDescent="0.3">
      <c r="A12" s="21">
        <f>DETAILS!A11</f>
        <v>1615</v>
      </c>
      <c r="B12" s="21" t="str">
        <f>DETAILS!B11</f>
        <v>ARADHYA TIWARI</v>
      </c>
      <c r="C12" s="3">
        <f>'Pre-Board-II(Entry)'!C12</f>
        <v>0</v>
      </c>
      <c r="D12" s="3">
        <f>'Pre-Board-II(Entry)'!D12</f>
        <v>0</v>
      </c>
      <c r="E12" s="3">
        <f>'Pre-Board-II(Entry)'!E12</f>
        <v>0</v>
      </c>
      <c r="F12" s="3">
        <f>'Pre-Board-II(Entry)'!F12</f>
        <v>0</v>
      </c>
      <c r="G12" s="3">
        <f>'Pre-Board-II(Entry)'!G12</f>
        <v>0</v>
      </c>
      <c r="H12" s="3">
        <f>'Pre-Board-II(Entry)'!H12</f>
        <v>0</v>
      </c>
      <c r="I12" s="3">
        <f>'Pre-Board-II(Entry)'!I12</f>
        <v>0</v>
      </c>
      <c r="J12" s="3">
        <f>'Pre-Board-II(Entry)'!J12</f>
        <v>0</v>
      </c>
      <c r="K12" s="3">
        <f>'Pre-Board-II(Entry)'!K12</f>
        <v>0</v>
      </c>
      <c r="L12" s="3">
        <f>'Pre-Board-II(Entry)'!L12</f>
        <v>0</v>
      </c>
      <c r="M12" s="3">
        <f>'Pre-Board-II(Entry)'!M12</f>
        <v>0</v>
      </c>
      <c r="N12" s="3">
        <f>'Pre-Board-II(Entry)'!N12</f>
        <v>0</v>
      </c>
      <c r="O12" s="3">
        <f t="shared" si="0"/>
        <v>0</v>
      </c>
      <c r="P12" s="3">
        <f>'Pre-Board-II(Entry)'!P12</f>
        <v>0</v>
      </c>
      <c r="Q12" s="3">
        <f>'Pre-Board-II(Entry)'!Q12</f>
        <v>0</v>
      </c>
      <c r="R12" s="3">
        <f>'Pre-Board-II(Entry)'!R12</f>
        <v>0</v>
      </c>
      <c r="S12" s="3">
        <f>'Pre-Board-II(Entry)'!S12</f>
        <v>0</v>
      </c>
      <c r="T12" s="3">
        <f>'Pre-Board-II(Entry)'!T12</f>
        <v>0</v>
      </c>
      <c r="U12" s="3">
        <f>'Pre-Board-II(Entry)'!U12</f>
        <v>0</v>
      </c>
      <c r="V12" s="3">
        <f>'Pre-Board-II(Entry)'!V12</f>
        <v>0</v>
      </c>
    </row>
    <row r="13" spans="1:22" x14ac:dyDescent="0.3">
      <c r="A13" s="21">
        <f>DETAILS!A12</f>
        <v>993</v>
      </c>
      <c r="B13" s="21" t="str">
        <f>DETAILS!B12</f>
        <v>ARYAN MAURYA</v>
      </c>
      <c r="C13" s="3">
        <f>'Pre-Board-II(Entry)'!C13</f>
        <v>0</v>
      </c>
      <c r="D13" s="3">
        <f>'Pre-Board-II(Entry)'!D13</f>
        <v>0</v>
      </c>
      <c r="E13" s="3">
        <f>'Pre-Board-II(Entry)'!E13</f>
        <v>0</v>
      </c>
      <c r="F13" s="3">
        <f>'Pre-Board-II(Entry)'!F13</f>
        <v>0</v>
      </c>
      <c r="G13" s="3">
        <f>'Pre-Board-II(Entry)'!G13</f>
        <v>0</v>
      </c>
      <c r="H13" s="3">
        <f>'Pre-Board-II(Entry)'!H13</f>
        <v>0</v>
      </c>
      <c r="I13" s="3">
        <f>'Pre-Board-II(Entry)'!I13</f>
        <v>0</v>
      </c>
      <c r="J13" s="3">
        <f>'Pre-Board-II(Entry)'!J13</f>
        <v>0</v>
      </c>
      <c r="K13" s="3">
        <f>'Pre-Board-II(Entry)'!K13</f>
        <v>0</v>
      </c>
      <c r="L13" s="3">
        <f>'Pre-Board-II(Entry)'!L13</f>
        <v>0</v>
      </c>
      <c r="M13" s="3">
        <f>'Pre-Board-II(Entry)'!M13</f>
        <v>0</v>
      </c>
      <c r="N13" s="3">
        <f>'Pre-Board-II(Entry)'!N13</f>
        <v>0</v>
      </c>
      <c r="O13" s="3">
        <f t="shared" si="0"/>
        <v>0</v>
      </c>
      <c r="P13" s="3">
        <f>'Pre-Board-II(Entry)'!P13</f>
        <v>0</v>
      </c>
      <c r="Q13" s="3">
        <f>'Pre-Board-II(Entry)'!Q13</f>
        <v>0</v>
      </c>
      <c r="R13" s="3">
        <f>'Pre-Board-II(Entry)'!R13</f>
        <v>0</v>
      </c>
      <c r="S13" s="3">
        <f>'Pre-Board-II(Entry)'!S13</f>
        <v>0</v>
      </c>
      <c r="T13" s="3">
        <f>'Pre-Board-II(Entry)'!T13</f>
        <v>0</v>
      </c>
      <c r="U13" s="3">
        <f>'Pre-Board-II(Entry)'!U13</f>
        <v>0</v>
      </c>
      <c r="V13" s="3">
        <f>'Pre-Board-II(Entry)'!V13</f>
        <v>0</v>
      </c>
    </row>
    <row r="14" spans="1:22" x14ac:dyDescent="0.3">
      <c r="A14" s="21">
        <f>DETAILS!A13</f>
        <v>1296</v>
      </c>
      <c r="B14" s="21" t="str">
        <f>DETAILS!B13</f>
        <v>ARYAN SINGH</v>
      </c>
      <c r="C14" s="3">
        <f>'Pre-Board-II(Entry)'!C14</f>
        <v>0</v>
      </c>
      <c r="D14" s="3">
        <f>'Pre-Board-II(Entry)'!D14</f>
        <v>0</v>
      </c>
      <c r="E14" s="3">
        <f>'Pre-Board-II(Entry)'!E14</f>
        <v>0</v>
      </c>
      <c r="F14" s="3">
        <f>'Pre-Board-II(Entry)'!F14</f>
        <v>0</v>
      </c>
      <c r="G14" s="3">
        <f>'Pre-Board-II(Entry)'!G14</f>
        <v>0</v>
      </c>
      <c r="H14" s="3">
        <f>'Pre-Board-II(Entry)'!H14</f>
        <v>0</v>
      </c>
      <c r="I14" s="3">
        <f>'Pre-Board-II(Entry)'!I14</f>
        <v>0</v>
      </c>
      <c r="J14" s="3">
        <f>'Pre-Board-II(Entry)'!J14</f>
        <v>0</v>
      </c>
      <c r="K14" s="3">
        <f>'Pre-Board-II(Entry)'!K14</f>
        <v>0</v>
      </c>
      <c r="L14" s="3">
        <f>'Pre-Board-II(Entry)'!L14</f>
        <v>0</v>
      </c>
      <c r="M14" s="3">
        <f>'Pre-Board-II(Entry)'!M14</f>
        <v>0</v>
      </c>
      <c r="N14" s="3">
        <f>'Pre-Board-II(Entry)'!N14</f>
        <v>0</v>
      </c>
      <c r="O14" s="3">
        <f t="shared" si="0"/>
        <v>0</v>
      </c>
      <c r="P14" s="3">
        <f>'Pre-Board-II(Entry)'!P14</f>
        <v>0</v>
      </c>
      <c r="Q14" s="3">
        <f>'Pre-Board-II(Entry)'!Q14</f>
        <v>0</v>
      </c>
      <c r="R14" s="3">
        <f>'Pre-Board-II(Entry)'!R14</f>
        <v>0</v>
      </c>
      <c r="S14" s="3">
        <f>'Pre-Board-II(Entry)'!S14</f>
        <v>0</v>
      </c>
      <c r="T14" s="3">
        <f>'Pre-Board-II(Entry)'!T14</f>
        <v>0</v>
      </c>
      <c r="U14" s="3">
        <f>'Pre-Board-II(Entry)'!U14</f>
        <v>0</v>
      </c>
      <c r="V14" s="3">
        <f>'Pre-Board-II(Entry)'!V14</f>
        <v>0</v>
      </c>
    </row>
    <row r="15" spans="1:22" x14ac:dyDescent="0.3">
      <c r="A15" s="21">
        <f>DETAILS!A14</f>
        <v>1392</v>
      </c>
      <c r="B15" s="21" t="str">
        <f>DETAILS!B14</f>
        <v>ASTITVA  SHYAM TIWARI</v>
      </c>
      <c r="C15" s="3">
        <f>'Pre-Board-II(Entry)'!C15</f>
        <v>0</v>
      </c>
      <c r="D15" s="3">
        <f>'Pre-Board-II(Entry)'!D15</f>
        <v>0</v>
      </c>
      <c r="E15" s="3">
        <f>'Pre-Board-II(Entry)'!E15</f>
        <v>0</v>
      </c>
      <c r="F15" s="3">
        <f>'Pre-Board-II(Entry)'!F15</f>
        <v>0</v>
      </c>
      <c r="G15" s="3">
        <f>'Pre-Board-II(Entry)'!G15</f>
        <v>0</v>
      </c>
      <c r="H15" s="3">
        <f>'Pre-Board-II(Entry)'!H15</f>
        <v>0</v>
      </c>
      <c r="I15" s="3">
        <f>'Pre-Board-II(Entry)'!I15</f>
        <v>0</v>
      </c>
      <c r="J15" s="3">
        <f>'Pre-Board-II(Entry)'!J15</f>
        <v>0</v>
      </c>
      <c r="K15" s="3">
        <f>'Pre-Board-II(Entry)'!K15</f>
        <v>0</v>
      </c>
      <c r="L15" s="3">
        <f>'Pre-Board-II(Entry)'!L15</f>
        <v>0</v>
      </c>
      <c r="M15" s="3">
        <f>'Pre-Board-II(Entry)'!M15</f>
        <v>0</v>
      </c>
      <c r="N15" s="3">
        <f>'Pre-Board-II(Entry)'!N15</f>
        <v>0</v>
      </c>
      <c r="O15" s="3">
        <f t="shared" si="0"/>
        <v>0</v>
      </c>
      <c r="P15" s="3">
        <f>'Pre-Board-II(Entry)'!P15</f>
        <v>0</v>
      </c>
      <c r="Q15" s="3">
        <f>'Pre-Board-II(Entry)'!Q15</f>
        <v>0</v>
      </c>
      <c r="R15" s="3">
        <f>'Pre-Board-II(Entry)'!R15</f>
        <v>0</v>
      </c>
      <c r="S15" s="3">
        <f>'Pre-Board-II(Entry)'!S15</f>
        <v>0</v>
      </c>
      <c r="T15" s="3">
        <f>'Pre-Board-II(Entry)'!T15</f>
        <v>0</v>
      </c>
      <c r="U15" s="3">
        <f>'Pre-Board-II(Entry)'!U15</f>
        <v>0</v>
      </c>
      <c r="V15" s="3">
        <f>'Pre-Board-II(Entry)'!V15</f>
        <v>0</v>
      </c>
    </row>
    <row r="16" spans="1:22" x14ac:dyDescent="0.3">
      <c r="A16" s="21">
        <f>DETAILS!A15</f>
        <v>759</v>
      </c>
      <c r="B16" s="21" t="str">
        <f>DETAILS!B15</f>
        <v>DEVENDRA PATHAK</v>
      </c>
      <c r="C16" s="3">
        <f>'Pre-Board-II(Entry)'!C16</f>
        <v>0</v>
      </c>
      <c r="D16" s="3">
        <f>'Pre-Board-II(Entry)'!D16</f>
        <v>0</v>
      </c>
      <c r="E16" s="3">
        <f>'Pre-Board-II(Entry)'!E16</f>
        <v>0</v>
      </c>
      <c r="F16" s="3">
        <f>'Pre-Board-II(Entry)'!F16</f>
        <v>0</v>
      </c>
      <c r="G16" s="3">
        <f>'Pre-Board-II(Entry)'!G16</f>
        <v>0</v>
      </c>
      <c r="H16" s="3">
        <f>'Pre-Board-II(Entry)'!H16</f>
        <v>0</v>
      </c>
      <c r="I16" s="3">
        <f>'Pre-Board-II(Entry)'!I16</f>
        <v>0</v>
      </c>
      <c r="J16" s="3">
        <f>'Pre-Board-II(Entry)'!J16</f>
        <v>0</v>
      </c>
      <c r="K16" s="3">
        <f>'Pre-Board-II(Entry)'!K16</f>
        <v>0</v>
      </c>
      <c r="L16" s="3">
        <f>'Pre-Board-II(Entry)'!L16</f>
        <v>0</v>
      </c>
      <c r="M16" s="3">
        <f>'Pre-Board-II(Entry)'!M16</f>
        <v>0</v>
      </c>
      <c r="N16" s="3">
        <f>'Pre-Board-II(Entry)'!N16</f>
        <v>0</v>
      </c>
      <c r="O16" s="3">
        <f t="shared" si="0"/>
        <v>0</v>
      </c>
      <c r="P16" s="3">
        <f>'Pre-Board-II(Entry)'!P16</f>
        <v>0</v>
      </c>
      <c r="Q16" s="3">
        <f>'Pre-Board-II(Entry)'!Q16</f>
        <v>0</v>
      </c>
      <c r="R16" s="3">
        <f>'Pre-Board-II(Entry)'!R16</f>
        <v>0</v>
      </c>
      <c r="S16" s="3">
        <f>'Pre-Board-II(Entry)'!S16</f>
        <v>0</v>
      </c>
      <c r="T16" s="3">
        <f>'Pre-Board-II(Entry)'!T16</f>
        <v>0</v>
      </c>
      <c r="U16" s="3">
        <f>'Pre-Board-II(Entry)'!U16</f>
        <v>0</v>
      </c>
      <c r="V16" s="3">
        <f>'Pre-Board-II(Entry)'!V16</f>
        <v>0</v>
      </c>
    </row>
    <row r="17" spans="1:22" x14ac:dyDescent="0.3">
      <c r="A17" s="21">
        <f>DETAILS!A16</f>
        <v>1598</v>
      </c>
      <c r="B17" s="21" t="str">
        <f>DETAILS!B16</f>
        <v>DIVYANSHI SINGH</v>
      </c>
      <c r="C17" s="3">
        <f>'Pre-Board-II(Entry)'!C17</f>
        <v>0</v>
      </c>
      <c r="D17" s="3">
        <f>'Pre-Board-II(Entry)'!D17</f>
        <v>0</v>
      </c>
      <c r="E17" s="3">
        <f>'Pre-Board-II(Entry)'!E17</f>
        <v>0</v>
      </c>
      <c r="F17" s="3">
        <f>'Pre-Board-II(Entry)'!F17</f>
        <v>0</v>
      </c>
      <c r="G17" s="3">
        <f>'Pre-Board-II(Entry)'!G17</f>
        <v>0</v>
      </c>
      <c r="H17" s="3">
        <f>'Pre-Board-II(Entry)'!H17</f>
        <v>0</v>
      </c>
      <c r="I17" s="3">
        <f>'Pre-Board-II(Entry)'!I17</f>
        <v>0</v>
      </c>
      <c r="J17" s="3">
        <f>'Pre-Board-II(Entry)'!J17</f>
        <v>0</v>
      </c>
      <c r="K17" s="3">
        <f>'Pre-Board-II(Entry)'!K17</f>
        <v>0</v>
      </c>
      <c r="L17" s="3">
        <f>'Pre-Board-II(Entry)'!L17</f>
        <v>0</v>
      </c>
      <c r="M17" s="3">
        <f>'Pre-Board-II(Entry)'!M17</f>
        <v>0</v>
      </c>
      <c r="N17" s="3">
        <f>'Pre-Board-II(Entry)'!N17</f>
        <v>0</v>
      </c>
      <c r="O17" s="3">
        <f t="shared" si="0"/>
        <v>0</v>
      </c>
      <c r="P17" s="3">
        <f>'Pre-Board-II(Entry)'!P17</f>
        <v>0</v>
      </c>
      <c r="Q17" s="3">
        <f>'Pre-Board-II(Entry)'!Q17</f>
        <v>0</v>
      </c>
      <c r="R17" s="3">
        <f>'Pre-Board-II(Entry)'!R17</f>
        <v>0</v>
      </c>
      <c r="S17" s="3">
        <f>'Pre-Board-II(Entry)'!S17</f>
        <v>0</v>
      </c>
      <c r="T17" s="3">
        <f>'Pre-Board-II(Entry)'!T17</f>
        <v>0</v>
      </c>
      <c r="U17" s="3">
        <f>'Pre-Board-II(Entry)'!U17</f>
        <v>0</v>
      </c>
      <c r="V17" s="3">
        <f>'Pre-Board-II(Entry)'!V17</f>
        <v>0</v>
      </c>
    </row>
    <row r="18" spans="1:22" x14ac:dyDescent="0.3">
      <c r="A18" s="21">
        <f>DETAILS!A17</f>
        <v>1650</v>
      </c>
      <c r="B18" s="21" t="str">
        <f>DETAILS!B17</f>
        <v>DIVYANSHU YADAV</v>
      </c>
      <c r="C18" s="3">
        <f>'Pre-Board-II(Entry)'!C18</f>
        <v>0</v>
      </c>
      <c r="D18" s="3">
        <f>'Pre-Board-II(Entry)'!D18</f>
        <v>0</v>
      </c>
      <c r="E18" s="3">
        <f>'Pre-Board-II(Entry)'!E18</f>
        <v>0</v>
      </c>
      <c r="F18" s="3">
        <f>'Pre-Board-II(Entry)'!F18</f>
        <v>0</v>
      </c>
      <c r="G18" s="3">
        <f>'Pre-Board-II(Entry)'!G18</f>
        <v>0</v>
      </c>
      <c r="H18" s="3">
        <f>'Pre-Board-II(Entry)'!H18</f>
        <v>0</v>
      </c>
      <c r="I18" s="3">
        <f>'Pre-Board-II(Entry)'!I18</f>
        <v>0</v>
      </c>
      <c r="J18" s="3">
        <f>'Pre-Board-II(Entry)'!J18</f>
        <v>0</v>
      </c>
      <c r="K18" s="3">
        <f>'Pre-Board-II(Entry)'!K18</f>
        <v>0</v>
      </c>
      <c r="L18" s="3">
        <f>'Pre-Board-II(Entry)'!L18</f>
        <v>0</v>
      </c>
      <c r="M18" s="3">
        <f>'Pre-Board-II(Entry)'!M18</f>
        <v>0</v>
      </c>
      <c r="N18" s="3">
        <f>'Pre-Board-II(Entry)'!N18</f>
        <v>0</v>
      </c>
      <c r="O18" s="3">
        <f t="shared" si="0"/>
        <v>0</v>
      </c>
      <c r="P18" s="3">
        <f>'Pre-Board-II(Entry)'!P18</f>
        <v>0</v>
      </c>
      <c r="Q18" s="3">
        <f>'Pre-Board-II(Entry)'!Q18</f>
        <v>0</v>
      </c>
      <c r="R18" s="3">
        <f>'Pre-Board-II(Entry)'!R18</f>
        <v>0</v>
      </c>
      <c r="S18" s="3">
        <f>'Pre-Board-II(Entry)'!S18</f>
        <v>0</v>
      </c>
      <c r="T18" s="3">
        <f>'Pre-Board-II(Entry)'!T18</f>
        <v>0</v>
      </c>
      <c r="U18" s="3">
        <f>'Pre-Board-II(Entry)'!U18</f>
        <v>0</v>
      </c>
      <c r="V18" s="3">
        <f>'Pre-Board-II(Entry)'!V18</f>
        <v>0</v>
      </c>
    </row>
    <row r="19" spans="1:22" x14ac:dyDescent="0.3">
      <c r="A19" s="21">
        <f>DETAILS!A18</f>
        <v>1661</v>
      </c>
      <c r="B19" s="21" t="str">
        <f>DETAILS!B18</f>
        <v>GARIMA YADAV</v>
      </c>
      <c r="C19" s="3">
        <f>'Pre-Board-II(Entry)'!C19</f>
        <v>0</v>
      </c>
      <c r="D19" s="3">
        <f>'Pre-Board-II(Entry)'!D19</f>
        <v>0</v>
      </c>
      <c r="E19" s="3">
        <f>'Pre-Board-II(Entry)'!E19</f>
        <v>0</v>
      </c>
      <c r="F19" s="3">
        <f>'Pre-Board-II(Entry)'!F19</f>
        <v>0</v>
      </c>
      <c r="G19" s="3">
        <f>'Pre-Board-II(Entry)'!G19</f>
        <v>0</v>
      </c>
      <c r="H19" s="3">
        <f>'Pre-Board-II(Entry)'!H19</f>
        <v>0</v>
      </c>
      <c r="I19" s="3">
        <f>'Pre-Board-II(Entry)'!I19</f>
        <v>0</v>
      </c>
      <c r="J19" s="3">
        <f>'Pre-Board-II(Entry)'!J19</f>
        <v>0</v>
      </c>
      <c r="K19" s="3">
        <f>'Pre-Board-II(Entry)'!K19</f>
        <v>0</v>
      </c>
      <c r="L19" s="3">
        <f>'Pre-Board-II(Entry)'!L19</f>
        <v>0</v>
      </c>
      <c r="M19" s="3">
        <f>'Pre-Board-II(Entry)'!M19</f>
        <v>0</v>
      </c>
      <c r="N19" s="3">
        <f>'Pre-Board-II(Entry)'!N19</f>
        <v>0</v>
      </c>
      <c r="O19" s="3">
        <f t="shared" si="0"/>
        <v>0</v>
      </c>
      <c r="P19" s="3">
        <f>'Pre-Board-II(Entry)'!P19</f>
        <v>0</v>
      </c>
      <c r="Q19" s="3">
        <f>'Pre-Board-II(Entry)'!Q19</f>
        <v>0</v>
      </c>
      <c r="R19" s="3">
        <f>'Pre-Board-II(Entry)'!R19</f>
        <v>0</v>
      </c>
      <c r="S19" s="3">
        <f>'Pre-Board-II(Entry)'!S19</f>
        <v>0</v>
      </c>
      <c r="T19" s="3">
        <f>'Pre-Board-II(Entry)'!T19</f>
        <v>0</v>
      </c>
      <c r="U19" s="3">
        <f>'Pre-Board-II(Entry)'!U19</f>
        <v>0</v>
      </c>
      <c r="V19" s="3">
        <f>'Pre-Board-II(Entry)'!V19</f>
        <v>0</v>
      </c>
    </row>
    <row r="20" spans="1:22" x14ac:dyDescent="0.3">
      <c r="A20" s="21">
        <f>DETAILS!A19</f>
        <v>1704</v>
      </c>
      <c r="B20" s="21" t="str">
        <f>DETAILS!B19</f>
        <v>HARSH SINGH</v>
      </c>
      <c r="C20" s="3">
        <f>'Pre-Board-II(Entry)'!C20</f>
        <v>0</v>
      </c>
      <c r="D20" s="3">
        <f>'Pre-Board-II(Entry)'!D20</f>
        <v>0</v>
      </c>
      <c r="E20" s="3">
        <f>'Pre-Board-II(Entry)'!E20</f>
        <v>0</v>
      </c>
      <c r="F20" s="3">
        <f>'Pre-Board-II(Entry)'!F20</f>
        <v>0</v>
      </c>
      <c r="G20" s="3">
        <f>'Pre-Board-II(Entry)'!G20</f>
        <v>0</v>
      </c>
      <c r="H20" s="3">
        <f>'Pre-Board-II(Entry)'!H20</f>
        <v>0</v>
      </c>
      <c r="I20" s="3">
        <f>'Pre-Board-II(Entry)'!I20</f>
        <v>0</v>
      </c>
      <c r="J20" s="3">
        <f>'Pre-Board-II(Entry)'!J20</f>
        <v>0</v>
      </c>
      <c r="K20" s="3">
        <f>'Pre-Board-II(Entry)'!K20</f>
        <v>0</v>
      </c>
      <c r="L20" s="3">
        <f>'Pre-Board-II(Entry)'!L20</f>
        <v>0</v>
      </c>
      <c r="M20" s="3">
        <f>'Pre-Board-II(Entry)'!M20</f>
        <v>0</v>
      </c>
      <c r="N20" s="3">
        <f>'Pre-Board-II(Entry)'!N20</f>
        <v>0</v>
      </c>
      <c r="O20" s="3">
        <f t="shared" si="0"/>
        <v>0</v>
      </c>
      <c r="P20" s="3">
        <f>'Pre-Board-II(Entry)'!P20</f>
        <v>0</v>
      </c>
      <c r="Q20" s="3">
        <f>'Pre-Board-II(Entry)'!Q20</f>
        <v>0</v>
      </c>
      <c r="R20" s="3">
        <f>'Pre-Board-II(Entry)'!R20</f>
        <v>0</v>
      </c>
      <c r="S20" s="3">
        <f>'Pre-Board-II(Entry)'!S20</f>
        <v>0</v>
      </c>
      <c r="T20" s="3">
        <f>'Pre-Board-II(Entry)'!T20</f>
        <v>0</v>
      </c>
      <c r="U20" s="3">
        <f>'Pre-Board-II(Entry)'!U20</f>
        <v>0</v>
      </c>
      <c r="V20" s="3">
        <f>'Pre-Board-II(Entry)'!V20</f>
        <v>0</v>
      </c>
    </row>
    <row r="21" spans="1:22" x14ac:dyDescent="0.3">
      <c r="A21" s="21">
        <f>DETAILS!A20</f>
        <v>1437</v>
      </c>
      <c r="B21" s="21" t="str">
        <f>DETAILS!B20</f>
        <v>KANISHKA YADAV</v>
      </c>
      <c r="C21" s="3">
        <f>'Pre-Board-II(Entry)'!C21</f>
        <v>0</v>
      </c>
      <c r="D21" s="3">
        <f>'Pre-Board-II(Entry)'!D21</f>
        <v>0</v>
      </c>
      <c r="E21" s="3">
        <f>'Pre-Board-II(Entry)'!E21</f>
        <v>0</v>
      </c>
      <c r="F21" s="3">
        <f>'Pre-Board-II(Entry)'!F21</f>
        <v>0</v>
      </c>
      <c r="G21" s="3">
        <f>'Pre-Board-II(Entry)'!G21</f>
        <v>0</v>
      </c>
      <c r="H21" s="3">
        <f>'Pre-Board-II(Entry)'!H21</f>
        <v>0</v>
      </c>
      <c r="I21" s="3">
        <f>'Pre-Board-II(Entry)'!I21</f>
        <v>0</v>
      </c>
      <c r="J21" s="3">
        <f>'Pre-Board-II(Entry)'!J21</f>
        <v>0</v>
      </c>
      <c r="K21" s="3">
        <f>'Pre-Board-II(Entry)'!K21</f>
        <v>0</v>
      </c>
      <c r="L21" s="3">
        <f>'Pre-Board-II(Entry)'!L21</f>
        <v>0</v>
      </c>
      <c r="M21" s="3">
        <f>'Pre-Board-II(Entry)'!M21</f>
        <v>0</v>
      </c>
      <c r="N21" s="3">
        <f>'Pre-Board-II(Entry)'!N21</f>
        <v>0</v>
      </c>
      <c r="O21" s="3">
        <f t="shared" si="0"/>
        <v>0</v>
      </c>
      <c r="P21" s="3">
        <f>'Pre-Board-II(Entry)'!P21</f>
        <v>0</v>
      </c>
      <c r="Q21" s="3">
        <f>'Pre-Board-II(Entry)'!Q21</f>
        <v>0</v>
      </c>
      <c r="R21" s="3">
        <f>'Pre-Board-II(Entry)'!R21</f>
        <v>0</v>
      </c>
      <c r="S21" s="3">
        <f>'Pre-Board-II(Entry)'!S21</f>
        <v>0</v>
      </c>
      <c r="T21" s="3">
        <f>'Pre-Board-II(Entry)'!T21</f>
        <v>0</v>
      </c>
      <c r="U21" s="3">
        <f>'Pre-Board-II(Entry)'!U21</f>
        <v>0</v>
      </c>
      <c r="V21" s="3">
        <f>'Pre-Board-II(Entry)'!V21</f>
        <v>0</v>
      </c>
    </row>
    <row r="22" spans="1:22" x14ac:dyDescent="0.3">
      <c r="A22" s="21">
        <f>DETAILS!A21</f>
        <v>1605</v>
      </c>
      <c r="B22" s="21" t="str">
        <f>DETAILS!B21</f>
        <v>KARUNESH SINGH</v>
      </c>
      <c r="C22" s="3">
        <f>'Pre-Board-II(Entry)'!C22</f>
        <v>0</v>
      </c>
      <c r="D22" s="3">
        <f>'Pre-Board-II(Entry)'!D22</f>
        <v>0</v>
      </c>
      <c r="E22" s="3">
        <f>'Pre-Board-II(Entry)'!E22</f>
        <v>0</v>
      </c>
      <c r="F22" s="3">
        <f>'Pre-Board-II(Entry)'!F22</f>
        <v>0</v>
      </c>
      <c r="G22" s="3">
        <f>'Pre-Board-II(Entry)'!G22</f>
        <v>0</v>
      </c>
      <c r="H22" s="3">
        <f>'Pre-Board-II(Entry)'!H22</f>
        <v>0</v>
      </c>
      <c r="I22" s="3">
        <f>'Pre-Board-II(Entry)'!I22</f>
        <v>0</v>
      </c>
      <c r="J22" s="3">
        <f>'Pre-Board-II(Entry)'!J22</f>
        <v>0</v>
      </c>
      <c r="K22" s="3">
        <f>'Pre-Board-II(Entry)'!K22</f>
        <v>0</v>
      </c>
      <c r="L22" s="3">
        <f>'Pre-Board-II(Entry)'!L22</f>
        <v>0</v>
      </c>
      <c r="M22" s="3">
        <f>'Pre-Board-II(Entry)'!M22</f>
        <v>0</v>
      </c>
      <c r="N22" s="3">
        <f>'Pre-Board-II(Entry)'!N22</f>
        <v>0</v>
      </c>
      <c r="O22" s="3">
        <f t="shared" si="0"/>
        <v>0</v>
      </c>
      <c r="P22" s="3">
        <f>'Pre-Board-II(Entry)'!P22</f>
        <v>0</v>
      </c>
      <c r="Q22" s="3">
        <f>'Pre-Board-II(Entry)'!Q22</f>
        <v>0</v>
      </c>
      <c r="R22" s="3">
        <f>'Pre-Board-II(Entry)'!R22</f>
        <v>0</v>
      </c>
      <c r="S22" s="3">
        <f>'Pre-Board-II(Entry)'!S22</f>
        <v>0</v>
      </c>
      <c r="T22" s="3">
        <f>'Pre-Board-II(Entry)'!T22</f>
        <v>0</v>
      </c>
      <c r="U22" s="3">
        <f>'Pre-Board-II(Entry)'!U22</f>
        <v>0</v>
      </c>
      <c r="V22" s="3">
        <f>'Pre-Board-II(Entry)'!V22</f>
        <v>0</v>
      </c>
    </row>
    <row r="23" spans="1:22" x14ac:dyDescent="0.3">
      <c r="A23" s="21">
        <f>DETAILS!A22</f>
        <v>1640</v>
      </c>
      <c r="B23" s="21" t="str">
        <f>DETAILS!B22</f>
        <v>KRISHNA GUPTA</v>
      </c>
      <c r="C23" s="3">
        <f>'Pre-Board-II(Entry)'!C23</f>
        <v>0</v>
      </c>
      <c r="D23" s="3">
        <f>'Pre-Board-II(Entry)'!D23</f>
        <v>0</v>
      </c>
      <c r="E23" s="3">
        <f>'Pre-Board-II(Entry)'!E23</f>
        <v>0</v>
      </c>
      <c r="F23" s="3">
        <f>'Pre-Board-II(Entry)'!F23</f>
        <v>0</v>
      </c>
      <c r="G23" s="3">
        <f>'Pre-Board-II(Entry)'!G23</f>
        <v>0</v>
      </c>
      <c r="H23" s="3">
        <f>'Pre-Board-II(Entry)'!H23</f>
        <v>0</v>
      </c>
      <c r="I23" s="3">
        <f>'Pre-Board-II(Entry)'!I23</f>
        <v>0</v>
      </c>
      <c r="J23" s="3">
        <f>'Pre-Board-II(Entry)'!J23</f>
        <v>0</v>
      </c>
      <c r="K23" s="3">
        <f>'Pre-Board-II(Entry)'!K23</f>
        <v>0</v>
      </c>
      <c r="L23" s="3">
        <f>'Pre-Board-II(Entry)'!L23</f>
        <v>0</v>
      </c>
      <c r="M23" s="3">
        <f>'Pre-Board-II(Entry)'!M23</f>
        <v>0</v>
      </c>
      <c r="N23" s="3">
        <f>'Pre-Board-II(Entry)'!N23</f>
        <v>0</v>
      </c>
      <c r="O23" s="3">
        <f t="shared" si="0"/>
        <v>0</v>
      </c>
      <c r="P23" s="3">
        <f>'Pre-Board-II(Entry)'!P23</f>
        <v>0</v>
      </c>
      <c r="Q23" s="3">
        <f>'Pre-Board-II(Entry)'!Q23</f>
        <v>0</v>
      </c>
      <c r="R23" s="3">
        <f>'Pre-Board-II(Entry)'!R23</f>
        <v>0</v>
      </c>
      <c r="S23" s="3">
        <f>'Pre-Board-II(Entry)'!S23</f>
        <v>0</v>
      </c>
      <c r="T23" s="3">
        <f>'Pre-Board-II(Entry)'!T23</f>
        <v>0</v>
      </c>
      <c r="U23" s="3">
        <f>'Pre-Board-II(Entry)'!U23</f>
        <v>0</v>
      </c>
      <c r="V23" s="3">
        <f>'Pre-Board-II(Entry)'!V23</f>
        <v>0</v>
      </c>
    </row>
    <row r="24" spans="1:22" x14ac:dyDescent="0.3">
      <c r="A24" s="21">
        <f>DETAILS!A23</f>
        <v>1678</v>
      </c>
      <c r="B24" s="21" t="str">
        <f>DETAILS!B23</f>
        <v>KUNAL DHANUK</v>
      </c>
      <c r="C24" s="3">
        <f>'Pre-Board-II(Entry)'!C24</f>
        <v>0</v>
      </c>
      <c r="D24" s="3">
        <f>'Pre-Board-II(Entry)'!D24</f>
        <v>0</v>
      </c>
      <c r="E24" s="3">
        <f>'Pre-Board-II(Entry)'!E24</f>
        <v>0</v>
      </c>
      <c r="F24" s="3">
        <f>'Pre-Board-II(Entry)'!F24</f>
        <v>0</v>
      </c>
      <c r="G24" s="3">
        <f>'Pre-Board-II(Entry)'!G24</f>
        <v>0</v>
      </c>
      <c r="H24" s="3">
        <f>'Pre-Board-II(Entry)'!H24</f>
        <v>0</v>
      </c>
      <c r="I24" s="3">
        <f>'Pre-Board-II(Entry)'!I24</f>
        <v>0</v>
      </c>
      <c r="J24" s="3">
        <f>'Pre-Board-II(Entry)'!J24</f>
        <v>0</v>
      </c>
      <c r="K24" s="3">
        <f>'Pre-Board-II(Entry)'!K24</f>
        <v>0</v>
      </c>
      <c r="L24" s="3">
        <f>'Pre-Board-II(Entry)'!L24</f>
        <v>0</v>
      </c>
      <c r="M24" s="3">
        <f>'Pre-Board-II(Entry)'!M24</f>
        <v>0</v>
      </c>
      <c r="N24" s="3">
        <f>'Pre-Board-II(Entry)'!N24</f>
        <v>0</v>
      </c>
      <c r="O24" s="3">
        <f t="shared" si="0"/>
        <v>0</v>
      </c>
      <c r="P24" s="3">
        <f>'Pre-Board-II(Entry)'!P24</f>
        <v>0</v>
      </c>
      <c r="Q24" s="3">
        <f>'Pre-Board-II(Entry)'!Q24</f>
        <v>0</v>
      </c>
      <c r="R24" s="3">
        <f>'Pre-Board-II(Entry)'!R24</f>
        <v>0</v>
      </c>
      <c r="S24" s="3">
        <f>'Pre-Board-II(Entry)'!S24</f>
        <v>0</v>
      </c>
      <c r="T24" s="3">
        <f>'Pre-Board-II(Entry)'!T24</f>
        <v>0</v>
      </c>
      <c r="U24" s="3">
        <f>'Pre-Board-II(Entry)'!U24</f>
        <v>0</v>
      </c>
      <c r="V24" s="3">
        <f>'Pre-Board-II(Entry)'!V24</f>
        <v>0</v>
      </c>
    </row>
    <row r="25" spans="1:22" x14ac:dyDescent="0.3">
      <c r="A25" s="21">
        <f>DETAILS!A24</f>
        <v>1330</v>
      </c>
      <c r="B25" s="21" t="str">
        <f>DETAILS!B24</f>
        <v>KUSHAGRA SINGH</v>
      </c>
      <c r="C25" s="3">
        <f>'Pre-Board-II(Entry)'!C25</f>
        <v>0</v>
      </c>
      <c r="D25" s="3">
        <f>'Pre-Board-II(Entry)'!D25</f>
        <v>0</v>
      </c>
      <c r="E25" s="3">
        <f>'Pre-Board-II(Entry)'!E25</f>
        <v>0</v>
      </c>
      <c r="F25" s="3">
        <f>'Pre-Board-II(Entry)'!F25</f>
        <v>0</v>
      </c>
      <c r="G25" s="3">
        <f>'Pre-Board-II(Entry)'!G25</f>
        <v>0</v>
      </c>
      <c r="H25" s="3">
        <f>'Pre-Board-II(Entry)'!H25</f>
        <v>0</v>
      </c>
      <c r="I25" s="3">
        <f>'Pre-Board-II(Entry)'!I25</f>
        <v>0</v>
      </c>
      <c r="J25" s="3">
        <f>'Pre-Board-II(Entry)'!J25</f>
        <v>0</v>
      </c>
      <c r="K25" s="3">
        <f>'Pre-Board-II(Entry)'!K25</f>
        <v>0</v>
      </c>
      <c r="L25" s="3">
        <f>'Pre-Board-II(Entry)'!L25</f>
        <v>0</v>
      </c>
      <c r="M25" s="3">
        <f>'Pre-Board-II(Entry)'!M25</f>
        <v>0</v>
      </c>
      <c r="N25" s="3">
        <f>'Pre-Board-II(Entry)'!N25</f>
        <v>0</v>
      </c>
      <c r="O25" s="3">
        <f t="shared" si="0"/>
        <v>0</v>
      </c>
      <c r="P25" s="3">
        <f>'Pre-Board-II(Entry)'!P25</f>
        <v>0</v>
      </c>
      <c r="Q25" s="3">
        <f>'Pre-Board-II(Entry)'!Q25</f>
        <v>0</v>
      </c>
      <c r="R25" s="3">
        <f>'Pre-Board-II(Entry)'!R25</f>
        <v>0</v>
      </c>
      <c r="S25" s="3">
        <f>'Pre-Board-II(Entry)'!S25</f>
        <v>0</v>
      </c>
      <c r="T25" s="3">
        <f>'Pre-Board-II(Entry)'!T25</f>
        <v>0</v>
      </c>
      <c r="U25" s="3">
        <f>'Pre-Board-II(Entry)'!U25</f>
        <v>0</v>
      </c>
      <c r="V25" s="3">
        <f>'Pre-Board-II(Entry)'!V25</f>
        <v>0</v>
      </c>
    </row>
    <row r="26" spans="1:22" x14ac:dyDescent="0.3">
      <c r="A26" s="21">
        <f>DETAILS!A25</f>
        <v>777</v>
      </c>
      <c r="B26" s="21" t="str">
        <f>DETAILS!B25</f>
        <v>MAHEE JAISWAL</v>
      </c>
      <c r="C26" s="3">
        <f>'Pre-Board-II(Entry)'!C26</f>
        <v>0</v>
      </c>
      <c r="D26" s="3">
        <f>'Pre-Board-II(Entry)'!D26</f>
        <v>0</v>
      </c>
      <c r="E26" s="3">
        <f>'Pre-Board-II(Entry)'!E26</f>
        <v>0</v>
      </c>
      <c r="F26" s="3">
        <f>'Pre-Board-II(Entry)'!F26</f>
        <v>0</v>
      </c>
      <c r="G26" s="3">
        <f>'Pre-Board-II(Entry)'!G26</f>
        <v>0</v>
      </c>
      <c r="H26" s="3">
        <f>'Pre-Board-II(Entry)'!H26</f>
        <v>0</v>
      </c>
      <c r="I26" s="3">
        <f>'Pre-Board-II(Entry)'!I26</f>
        <v>0</v>
      </c>
      <c r="J26" s="3">
        <f>'Pre-Board-II(Entry)'!J26</f>
        <v>0</v>
      </c>
      <c r="K26" s="3">
        <f>'Pre-Board-II(Entry)'!K26</f>
        <v>0</v>
      </c>
      <c r="L26" s="3">
        <f>'Pre-Board-II(Entry)'!L26</f>
        <v>0</v>
      </c>
      <c r="M26" s="3">
        <f>'Pre-Board-II(Entry)'!M26</f>
        <v>0</v>
      </c>
      <c r="N26" s="3">
        <f>'Pre-Board-II(Entry)'!N26</f>
        <v>0</v>
      </c>
      <c r="O26" s="3">
        <f t="shared" si="0"/>
        <v>0</v>
      </c>
      <c r="P26" s="3">
        <f>'Pre-Board-II(Entry)'!P26</f>
        <v>0</v>
      </c>
      <c r="Q26" s="3">
        <f>'Pre-Board-II(Entry)'!Q26</f>
        <v>0</v>
      </c>
      <c r="R26" s="3">
        <f>'Pre-Board-II(Entry)'!R26</f>
        <v>0</v>
      </c>
      <c r="S26" s="3">
        <f>'Pre-Board-II(Entry)'!S26</f>
        <v>0</v>
      </c>
      <c r="T26" s="3">
        <f>'Pre-Board-II(Entry)'!T26</f>
        <v>0</v>
      </c>
      <c r="U26" s="3">
        <f>'Pre-Board-II(Entry)'!U26</f>
        <v>0</v>
      </c>
      <c r="V26" s="3">
        <f>'Pre-Board-II(Entry)'!V26</f>
        <v>0</v>
      </c>
    </row>
    <row r="27" spans="1:22" x14ac:dyDescent="0.3">
      <c r="A27" s="21">
        <f>DETAILS!A26</f>
        <v>763</v>
      </c>
      <c r="B27" s="21" t="str">
        <f>DETAILS!B26</f>
        <v>MAHEK RAWAT</v>
      </c>
      <c r="C27" s="3">
        <f>'Pre-Board-II(Entry)'!C27</f>
        <v>0</v>
      </c>
      <c r="D27" s="3">
        <f>'Pre-Board-II(Entry)'!D27</f>
        <v>0</v>
      </c>
      <c r="E27" s="3">
        <f>'Pre-Board-II(Entry)'!E27</f>
        <v>0</v>
      </c>
      <c r="F27" s="3">
        <f>'Pre-Board-II(Entry)'!F27</f>
        <v>0</v>
      </c>
      <c r="G27" s="3">
        <f>'Pre-Board-II(Entry)'!G27</f>
        <v>0</v>
      </c>
      <c r="H27" s="3">
        <f>'Pre-Board-II(Entry)'!H27</f>
        <v>0</v>
      </c>
      <c r="I27" s="3">
        <f>'Pre-Board-II(Entry)'!I27</f>
        <v>0</v>
      </c>
      <c r="J27" s="3">
        <f>'Pre-Board-II(Entry)'!J27</f>
        <v>0</v>
      </c>
      <c r="K27" s="3">
        <f>'Pre-Board-II(Entry)'!K27</f>
        <v>0</v>
      </c>
      <c r="L27" s="3">
        <f>'Pre-Board-II(Entry)'!L27</f>
        <v>0</v>
      </c>
      <c r="M27" s="3">
        <f>'Pre-Board-II(Entry)'!M27</f>
        <v>0</v>
      </c>
      <c r="N27" s="3">
        <f>'Pre-Board-II(Entry)'!N27</f>
        <v>0</v>
      </c>
      <c r="O27" s="3">
        <f t="shared" si="0"/>
        <v>0</v>
      </c>
      <c r="P27" s="3">
        <f>'Pre-Board-II(Entry)'!P27</f>
        <v>0</v>
      </c>
      <c r="Q27" s="3">
        <f>'Pre-Board-II(Entry)'!Q27</f>
        <v>0</v>
      </c>
      <c r="R27" s="3">
        <f>'Pre-Board-II(Entry)'!R27</f>
        <v>0</v>
      </c>
      <c r="S27" s="3">
        <f>'Pre-Board-II(Entry)'!S27</f>
        <v>0</v>
      </c>
      <c r="T27" s="3">
        <f>'Pre-Board-II(Entry)'!T27</f>
        <v>0</v>
      </c>
      <c r="U27" s="3">
        <f>'Pre-Board-II(Entry)'!U27</f>
        <v>0</v>
      </c>
      <c r="V27" s="3">
        <f>'Pre-Board-II(Entry)'!V27</f>
        <v>0</v>
      </c>
    </row>
    <row r="28" spans="1:22" x14ac:dyDescent="0.3">
      <c r="A28" s="21">
        <f>DETAILS!A27</f>
        <v>1619</v>
      </c>
      <c r="B28" s="21" t="str">
        <f>DETAILS!B27</f>
        <v>MOHD FAIZ</v>
      </c>
      <c r="C28" s="3">
        <f>'Pre-Board-II(Entry)'!C28</f>
        <v>0</v>
      </c>
      <c r="D28" s="3">
        <f>'Pre-Board-II(Entry)'!D28</f>
        <v>0</v>
      </c>
      <c r="E28" s="3">
        <f>'Pre-Board-II(Entry)'!E28</f>
        <v>0</v>
      </c>
      <c r="F28" s="3">
        <f>'Pre-Board-II(Entry)'!F28</f>
        <v>0</v>
      </c>
      <c r="G28" s="3">
        <f>'Pre-Board-II(Entry)'!G28</f>
        <v>0</v>
      </c>
      <c r="H28" s="3">
        <f>'Pre-Board-II(Entry)'!H28</f>
        <v>0</v>
      </c>
      <c r="I28" s="3">
        <f>'Pre-Board-II(Entry)'!I28</f>
        <v>0</v>
      </c>
      <c r="J28" s="3">
        <f>'Pre-Board-II(Entry)'!J28</f>
        <v>0</v>
      </c>
      <c r="K28" s="3">
        <f>'Pre-Board-II(Entry)'!K28</f>
        <v>0</v>
      </c>
      <c r="L28" s="3">
        <f>'Pre-Board-II(Entry)'!L28</f>
        <v>0</v>
      </c>
      <c r="M28" s="3">
        <f>'Pre-Board-II(Entry)'!M28</f>
        <v>0</v>
      </c>
      <c r="N28" s="3">
        <f>'Pre-Board-II(Entry)'!N28</f>
        <v>0</v>
      </c>
      <c r="O28" s="3">
        <f t="shared" si="0"/>
        <v>0</v>
      </c>
      <c r="P28" s="3">
        <f>'Pre-Board-II(Entry)'!P28</f>
        <v>0</v>
      </c>
      <c r="Q28" s="3">
        <f>'Pre-Board-II(Entry)'!Q28</f>
        <v>0</v>
      </c>
      <c r="R28" s="3">
        <f>'Pre-Board-II(Entry)'!R28</f>
        <v>0</v>
      </c>
      <c r="S28" s="3">
        <f>'Pre-Board-II(Entry)'!S28</f>
        <v>0</v>
      </c>
      <c r="T28" s="3">
        <f>'Pre-Board-II(Entry)'!T28</f>
        <v>0</v>
      </c>
      <c r="U28" s="3">
        <f>'Pre-Board-II(Entry)'!U28</f>
        <v>0</v>
      </c>
      <c r="V28" s="3">
        <f>'Pre-Board-II(Entry)'!V28</f>
        <v>0</v>
      </c>
    </row>
    <row r="29" spans="1:22" x14ac:dyDescent="0.3">
      <c r="A29" s="21">
        <f>DETAILS!A28</f>
        <v>1687</v>
      </c>
      <c r="B29" s="21" t="str">
        <f>DETAILS!B28</f>
        <v>MOHINI YADAV</v>
      </c>
      <c r="C29" s="3">
        <f>'Pre-Board-II(Entry)'!C29</f>
        <v>0</v>
      </c>
      <c r="D29" s="3">
        <f>'Pre-Board-II(Entry)'!D29</f>
        <v>0</v>
      </c>
      <c r="E29" s="3">
        <f>'Pre-Board-II(Entry)'!E29</f>
        <v>0</v>
      </c>
      <c r="F29" s="3">
        <f>'Pre-Board-II(Entry)'!F29</f>
        <v>0</v>
      </c>
      <c r="G29" s="3">
        <f>'Pre-Board-II(Entry)'!G29</f>
        <v>0</v>
      </c>
      <c r="H29" s="3">
        <f>'Pre-Board-II(Entry)'!H29</f>
        <v>0</v>
      </c>
      <c r="I29" s="3">
        <f>'Pre-Board-II(Entry)'!I29</f>
        <v>0</v>
      </c>
      <c r="J29" s="3">
        <f>'Pre-Board-II(Entry)'!J29</f>
        <v>0</v>
      </c>
      <c r="K29" s="3">
        <f>'Pre-Board-II(Entry)'!K29</f>
        <v>0</v>
      </c>
      <c r="L29" s="3">
        <f>'Pre-Board-II(Entry)'!L29</f>
        <v>0</v>
      </c>
      <c r="M29" s="3">
        <f>'Pre-Board-II(Entry)'!M29</f>
        <v>0</v>
      </c>
      <c r="N29" s="3">
        <f>'Pre-Board-II(Entry)'!N29</f>
        <v>0</v>
      </c>
      <c r="O29" s="3">
        <f t="shared" si="0"/>
        <v>0</v>
      </c>
      <c r="P29" s="3">
        <f>'Pre-Board-II(Entry)'!P29</f>
        <v>0</v>
      </c>
      <c r="Q29" s="3">
        <f>'Pre-Board-II(Entry)'!Q29</f>
        <v>0</v>
      </c>
      <c r="R29" s="3">
        <f>'Pre-Board-II(Entry)'!R29</f>
        <v>0</v>
      </c>
      <c r="S29" s="3">
        <f>'Pre-Board-II(Entry)'!S29</f>
        <v>0</v>
      </c>
      <c r="T29" s="3">
        <f>'Pre-Board-II(Entry)'!T29</f>
        <v>0</v>
      </c>
      <c r="U29" s="3">
        <f>'Pre-Board-II(Entry)'!U29</f>
        <v>0</v>
      </c>
      <c r="V29" s="3">
        <f>'Pre-Board-II(Entry)'!V29</f>
        <v>0</v>
      </c>
    </row>
    <row r="30" spans="1:22" x14ac:dyDescent="0.3">
      <c r="A30" s="21">
        <f>DETAILS!A29</f>
        <v>1653</v>
      </c>
      <c r="B30" s="21" t="str">
        <f>DETAILS!B29</f>
        <v>MUSKAN MEENA</v>
      </c>
      <c r="C30" s="3">
        <f>'Pre-Board-II(Entry)'!C30</f>
        <v>0</v>
      </c>
      <c r="D30" s="3">
        <f>'Pre-Board-II(Entry)'!D30</f>
        <v>0</v>
      </c>
      <c r="E30" s="3">
        <f>'Pre-Board-II(Entry)'!E30</f>
        <v>0</v>
      </c>
      <c r="F30" s="3">
        <f>'Pre-Board-II(Entry)'!F30</f>
        <v>0</v>
      </c>
      <c r="G30" s="3">
        <f>'Pre-Board-II(Entry)'!G30</f>
        <v>0</v>
      </c>
      <c r="H30" s="3">
        <f>'Pre-Board-II(Entry)'!H30</f>
        <v>0</v>
      </c>
      <c r="I30" s="3">
        <f>'Pre-Board-II(Entry)'!I30</f>
        <v>0</v>
      </c>
      <c r="J30" s="3">
        <f>'Pre-Board-II(Entry)'!J30</f>
        <v>0</v>
      </c>
      <c r="K30" s="3">
        <f>'Pre-Board-II(Entry)'!K30</f>
        <v>0</v>
      </c>
      <c r="L30" s="3">
        <f>'Pre-Board-II(Entry)'!L30</f>
        <v>0</v>
      </c>
      <c r="M30" s="3">
        <f>'Pre-Board-II(Entry)'!M30</f>
        <v>0</v>
      </c>
      <c r="N30" s="3">
        <f>'Pre-Board-II(Entry)'!N30</f>
        <v>0</v>
      </c>
      <c r="O30" s="3">
        <f t="shared" si="0"/>
        <v>0</v>
      </c>
      <c r="P30" s="3">
        <f>'Pre-Board-II(Entry)'!P30</f>
        <v>0</v>
      </c>
      <c r="Q30" s="3">
        <f>'Pre-Board-II(Entry)'!Q30</f>
        <v>0</v>
      </c>
      <c r="R30" s="3">
        <f>'Pre-Board-II(Entry)'!R30</f>
        <v>0</v>
      </c>
      <c r="S30" s="3">
        <f>'Pre-Board-II(Entry)'!S30</f>
        <v>0</v>
      </c>
      <c r="T30" s="3">
        <f>'Pre-Board-II(Entry)'!T30</f>
        <v>0</v>
      </c>
      <c r="U30" s="3">
        <f>'Pre-Board-II(Entry)'!U30</f>
        <v>0</v>
      </c>
      <c r="V30" s="3">
        <f>'Pre-Board-II(Entry)'!V30</f>
        <v>0</v>
      </c>
    </row>
    <row r="31" spans="1:22" x14ac:dyDescent="0.3">
      <c r="A31" s="21">
        <f>DETAILS!A30</f>
        <v>1700</v>
      </c>
      <c r="B31" s="21" t="str">
        <f>DETAILS!B30</f>
        <v>NASHRA</v>
      </c>
      <c r="C31" s="3">
        <f>'Pre-Board-II(Entry)'!C31</f>
        <v>0</v>
      </c>
      <c r="D31" s="3">
        <f>'Pre-Board-II(Entry)'!D31</f>
        <v>0</v>
      </c>
      <c r="E31" s="3">
        <f>'Pre-Board-II(Entry)'!E31</f>
        <v>0</v>
      </c>
      <c r="F31" s="3">
        <f>'Pre-Board-II(Entry)'!F31</f>
        <v>0</v>
      </c>
      <c r="G31" s="3">
        <f>'Pre-Board-II(Entry)'!G31</f>
        <v>0</v>
      </c>
      <c r="H31" s="3">
        <f>'Pre-Board-II(Entry)'!H31</f>
        <v>0</v>
      </c>
      <c r="I31" s="3">
        <f>'Pre-Board-II(Entry)'!I31</f>
        <v>0</v>
      </c>
      <c r="J31" s="3">
        <f>'Pre-Board-II(Entry)'!J31</f>
        <v>0</v>
      </c>
      <c r="K31" s="3">
        <f>'Pre-Board-II(Entry)'!K31</f>
        <v>0</v>
      </c>
      <c r="L31" s="3">
        <f>'Pre-Board-II(Entry)'!L31</f>
        <v>0</v>
      </c>
      <c r="M31" s="3">
        <f>'Pre-Board-II(Entry)'!M31</f>
        <v>0</v>
      </c>
      <c r="N31" s="3">
        <f>'Pre-Board-II(Entry)'!N31</f>
        <v>0</v>
      </c>
      <c r="O31" s="3">
        <f t="shared" si="0"/>
        <v>0</v>
      </c>
      <c r="P31" s="3">
        <f>'Pre-Board-II(Entry)'!P31</f>
        <v>0</v>
      </c>
      <c r="Q31" s="3">
        <f>'Pre-Board-II(Entry)'!Q31</f>
        <v>0</v>
      </c>
      <c r="R31" s="3">
        <f>'Pre-Board-II(Entry)'!R31</f>
        <v>0</v>
      </c>
      <c r="S31" s="3">
        <f>'Pre-Board-II(Entry)'!S31</f>
        <v>0</v>
      </c>
      <c r="T31" s="3">
        <f>'Pre-Board-II(Entry)'!T31</f>
        <v>0</v>
      </c>
      <c r="U31" s="3">
        <f>'Pre-Board-II(Entry)'!U31</f>
        <v>0</v>
      </c>
      <c r="V31" s="3">
        <f>'Pre-Board-II(Entry)'!V31</f>
        <v>0</v>
      </c>
    </row>
    <row r="32" spans="1:22" x14ac:dyDescent="0.3">
      <c r="A32" s="21">
        <f>DETAILS!A31</f>
        <v>1603</v>
      </c>
      <c r="B32" s="21" t="str">
        <f>DETAILS!B31</f>
        <v>PRAGATI TIWARI</v>
      </c>
      <c r="C32" s="3">
        <f>'Pre-Board-II(Entry)'!C32</f>
        <v>0</v>
      </c>
      <c r="D32" s="3">
        <f>'Pre-Board-II(Entry)'!D32</f>
        <v>0</v>
      </c>
      <c r="E32" s="3">
        <f>'Pre-Board-II(Entry)'!E32</f>
        <v>0</v>
      </c>
      <c r="F32" s="3">
        <f>'Pre-Board-II(Entry)'!F32</f>
        <v>0</v>
      </c>
      <c r="G32" s="3">
        <f>'Pre-Board-II(Entry)'!G32</f>
        <v>0</v>
      </c>
      <c r="H32" s="3">
        <f>'Pre-Board-II(Entry)'!H32</f>
        <v>0</v>
      </c>
      <c r="I32" s="3">
        <f>'Pre-Board-II(Entry)'!I32</f>
        <v>0</v>
      </c>
      <c r="J32" s="3">
        <f>'Pre-Board-II(Entry)'!J32</f>
        <v>0</v>
      </c>
      <c r="K32" s="3">
        <f>'Pre-Board-II(Entry)'!K32</f>
        <v>0</v>
      </c>
      <c r="L32" s="3">
        <f>'Pre-Board-II(Entry)'!L32</f>
        <v>0</v>
      </c>
      <c r="M32" s="3">
        <f>'Pre-Board-II(Entry)'!M32</f>
        <v>0</v>
      </c>
      <c r="N32" s="3">
        <f>'Pre-Board-II(Entry)'!N32</f>
        <v>0</v>
      </c>
      <c r="O32" s="3">
        <f t="shared" si="0"/>
        <v>0</v>
      </c>
      <c r="P32" s="3">
        <f>'Pre-Board-II(Entry)'!P32</f>
        <v>0</v>
      </c>
      <c r="Q32" s="3">
        <f>'Pre-Board-II(Entry)'!Q32</f>
        <v>0</v>
      </c>
      <c r="R32" s="3">
        <f>'Pre-Board-II(Entry)'!R32</f>
        <v>0</v>
      </c>
      <c r="S32" s="3">
        <f>'Pre-Board-II(Entry)'!S32</f>
        <v>0</v>
      </c>
      <c r="T32" s="3">
        <f>'Pre-Board-II(Entry)'!T32</f>
        <v>0</v>
      </c>
      <c r="U32" s="3">
        <f>'Pre-Board-II(Entry)'!U32</f>
        <v>0</v>
      </c>
      <c r="V32" s="3">
        <f>'Pre-Board-II(Entry)'!V32</f>
        <v>0</v>
      </c>
    </row>
    <row r="33" spans="1:22" x14ac:dyDescent="0.3">
      <c r="A33" s="21">
        <f>DETAILS!A32</f>
        <v>764</v>
      </c>
      <c r="B33" s="21" t="str">
        <f>DETAILS!B32</f>
        <v>PRAKHAR VERMA</v>
      </c>
      <c r="C33" s="3">
        <f>'Pre-Board-II(Entry)'!C33</f>
        <v>0</v>
      </c>
      <c r="D33" s="3">
        <f>'Pre-Board-II(Entry)'!D33</f>
        <v>0</v>
      </c>
      <c r="E33" s="3">
        <f>'Pre-Board-II(Entry)'!E33</f>
        <v>0</v>
      </c>
      <c r="F33" s="3">
        <f>'Pre-Board-II(Entry)'!F33</f>
        <v>0</v>
      </c>
      <c r="G33" s="3">
        <f>'Pre-Board-II(Entry)'!G33</f>
        <v>0</v>
      </c>
      <c r="H33" s="3">
        <f>'Pre-Board-II(Entry)'!H33</f>
        <v>0</v>
      </c>
      <c r="I33" s="3">
        <f>'Pre-Board-II(Entry)'!I33</f>
        <v>0</v>
      </c>
      <c r="J33" s="3">
        <f>'Pre-Board-II(Entry)'!J33</f>
        <v>0</v>
      </c>
      <c r="K33" s="3">
        <f>'Pre-Board-II(Entry)'!K33</f>
        <v>0</v>
      </c>
      <c r="L33" s="3">
        <f>'Pre-Board-II(Entry)'!L33</f>
        <v>0</v>
      </c>
      <c r="M33" s="3">
        <f>'Pre-Board-II(Entry)'!M33</f>
        <v>0</v>
      </c>
      <c r="N33" s="3">
        <f>'Pre-Board-II(Entry)'!N33</f>
        <v>0</v>
      </c>
      <c r="O33" s="3">
        <f t="shared" si="0"/>
        <v>0</v>
      </c>
      <c r="P33" s="3">
        <f>'Pre-Board-II(Entry)'!P33</f>
        <v>0</v>
      </c>
      <c r="Q33" s="3">
        <f>'Pre-Board-II(Entry)'!Q33</f>
        <v>0</v>
      </c>
      <c r="R33" s="3">
        <f>'Pre-Board-II(Entry)'!R33</f>
        <v>0</v>
      </c>
      <c r="S33" s="3">
        <f>'Pre-Board-II(Entry)'!S33</f>
        <v>0</v>
      </c>
      <c r="T33" s="3">
        <f>'Pre-Board-II(Entry)'!T33</f>
        <v>0</v>
      </c>
      <c r="U33" s="3">
        <f>'Pre-Board-II(Entry)'!U33</f>
        <v>0</v>
      </c>
      <c r="V33" s="3">
        <f>'Pre-Board-II(Entry)'!V33</f>
        <v>0</v>
      </c>
    </row>
    <row r="34" spans="1:22" x14ac:dyDescent="0.3">
      <c r="A34" s="21">
        <f>DETAILS!A33</f>
        <v>1301</v>
      </c>
      <c r="B34" s="21" t="str">
        <f>DETAILS!B33</f>
        <v>PRASHANT YADAV</v>
      </c>
      <c r="C34" s="3">
        <f>'Pre-Board-II(Entry)'!C34</f>
        <v>0</v>
      </c>
      <c r="D34" s="3">
        <f>'Pre-Board-II(Entry)'!D34</f>
        <v>0</v>
      </c>
      <c r="E34" s="3">
        <f>'Pre-Board-II(Entry)'!E34</f>
        <v>0</v>
      </c>
      <c r="F34" s="3">
        <f>'Pre-Board-II(Entry)'!F34</f>
        <v>0</v>
      </c>
      <c r="G34" s="3">
        <f>'Pre-Board-II(Entry)'!G34</f>
        <v>0</v>
      </c>
      <c r="H34" s="3">
        <f>'Pre-Board-II(Entry)'!H34</f>
        <v>0</v>
      </c>
      <c r="I34" s="3">
        <f>'Pre-Board-II(Entry)'!I34</f>
        <v>0</v>
      </c>
      <c r="J34" s="3">
        <f>'Pre-Board-II(Entry)'!J34</f>
        <v>0</v>
      </c>
      <c r="K34" s="3">
        <f>'Pre-Board-II(Entry)'!K34</f>
        <v>0</v>
      </c>
      <c r="L34" s="3">
        <f>'Pre-Board-II(Entry)'!L34</f>
        <v>0</v>
      </c>
      <c r="M34" s="3">
        <f>'Pre-Board-II(Entry)'!M34</f>
        <v>0</v>
      </c>
      <c r="N34" s="3">
        <f>'Pre-Board-II(Entry)'!N34</f>
        <v>0</v>
      </c>
      <c r="O34" s="3">
        <f t="shared" si="0"/>
        <v>0</v>
      </c>
      <c r="P34" s="3">
        <f>'Pre-Board-II(Entry)'!P34</f>
        <v>0</v>
      </c>
      <c r="Q34" s="3">
        <f>'Pre-Board-II(Entry)'!Q34</f>
        <v>0</v>
      </c>
      <c r="R34" s="3">
        <f>'Pre-Board-II(Entry)'!R34</f>
        <v>0</v>
      </c>
      <c r="S34" s="3">
        <f>'Pre-Board-II(Entry)'!S34</f>
        <v>0</v>
      </c>
      <c r="T34" s="3">
        <f>'Pre-Board-II(Entry)'!T34</f>
        <v>0</v>
      </c>
      <c r="U34" s="3">
        <f>'Pre-Board-II(Entry)'!U34</f>
        <v>0</v>
      </c>
      <c r="V34" s="3">
        <f>'Pre-Board-II(Entry)'!V34</f>
        <v>0</v>
      </c>
    </row>
    <row r="35" spans="1:22" x14ac:dyDescent="0.3">
      <c r="A35" s="21">
        <f>DETAILS!A34</f>
        <v>1641</v>
      </c>
      <c r="B35" s="21" t="str">
        <f>DETAILS!B34</f>
        <v>PRIYANSHU YADAV</v>
      </c>
      <c r="C35" s="3">
        <f>'Pre-Board-II(Entry)'!C35</f>
        <v>0</v>
      </c>
      <c r="D35" s="3">
        <f>'Pre-Board-II(Entry)'!D35</f>
        <v>0</v>
      </c>
      <c r="E35" s="3">
        <f>'Pre-Board-II(Entry)'!E35</f>
        <v>0</v>
      </c>
      <c r="F35" s="3">
        <f>'Pre-Board-II(Entry)'!F35</f>
        <v>0</v>
      </c>
      <c r="G35" s="3">
        <f>'Pre-Board-II(Entry)'!G35</f>
        <v>0</v>
      </c>
      <c r="H35" s="3">
        <f>'Pre-Board-II(Entry)'!H35</f>
        <v>0</v>
      </c>
      <c r="I35" s="3">
        <f>'Pre-Board-II(Entry)'!I35</f>
        <v>0</v>
      </c>
      <c r="J35" s="3">
        <f>'Pre-Board-II(Entry)'!J35</f>
        <v>0</v>
      </c>
      <c r="K35" s="3">
        <f>'Pre-Board-II(Entry)'!K35</f>
        <v>0</v>
      </c>
      <c r="L35" s="3">
        <f>'Pre-Board-II(Entry)'!L35</f>
        <v>0</v>
      </c>
      <c r="M35" s="3">
        <f>'Pre-Board-II(Entry)'!M35</f>
        <v>0</v>
      </c>
      <c r="N35" s="3">
        <f>'Pre-Board-II(Entry)'!N35</f>
        <v>0</v>
      </c>
      <c r="O35" s="3">
        <f t="shared" si="0"/>
        <v>0</v>
      </c>
      <c r="P35" s="3">
        <f>'Pre-Board-II(Entry)'!P35</f>
        <v>0</v>
      </c>
      <c r="Q35" s="3">
        <f>'Pre-Board-II(Entry)'!Q35</f>
        <v>0</v>
      </c>
      <c r="R35" s="3">
        <f>'Pre-Board-II(Entry)'!R35</f>
        <v>0</v>
      </c>
      <c r="S35" s="3">
        <f>'Pre-Board-II(Entry)'!S35</f>
        <v>0</v>
      </c>
      <c r="T35" s="3">
        <f>'Pre-Board-II(Entry)'!T35</f>
        <v>0</v>
      </c>
      <c r="U35" s="3">
        <f>'Pre-Board-II(Entry)'!U35</f>
        <v>0</v>
      </c>
      <c r="V35" s="3">
        <f>'Pre-Board-II(Entry)'!V35</f>
        <v>0</v>
      </c>
    </row>
    <row r="36" spans="1:22" x14ac:dyDescent="0.3">
      <c r="A36" s="21">
        <f>DETAILS!A35</f>
        <v>1669</v>
      </c>
      <c r="B36" s="21" t="str">
        <f>DETAILS!B35</f>
        <v>RAUNAK KUMAR</v>
      </c>
      <c r="C36" s="3">
        <f>'Pre-Board-II(Entry)'!C36</f>
        <v>0</v>
      </c>
      <c r="D36" s="3">
        <f>'Pre-Board-II(Entry)'!D36</f>
        <v>0</v>
      </c>
      <c r="E36" s="3">
        <f>'Pre-Board-II(Entry)'!E36</f>
        <v>0</v>
      </c>
      <c r="F36" s="3">
        <f>'Pre-Board-II(Entry)'!F36</f>
        <v>0</v>
      </c>
      <c r="G36" s="3">
        <f>'Pre-Board-II(Entry)'!G36</f>
        <v>0</v>
      </c>
      <c r="H36" s="3">
        <f>'Pre-Board-II(Entry)'!H36</f>
        <v>0</v>
      </c>
      <c r="I36" s="3">
        <f>'Pre-Board-II(Entry)'!I36</f>
        <v>0</v>
      </c>
      <c r="J36" s="3">
        <f>'Pre-Board-II(Entry)'!J36</f>
        <v>0</v>
      </c>
      <c r="K36" s="3">
        <f>'Pre-Board-II(Entry)'!K36</f>
        <v>0</v>
      </c>
      <c r="L36" s="3">
        <f>'Pre-Board-II(Entry)'!L36</f>
        <v>0</v>
      </c>
      <c r="M36" s="3">
        <f>'Pre-Board-II(Entry)'!M36</f>
        <v>0</v>
      </c>
      <c r="N36" s="3">
        <f>'Pre-Board-II(Entry)'!N36</f>
        <v>0</v>
      </c>
      <c r="O36" s="3">
        <f t="shared" si="0"/>
        <v>0</v>
      </c>
      <c r="P36" s="3">
        <f>'Pre-Board-II(Entry)'!P36</f>
        <v>0</v>
      </c>
      <c r="Q36" s="3">
        <f>'Pre-Board-II(Entry)'!Q36</f>
        <v>0</v>
      </c>
      <c r="R36" s="3">
        <f>'Pre-Board-II(Entry)'!R36</f>
        <v>0</v>
      </c>
      <c r="S36" s="3">
        <f>'Pre-Board-II(Entry)'!S36</f>
        <v>0</v>
      </c>
      <c r="T36" s="3">
        <f>'Pre-Board-II(Entry)'!T36</f>
        <v>0</v>
      </c>
      <c r="U36" s="3">
        <f>'Pre-Board-II(Entry)'!U36</f>
        <v>0</v>
      </c>
      <c r="V36" s="3">
        <f>'Pre-Board-II(Entry)'!V36</f>
        <v>0</v>
      </c>
    </row>
    <row r="37" spans="1:22" x14ac:dyDescent="0.3">
      <c r="A37" s="21">
        <f>DETAILS!A36</f>
        <v>806</v>
      </c>
      <c r="B37" s="21" t="str">
        <f>DETAILS!B36</f>
        <v>SAMRIDH SRIVASTAVA</v>
      </c>
      <c r="C37" s="3">
        <f>'Pre-Board-II(Entry)'!C37</f>
        <v>0</v>
      </c>
      <c r="D37" s="3">
        <f>'Pre-Board-II(Entry)'!D37</f>
        <v>0</v>
      </c>
      <c r="E37" s="3">
        <f>'Pre-Board-II(Entry)'!E37</f>
        <v>0</v>
      </c>
      <c r="F37" s="3">
        <f>'Pre-Board-II(Entry)'!F37</f>
        <v>0</v>
      </c>
      <c r="G37" s="3">
        <f>'Pre-Board-II(Entry)'!G37</f>
        <v>0</v>
      </c>
      <c r="H37" s="3">
        <f>'Pre-Board-II(Entry)'!H37</f>
        <v>0</v>
      </c>
      <c r="I37" s="3">
        <f>'Pre-Board-II(Entry)'!I37</f>
        <v>0</v>
      </c>
      <c r="J37" s="3">
        <f>'Pre-Board-II(Entry)'!J37</f>
        <v>0</v>
      </c>
      <c r="K37" s="3">
        <f>'Pre-Board-II(Entry)'!K37</f>
        <v>0</v>
      </c>
      <c r="L37" s="3">
        <f>'Pre-Board-II(Entry)'!L37</f>
        <v>0</v>
      </c>
      <c r="M37" s="3">
        <f>'Pre-Board-II(Entry)'!M37</f>
        <v>0</v>
      </c>
      <c r="N37" s="3">
        <f>'Pre-Board-II(Entry)'!N37</f>
        <v>0</v>
      </c>
      <c r="O37" s="3">
        <f t="shared" si="0"/>
        <v>0</v>
      </c>
      <c r="P37" s="3">
        <f>'Pre-Board-II(Entry)'!P37</f>
        <v>0</v>
      </c>
      <c r="Q37" s="3">
        <f>'Pre-Board-II(Entry)'!Q37</f>
        <v>0</v>
      </c>
      <c r="R37" s="3">
        <f>'Pre-Board-II(Entry)'!R37</f>
        <v>0</v>
      </c>
      <c r="S37" s="3">
        <f>'Pre-Board-II(Entry)'!S37</f>
        <v>0</v>
      </c>
      <c r="T37" s="3">
        <f>'Pre-Board-II(Entry)'!T37</f>
        <v>0</v>
      </c>
      <c r="U37" s="3">
        <f>'Pre-Board-II(Entry)'!U37</f>
        <v>0</v>
      </c>
      <c r="V37" s="3">
        <f>'Pre-Board-II(Entry)'!V37</f>
        <v>0</v>
      </c>
    </row>
    <row r="38" spans="1:22" x14ac:dyDescent="0.3">
      <c r="A38" s="21">
        <f>DETAILS!A37</f>
        <v>1367</v>
      </c>
      <c r="B38" s="21" t="str">
        <f>DETAILS!B37</f>
        <v>SATYAM  SINGH</v>
      </c>
      <c r="C38" s="3">
        <f>'Pre-Board-II(Entry)'!C38</f>
        <v>0</v>
      </c>
      <c r="D38" s="3">
        <f>'Pre-Board-II(Entry)'!D38</f>
        <v>0</v>
      </c>
      <c r="E38" s="3">
        <f>'Pre-Board-II(Entry)'!E38</f>
        <v>0</v>
      </c>
      <c r="F38" s="3">
        <f>'Pre-Board-II(Entry)'!F38</f>
        <v>0</v>
      </c>
      <c r="G38" s="3">
        <f>'Pre-Board-II(Entry)'!G38</f>
        <v>0</v>
      </c>
      <c r="H38" s="3">
        <f>'Pre-Board-II(Entry)'!H38</f>
        <v>0</v>
      </c>
      <c r="I38" s="3">
        <f>'Pre-Board-II(Entry)'!I38</f>
        <v>0</v>
      </c>
      <c r="J38" s="3">
        <f>'Pre-Board-II(Entry)'!J38</f>
        <v>0</v>
      </c>
      <c r="K38" s="3">
        <f>'Pre-Board-II(Entry)'!K38</f>
        <v>0</v>
      </c>
      <c r="L38" s="3">
        <f>'Pre-Board-II(Entry)'!L38</f>
        <v>0</v>
      </c>
      <c r="M38" s="3">
        <f>'Pre-Board-II(Entry)'!M38</f>
        <v>0</v>
      </c>
      <c r="N38" s="3">
        <f>'Pre-Board-II(Entry)'!N38</f>
        <v>0</v>
      </c>
      <c r="O38" s="3">
        <f t="shared" si="0"/>
        <v>0</v>
      </c>
      <c r="P38" s="3">
        <f>'Pre-Board-II(Entry)'!P38</f>
        <v>0</v>
      </c>
      <c r="Q38" s="3">
        <f>'Pre-Board-II(Entry)'!Q38</f>
        <v>0</v>
      </c>
      <c r="R38" s="3">
        <f>'Pre-Board-II(Entry)'!R38</f>
        <v>0</v>
      </c>
      <c r="S38" s="3">
        <f>'Pre-Board-II(Entry)'!S38</f>
        <v>0</v>
      </c>
      <c r="T38" s="3">
        <f>'Pre-Board-II(Entry)'!T38</f>
        <v>0</v>
      </c>
      <c r="U38" s="3">
        <f>'Pre-Board-II(Entry)'!U38</f>
        <v>0</v>
      </c>
      <c r="V38" s="3">
        <f>'Pre-Board-II(Entry)'!V38</f>
        <v>0</v>
      </c>
    </row>
    <row r="39" spans="1:22" x14ac:dyDescent="0.3">
      <c r="A39" s="21">
        <f>DETAILS!A38</f>
        <v>1629</v>
      </c>
      <c r="B39" s="21" t="str">
        <f>DETAILS!B38</f>
        <v>SHAVI JAISWAL</v>
      </c>
      <c r="C39" s="3">
        <f>'Pre-Board-II(Entry)'!C39</f>
        <v>0</v>
      </c>
      <c r="D39" s="3">
        <f>'Pre-Board-II(Entry)'!D39</f>
        <v>0</v>
      </c>
      <c r="E39" s="3">
        <f>'Pre-Board-II(Entry)'!E39</f>
        <v>0</v>
      </c>
      <c r="F39" s="3">
        <f>'Pre-Board-II(Entry)'!F39</f>
        <v>0</v>
      </c>
      <c r="G39" s="3">
        <f>'Pre-Board-II(Entry)'!G39</f>
        <v>0</v>
      </c>
      <c r="H39" s="3">
        <f>'Pre-Board-II(Entry)'!H39</f>
        <v>0</v>
      </c>
      <c r="I39" s="3">
        <f>'Pre-Board-II(Entry)'!I39</f>
        <v>0</v>
      </c>
      <c r="J39" s="3">
        <f>'Pre-Board-II(Entry)'!J39</f>
        <v>0</v>
      </c>
      <c r="K39" s="3">
        <f>'Pre-Board-II(Entry)'!K39</f>
        <v>0</v>
      </c>
      <c r="L39" s="3">
        <f>'Pre-Board-II(Entry)'!L39</f>
        <v>0</v>
      </c>
      <c r="M39" s="3">
        <f>'Pre-Board-II(Entry)'!M39</f>
        <v>0</v>
      </c>
      <c r="N39" s="3">
        <f>'Pre-Board-II(Entry)'!N39</f>
        <v>0</v>
      </c>
      <c r="O39" s="3">
        <f t="shared" si="0"/>
        <v>0</v>
      </c>
      <c r="P39" s="3">
        <f>'Pre-Board-II(Entry)'!P39</f>
        <v>0</v>
      </c>
      <c r="Q39" s="3">
        <f>'Pre-Board-II(Entry)'!Q39</f>
        <v>0</v>
      </c>
      <c r="R39" s="3">
        <f>'Pre-Board-II(Entry)'!R39</f>
        <v>0</v>
      </c>
      <c r="S39" s="3">
        <f>'Pre-Board-II(Entry)'!S39</f>
        <v>0</v>
      </c>
      <c r="T39" s="3">
        <f>'Pre-Board-II(Entry)'!T39</f>
        <v>0</v>
      </c>
      <c r="U39" s="3">
        <f>'Pre-Board-II(Entry)'!U39</f>
        <v>0</v>
      </c>
      <c r="V39" s="3">
        <f>'Pre-Board-II(Entry)'!V39</f>
        <v>0</v>
      </c>
    </row>
    <row r="40" spans="1:22" x14ac:dyDescent="0.3">
      <c r="A40" s="21">
        <f>DETAILS!A39</f>
        <v>1667</v>
      </c>
      <c r="B40" s="21" t="str">
        <f>DETAILS!B39</f>
        <v>SHIVA VERMA</v>
      </c>
      <c r="C40" s="3">
        <f>'Pre-Board-II(Entry)'!C40</f>
        <v>0</v>
      </c>
      <c r="D40" s="3">
        <f>'Pre-Board-II(Entry)'!D40</f>
        <v>0</v>
      </c>
      <c r="E40" s="3">
        <f>'Pre-Board-II(Entry)'!E40</f>
        <v>0</v>
      </c>
      <c r="F40" s="3">
        <f>'Pre-Board-II(Entry)'!F40</f>
        <v>0</v>
      </c>
      <c r="G40" s="3">
        <f>'Pre-Board-II(Entry)'!G40</f>
        <v>0</v>
      </c>
      <c r="H40" s="3">
        <f>'Pre-Board-II(Entry)'!H40</f>
        <v>0</v>
      </c>
      <c r="I40" s="3">
        <f>'Pre-Board-II(Entry)'!I40</f>
        <v>0</v>
      </c>
      <c r="J40" s="3">
        <f>'Pre-Board-II(Entry)'!J40</f>
        <v>0</v>
      </c>
      <c r="K40" s="3">
        <f>'Pre-Board-II(Entry)'!K40</f>
        <v>0</v>
      </c>
      <c r="L40" s="3">
        <f>'Pre-Board-II(Entry)'!L40</f>
        <v>0</v>
      </c>
      <c r="M40" s="3">
        <f>'Pre-Board-II(Entry)'!M40</f>
        <v>0</v>
      </c>
      <c r="N40" s="3">
        <f>'Pre-Board-II(Entry)'!N40</f>
        <v>0</v>
      </c>
      <c r="O40" s="3">
        <f t="shared" si="0"/>
        <v>0</v>
      </c>
      <c r="P40" s="3">
        <f>'Pre-Board-II(Entry)'!P40</f>
        <v>0</v>
      </c>
      <c r="Q40" s="3">
        <f>'Pre-Board-II(Entry)'!Q40</f>
        <v>0</v>
      </c>
      <c r="R40" s="3">
        <f>'Pre-Board-II(Entry)'!R40</f>
        <v>0</v>
      </c>
      <c r="S40" s="3">
        <f>'Pre-Board-II(Entry)'!S40</f>
        <v>0</v>
      </c>
      <c r="T40" s="3">
        <f>'Pre-Board-II(Entry)'!T40</f>
        <v>0</v>
      </c>
      <c r="U40" s="3">
        <f>'Pre-Board-II(Entry)'!U40</f>
        <v>0</v>
      </c>
      <c r="V40" s="3">
        <f>'Pre-Board-II(Entry)'!V40</f>
        <v>0</v>
      </c>
    </row>
    <row r="41" spans="1:22" x14ac:dyDescent="0.3">
      <c r="A41" s="21">
        <f>DETAILS!A40</f>
        <v>1614</v>
      </c>
      <c r="B41" s="21" t="str">
        <f>DETAILS!B40</f>
        <v>SHRISTI PATEL</v>
      </c>
      <c r="C41" s="3">
        <f>'Pre-Board-II(Entry)'!C41</f>
        <v>0</v>
      </c>
      <c r="D41" s="3">
        <f>'Pre-Board-II(Entry)'!D41</f>
        <v>0</v>
      </c>
      <c r="E41" s="3">
        <f>'Pre-Board-II(Entry)'!E41</f>
        <v>0</v>
      </c>
      <c r="F41" s="3">
        <f>'Pre-Board-II(Entry)'!F41</f>
        <v>0</v>
      </c>
      <c r="G41" s="3">
        <f>'Pre-Board-II(Entry)'!G41</f>
        <v>0</v>
      </c>
      <c r="H41" s="3">
        <f>'Pre-Board-II(Entry)'!H41</f>
        <v>0</v>
      </c>
      <c r="I41" s="3">
        <f>'Pre-Board-II(Entry)'!I41</f>
        <v>0</v>
      </c>
      <c r="J41" s="3">
        <f>'Pre-Board-II(Entry)'!J41</f>
        <v>0</v>
      </c>
      <c r="K41" s="3">
        <f>'Pre-Board-II(Entry)'!K41</f>
        <v>0</v>
      </c>
      <c r="L41" s="3">
        <f>'Pre-Board-II(Entry)'!L41</f>
        <v>0</v>
      </c>
      <c r="M41" s="3">
        <f>'Pre-Board-II(Entry)'!M41</f>
        <v>0</v>
      </c>
      <c r="N41" s="3">
        <f>'Pre-Board-II(Entry)'!N41</f>
        <v>0</v>
      </c>
      <c r="O41" s="3">
        <f t="shared" si="0"/>
        <v>0</v>
      </c>
      <c r="P41" s="3">
        <f>'Pre-Board-II(Entry)'!P41</f>
        <v>0</v>
      </c>
      <c r="Q41" s="3">
        <f>'Pre-Board-II(Entry)'!Q41</f>
        <v>0</v>
      </c>
      <c r="R41" s="3">
        <f>'Pre-Board-II(Entry)'!R41</f>
        <v>0</v>
      </c>
      <c r="S41" s="3">
        <f>'Pre-Board-II(Entry)'!S41</f>
        <v>0</v>
      </c>
      <c r="T41" s="3">
        <f>'Pre-Board-II(Entry)'!T41</f>
        <v>0</v>
      </c>
      <c r="U41" s="3">
        <f>'Pre-Board-II(Entry)'!U41</f>
        <v>0</v>
      </c>
      <c r="V41" s="3">
        <f>'Pre-Board-II(Entry)'!V41</f>
        <v>0</v>
      </c>
    </row>
    <row r="42" spans="1:22" x14ac:dyDescent="0.3">
      <c r="A42" s="21">
        <f>DETAILS!A41</f>
        <v>989</v>
      </c>
      <c r="B42" s="21" t="str">
        <f>DETAILS!B41</f>
        <v>SHUBHAM KUMAR VERMA</v>
      </c>
      <c r="C42" s="3">
        <f>'Pre-Board-II(Entry)'!C42</f>
        <v>0</v>
      </c>
      <c r="D42" s="3">
        <f>'Pre-Board-II(Entry)'!D42</f>
        <v>0</v>
      </c>
      <c r="E42" s="3">
        <f>'Pre-Board-II(Entry)'!E42</f>
        <v>0</v>
      </c>
      <c r="F42" s="3">
        <f>'Pre-Board-II(Entry)'!F42</f>
        <v>0</v>
      </c>
      <c r="G42" s="3">
        <f>'Pre-Board-II(Entry)'!G42</f>
        <v>0</v>
      </c>
      <c r="H42" s="3">
        <f>'Pre-Board-II(Entry)'!H42</f>
        <v>0</v>
      </c>
      <c r="I42" s="3">
        <f>'Pre-Board-II(Entry)'!I42</f>
        <v>0</v>
      </c>
      <c r="J42" s="3">
        <f>'Pre-Board-II(Entry)'!J42</f>
        <v>0</v>
      </c>
      <c r="K42" s="3">
        <f>'Pre-Board-II(Entry)'!K42</f>
        <v>0</v>
      </c>
      <c r="L42" s="3">
        <f>'Pre-Board-II(Entry)'!L42</f>
        <v>0</v>
      </c>
      <c r="M42" s="3">
        <f>'Pre-Board-II(Entry)'!M42</f>
        <v>0</v>
      </c>
      <c r="N42" s="3">
        <f>'Pre-Board-II(Entry)'!N42</f>
        <v>0</v>
      </c>
      <c r="O42" s="3">
        <f t="shared" si="0"/>
        <v>0</v>
      </c>
      <c r="P42" s="3">
        <f>'Pre-Board-II(Entry)'!P42</f>
        <v>0</v>
      </c>
      <c r="Q42" s="3">
        <f>'Pre-Board-II(Entry)'!Q42</f>
        <v>0</v>
      </c>
      <c r="R42" s="3">
        <f>'Pre-Board-II(Entry)'!R42</f>
        <v>0</v>
      </c>
      <c r="S42" s="3">
        <f>'Pre-Board-II(Entry)'!S42</f>
        <v>0</v>
      </c>
      <c r="T42" s="3">
        <f>'Pre-Board-II(Entry)'!T42</f>
        <v>0</v>
      </c>
      <c r="U42" s="3">
        <f>'Pre-Board-II(Entry)'!U42</f>
        <v>0</v>
      </c>
      <c r="V42" s="3">
        <f>'Pre-Board-II(Entry)'!V42</f>
        <v>0</v>
      </c>
    </row>
    <row r="43" spans="1:22" x14ac:dyDescent="0.3">
      <c r="A43" s="21">
        <f>DETAILS!A42</f>
        <v>1645</v>
      </c>
      <c r="B43" s="21" t="str">
        <f>DETAILS!B42</f>
        <v>STUTI JAISWAL</v>
      </c>
      <c r="C43" s="3">
        <f>'Pre-Board-II(Entry)'!C43</f>
        <v>0</v>
      </c>
      <c r="D43" s="3">
        <f>'Pre-Board-II(Entry)'!D43</f>
        <v>0</v>
      </c>
      <c r="E43" s="3">
        <f>'Pre-Board-II(Entry)'!E43</f>
        <v>0</v>
      </c>
      <c r="F43" s="3">
        <f>'Pre-Board-II(Entry)'!F43</f>
        <v>0</v>
      </c>
      <c r="G43" s="3">
        <f>'Pre-Board-II(Entry)'!G43</f>
        <v>0</v>
      </c>
      <c r="H43" s="3">
        <f>'Pre-Board-II(Entry)'!H43</f>
        <v>0</v>
      </c>
      <c r="I43" s="3">
        <f>'Pre-Board-II(Entry)'!I43</f>
        <v>0</v>
      </c>
      <c r="J43" s="3">
        <f>'Pre-Board-II(Entry)'!J43</f>
        <v>0</v>
      </c>
      <c r="K43" s="3">
        <f>'Pre-Board-II(Entry)'!K43</f>
        <v>0</v>
      </c>
      <c r="L43" s="3">
        <f>'Pre-Board-II(Entry)'!L43</f>
        <v>0</v>
      </c>
      <c r="M43" s="3">
        <f>'Pre-Board-II(Entry)'!M43</f>
        <v>0</v>
      </c>
      <c r="N43" s="3">
        <f>'Pre-Board-II(Entry)'!N43</f>
        <v>0</v>
      </c>
      <c r="O43" s="3">
        <f t="shared" si="0"/>
        <v>0</v>
      </c>
      <c r="P43" s="3">
        <f>'Pre-Board-II(Entry)'!P43</f>
        <v>0</v>
      </c>
      <c r="Q43" s="3">
        <f>'Pre-Board-II(Entry)'!Q43</f>
        <v>0</v>
      </c>
      <c r="R43" s="3">
        <f>'Pre-Board-II(Entry)'!R43</f>
        <v>0</v>
      </c>
      <c r="S43" s="3">
        <f>'Pre-Board-II(Entry)'!S43</f>
        <v>0</v>
      </c>
      <c r="T43" s="3">
        <f>'Pre-Board-II(Entry)'!T43</f>
        <v>0</v>
      </c>
      <c r="U43" s="3">
        <f>'Pre-Board-II(Entry)'!U43</f>
        <v>0</v>
      </c>
      <c r="V43" s="3">
        <f>'Pre-Board-II(Entry)'!V43</f>
        <v>0</v>
      </c>
    </row>
    <row r="44" spans="1:22" x14ac:dyDescent="0.3">
      <c r="A44" s="21">
        <f>DETAILS!A43</f>
        <v>1647</v>
      </c>
      <c r="B44" s="21" t="str">
        <f>DETAILS!B43</f>
        <v>SUDHA</v>
      </c>
      <c r="C44" s="3">
        <f>'Pre-Board-II(Entry)'!C44</f>
        <v>0</v>
      </c>
      <c r="D44" s="3">
        <f>'Pre-Board-II(Entry)'!D44</f>
        <v>0</v>
      </c>
      <c r="E44" s="3">
        <f>'Pre-Board-II(Entry)'!E44</f>
        <v>0</v>
      </c>
      <c r="F44" s="3">
        <f>'Pre-Board-II(Entry)'!F44</f>
        <v>0</v>
      </c>
      <c r="G44" s="3">
        <f>'Pre-Board-II(Entry)'!G44</f>
        <v>0</v>
      </c>
      <c r="H44" s="3">
        <f>'Pre-Board-II(Entry)'!H44</f>
        <v>0</v>
      </c>
      <c r="I44" s="3">
        <f>'Pre-Board-II(Entry)'!I44</f>
        <v>0</v>
      </c>
      <c r="J44" s="3">
        <f>'Pre-Board-II(Entry)'!J44</f>
        <v>0</v>
      </c>
      <c r="K44" s="3">
        <f>'Pre-Board-II(Entry)'!K44</f>
        <v>0</v>
      </c>
      <c r="L44" s="3">
        <f>'Pre-Board-II(Entry)'!L44</f>
        <v>0</v>
      </c>
      <c r="M44" s="3">
        <f>'Pre-Board-II(Entry)'!M44</f>
        <v>0</v>
      </c>
      <c r="N44" s="3">
        <f>'Pre-Board-II(Entry)'!N44</f>
        <v>0</v>
      </c>
      <c r="O44" s="3">
        <f t="shared" si="0"/>
        <v>0</v>
      </c>
      <c r="P44" s="3">
        <f>'Pre-Board-II(Entry)'!P44</f>
        <v>0</v>
      </c>
      <c r="Q44" s="3">
        <f>'Pre-Board-II(Entry)'!Q44</f>
        <v>0</v>
      </c>
      <c r="R44" s="3">
        <f>'Pre-Board-II(Entry)'!R44</f>
        <v>0</v>
      </c>
      <c r="S44" s="3">
        <f>'Pre-Board-II(Entry)'!S44</f>
        <v>0</v>
      </c>
      <c r="T44" s="3">
        <f>'Pre-Board-II(Entry)'!T44</f>
        <v>0</v>
      </c>
      <c r="U44" s="3">
        <f>'Pre-Board-II(Entry)'!U44</f>
        <v>0</v>
      </c>
      <c r="V44" s="3">
        <f>'Pre-Board-II(Entry)'!V44</f>
        <v>0</v>
      </c>
    </row>
    <row r="45" spans="1:22" x14ac:dyDescent="0.3">
      <c r="A45" s="21">
        <f>DETAILS!A44</f>
        <v>766</v>
      </c>
      <c r="B45" s="21" t="str">
        <f>DETAILS!B44</f>
        <v>SURAJ SHARMA</v>
      </c>
      <c r="C45" s="3">
        <f>'Pre-Board-II(Entry)'!C45</f>
        <v>0</v>
      </c>
      <c r="D45" s="3">
        <f>'Pre-Board-II(Entry)'!D45</f>
        <v>0</v>
      </c>
      <c r="E45" s="3">
        <f>'Pre-Board-II(Entry)'!E45</f>
        <v>0</v>
      </c>
      <c r="F45" s="3">
        <f>'Pre-Board-II(Entry)'!F45</f>
        <v>0</v>
      </c>
      <c r="G45" s="3">
        <f>'Pre-Board-II(Entry)'!G45</f>
        <v>0</v>
      </c>
      <c r="H45" s="3">
        <f>'Pre-Board-II(Entry)'!H45</f>
        <v>0</v>
      </c>
      <c r="I45" s="3">
        <f>'Pre-Board-II(Entry)'!I45</f>
        <v>0</v>
      </c>
      <c r="J45" s="3">
        <f>'Pre-Board-II(Entry)'!J45</f>
        <v>0</v>
      </c>
      <c r="K45" s="3">
        <f>'Pre-Board-II(Entry)'!K45</f>
        <v>0</v>
      </c>
      <c r="L45" s="3">
        <f>'Pre-Board-II(Entry)'!L45</f>
        <v>0</v>
      </c>
      <c r="M45" s="3">
        <f>'Pre-Board-II(Entry)'!M45</f>
        <v>0</v>
      </c>
      <c r="N45" s="3">
        <f>'Pre-Board-II(Entry)'!N45</f>
        <v>0</v>
      </c>
      <c r="O45" s="3">
        <f t="shared" si="0"/>
        <v>0</v>
      </c>
      <c r="P45" s="3">
        <f>'Pre-Board-II(Entry)'!P45</f>
        <v>0</v>
      </c>
      <c r="Q45" s="3">
        <f>'Pre-Board-II(Entry)'!Q45</f>
        <v>0</v>
      </c>
      <c r="R45" s="3">
        <f>'Pre-Board-II(Entry)'!R45</f>
        <v>0</v>
      </c>
      <c r="S45" s="3">
        <f>'Pre-Board-II(Entry)'!S45</f>
        <v>0</v>
      </c>
      <c r="T45" s="3">
        <f>'Pre-Board-II(Entry)'!T45</f>
        <v>0</v>
      </c>
      <c r="U45" s="3">
        <f>'Pre-Board-II(Entry)'!U45</f>
        <v>0</v>
      </c>
      <c r="V45" s="3">
        <f>'Pre-Board-II(Entry)'!V45</f>
        <v>0</v>
      </c>
    </row>
    <row r="46" spans="1:22" x14ac:dyDescent="0.3">
      <c r="A46" s="21">
        <f>DETAILS!A45</f>
        <v>1617</v>
      </c>
      <c r="B46" s="21" t="str">
        <f>DETAILS!B45</f>
        <v>TRAPTI</v>
      </c>
      <c r="C46" s="3">
        <f>'Pre-Board-II(Entry)'!C46</f>
        <v>0</v>
      </c>
      <c r="D46" s="3">
        <f>'Pre-Board-II(Entry)'!D46</f>
        <v>0</v>
      </c>
      <c r="E46" s="3">
        <f>'Pre-Board-II(Entry)'!E46</f>
        <v>0</v>
      </c>
      <c r="F46" s="3">
        <f>'Pre-Board-II(Entry)'!F46</f>
        <v>0</v>
      </c>
      <c r="G46" s="3">
        <f>'Pre-Board-II(Entry)'!G46</f>
        <v>0</v>
      </c>
      <c r="H46" s="3">
        <f>'Pre-Board-II(Entry)'!H46</f>
        <v>0</v>
      </c>
      <c r="I46" s="3">
        <f>'Pre-Board-II(Entry)'!I46</f>
        <v>0</v>
      </c>
      <c r="J46" s="3">
        <f>'Pre-Board-II(Entry)'!J46</f>
        <v>0</v>
      </c>
      <c r="K46" s="3">
        <f>'Pre-Board-II(Entry)'!K46</f>
        <v>0</v>
      </c>
      <c r="L46" s="3">
        <f>'Pre-Board-II(Entry)'!L46</f>
        <v>0</v>
      </c>
      <c r="M46" s="3">
        <f>'Pre-Board-II(Entry)'!M46</f>
        <v>0</v>
      </c>
      <c r="N46" s="3">
        <f>'Pre-Board-II(Entry)'!N46</f>
        <v>0</v>
      </c>
      <c r="O46" s="3">
        <f t="shared" si="0"/>
        <v>0</v>
      </c>
      <c r="P46" s="3">
        <f>'Pre-Board-II(Entry)'!P46</f>
        <v>0</v>
      </c>
      <c r="Q46" s="3">
        <f>'Pre-Board-II(Entry)'!Q46</f>
        <v>0</v>
      </c>
      <c r="R46" s="3">
        <f>'Pre-Board-II(Entry)'!R46</f>
        <v>0</v>
      </c>
      <c r="S46" s="3">
        <f>'Pre-Board-II(Entry)'!S46</f>
        <v>0</v>
      </c>
      <c r="T46" s="3">
        <f>'Pre-Board-II(Entry)'!T46</f>
        <v>0</v>
      </c>
      <c r="U46" s="3">
        <f>'Pre-Board-II(Entry)'!U46</f>
        <v>0</v>
      </c>
      <c r="V46" s="3">
        <f>'Pre-Board-II(Entry)'!V46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35BB-D32C-468F-B8F0-24DE5B772403}">
  <dimension ref="A1:N43"/>
  <sheetViews>
    <sheetView topLeftCell="A13" zoomScaleNormal="100" workbookViewId="0">
      <selection activeCell="B36" sqref="B36:M36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6"/>
      <c r="C1" s="56"/>
      <c r="D1" s="56"/>
      <c r="E1" s="56"/>
      <c r="F1" s="56"/>
      <c r="G1" s="56"/>
      <c r="H1" s="56"/>
      <c r="I1" s="56"/>
      <c r="J1" s="56"/>
      <c r="K1" s="56"/>
      <c r="L1" s="7"/>
      <c r="M1" s="7"/>
      <c r="N1" s="8"/>
    </row>
    <row r="2" spans="1:14" ht="32.4" x14ac:dyDescent="0.3">
      <c r="A2" s="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0"/>
    </row>
    <row r="3" spans="1:14" ht="18" customHeight="1" x14ac:dyDescent="0.3">
      <c r="A3" s="9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16.2" customHeight="1" x14ac:dyDescent="0.3">
      <c r="A4" s="9"/>
      <c r="B4" s="59" t="s">
        <v>57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0"/>
    </row>
    <row r="5" spans="1:14" ht="16.2" customHeight="1" x14ac:dyDescent="0.3">
      <c r="A5" s="9"/>
      <c r="B5" s="59" t="s">
        <v>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0"/>
    </row>
    <row r="6" spans="1:14" ht="18" customHeight="1" x14ac:dyDescent="0.3">
      <c r="A6" s="9"/>
      <c r="B6" s="51" t="s">
        <v>67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0"/>
    </row>
    <row r="7" spans="1:14" ht="20.25" customHeight="1" x14ac:dyDescent="0.3">
      <c r="A7" s="9"/>
      <c r="B7" s="52" t="s">
        <v>71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10"/>
    </row>
    <row r="8" spans="1:14" ht="18" customHeight="1" x14ac:dyDescent="0.3">
      <c r="A8" s="9"/>
      <c r="B8" s="53" t="s">
        <v>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4</v>
      </c>
      <c r="C9" s="54" t="e">
        <f>":      "&amp;VLOOKUP($K$9,DETAILS!$1:$1048576,2,0)</f>
        <v>#N/A</v>
      </c>
      <c r="D9" s="54"/>
      <c r="E9" s="54"/>
      <c r="F9" s="54"/>
      <c r="G9" s="54"/>
      <c r="I9" s="54" t="s">
        <v>52</v>
      </c>
      <c r="J9" s="54"/>
      <c r="K9" s="54">
        <v>1</v>
      </c>
      <c r="L9" s="54"/>
      <c r="M9" s="55"/>
      <c r="N9" s="10"/>
    </row>
    <row r="10" spans="1:14" x14ac:dyDescent="0.3">
      <c r="A10" s="9"/>
      <c r="B10" s="4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6</v>
      </c>
      <c r="C11" s="60" t="e">
        <f>":      "&amp;VLOOKUP($K$9,DETAILS!$1:$1048576,4,0)</f>
        <v>#N/A</v>
      </c>
      <c r="D11" s="60"/>
      <c r="E11" s="60"/>
      <c r="F11" s="60"/>
      <c r="G11" s="60"/>
      <c r="H11" s="2"/>
      <c r="I11" s="60" t="s">
        <v>54</v>
      </c>
      <c r="J11" s="60"/>
      <c r="K11" s="60" t="e">
        <f>VLOOKUP($K$9,DETAILS!$1:$1048576,5,0)</f>
        <v>#N/A</v>
      </c>
      <c r="L11" s="60"/>
      <c r="M11" s="61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55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77" t="s">
        <v>31</v>
      </c>
      <c r="C14" s="77"/>
      <c r="D14" s="76" t="s">
        <v>89</v>
      </c>
      <c r="E14" s="76"/>
      <c r="F14" s="76"/>
      <c r="G14" s="76" t="s">
        <v>90</v>
      </c>
      <c r="H14" s="76"/>
      <c r="I14" s="76"/>
      <c r="J14" s="76"/>
      <c r="K14" s="76" t="s">
        <v>81</v>
      </c>
      <c r="L14" s="76"/>
      <c r="M14" s="76"/>
      <c r="N14" s="10"/>
    </row>
    <row r="15" spans="1:14" x14ac:dyDescent="0.3">
      <c r="A15" s="9"/>
      <c r="B15" s="75" t="s">
        <v>7</v>
      </c>
      <c r="C15" s="75"/>
      <c r="D15" s="69" t="e">
        <f>VLOOKUP($K$9,'Pre-Board-II'!$1:$1048576,3,0)</f>
        <v>#N/A</v>
      </c>
      <c r="E15" s="69"/>
      <c r="F15" s="69"/>
      <c r="G15" s="65" t="e">
        <f>VLOOKUP($K$9,'Pre-Board-II'!$1:$1048576,4,0)</f>
        <v>#N/A</v>
      </c>
      <c r="H15" s="66"/>
      <c r="I15" s="66"/>
      <c r="J15" s="67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75" t="s">
        <v>8</v>
      </c>
      <c r="C16" s="75"/>
      <c r="D16" s="69" t="e">
        <f>VLOOKUP($K$9,'Pre-Board-II'!$1:$1048576,5,0)</f>
        <v>#N/A</v>
      </c>
      <c r="E16" s="69"/>
      <c r="F16" s="69"/>
      <c r="G16" s="65" t="e">
        <f>VLOOKUP($K$9,'Pre-Board-II'!$1:$1048576,6,0)</f>
        <v>#N/A</v>
      </c>
      <c r="H16" s="66"/>
      <c r="I16" s="66"/>
      <c r="J16" s="67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75" t="s">
        <v>9</v>
      </c>
      <c r="C17" s="75"/>
      <c r="D17" s="69" t="e">
        <f>VLOOKUP($K$9,'Pre-Board-II'!$1:$1048576,7,0)</f>
        <v>#N/A</v>
      </c>
      <c r="E17" s="69"/>
      <c r="F17" s="69"/>
      <c r="G17" s="65" t="e">
        <f>VLOOKUP($K$9,'Pre-Board-II'!$1:$1048576,8,0)</f>
        <v>#N/A</v>
      </c>
      <c r="H17" s="66"/>
      <c r="I17" s="66"/>
      <c r="J17" s="67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75" t="s">
        <v>73</v>
      </c>
      <c r="C18" s="75"/>
      <c r="D18" s="69" t="e">
        <f>VLOOKUP($K$9,'Pre-Board-II'!$1:$1048576,9,0)</f>
        <v>#N/A</v>
      </c>
      <c r="E18" s="69"/>
      <c r="F18" s="69"/>
      <c r="G18" s="65" t="e">
        <f>VLOOKUP($K$9,'Pre-Board-II'!$1:$1048576,10,0)</f>
        <v>#N/A</v>
      </c>
      <c r="H18" s="66"/>
      <c r="I18" s="66"/>
      <c r="J18" s="67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75" t="s">
        <v>74</v>
      </c>
      <c r="C19" s="75"/>
      <c r="D19" s="69" t="e">
        <f>VLOOKUP($K$9,'Pre-Board-II'!$1:$1048576,11,0)</f>
        <v>#N/A</v>
      </c>
      <c r="E19" s="69"/>
      <c r="F19" s="69"/>
      <c r="G19" s="65" t="e">
        <f>VLOOKUP($K$9,'Pre-Board-II'!$1:$1048576,12,0)</f>
        <v>#N/A</v>
      </c>
      <c r="H19" s="66"/>
      <c r="I19" s="66"/>
      <c r="J19" s="67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75" t="s">
        <v>75</v>
      </c>
      <c r="C20" s="75"/>
      <c r="D20" s="69" t="e">
        <f>VLOOKUP($K$9,'Pre-Board-II'!$1:$1048576,13,0)</f>
        <v>#N/A</v>
      </c>
      <c r="E20" s="69"/>
      <c r="F20" s="69"/>
      <c r="G20" s="65" t="e">
        <f>VLOOKUP($K$9,'Pre-Board-II'!$1:$1048576,14,0)</f>
        <v>#N/A</v>
      </c>
      <c r="H20" s="66"/>
      <c r="I20" s="66"/>
      <c r="J20" s="67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10</v>
      </c>
      <c r="C22" s="69" t="e">
        <f>VLOOKUP($K$9,'Pre-Board-II'!$1:$1048576,20,0)</f>
        <v>#N/A</v>
      </c>
      <c r="D22" s="69" t="e">
        <f>VLOOKUP($K$9,'Pre-Board-II'!$1:$1048576,21,0)</f>
        <v>#N/A</v>
      </c>
      <c r="J22" s="18" t="s">
        <v>27</v>
      </c>
      <c r="K22" s="19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9" t="e">
        <f>VLOOKUP($K$9,'Pre-Board-I'!$1:$1048576,16,0)</f>
        <v>#N/A</v>
      </c>
      <c r="D23" s="69" t="e">
        <f>VLOOKUP($K$9,'Pre-Board-I'!$1:$1048576,16,0)</f>
        <v>#N/A</v>
      </c>
      <c r="J23" s="18" t="s">
        <v>28</v>
      </c>
      <c r="K23" s="19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3" t="s">
        <v>56</v>
      </c>
      <c r="C26" s="53"/>
      <c r="D26" s="53"/>
      <c r="E26" s="53"/>
      <c r="F26" s="53"/>
      <c r="G26" s="53"/>
      <c r="H26" s="53"/>
      <c r="I26" s="53"/>
      <c r="J26" s="53"/>
      <c r="K26" s="53" t="s">
        <v>11</v>
      </c>
      <c r="L26" s="53"/>
      <c r="M26" s="53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VLOOKUP($K$9,'Pre-Board-II'!$1:$1048576,16,0)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VLOOKUP($K$9,'Pre-Board-II'!$1:$1048576,17,0)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VLOOKUP($K$9,'Pre-Board-II'!$1:$1048576,18,0)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VLOOKUP($K$9,'Pre-Board-II'!$1:$1048576,19,0)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8" t="s">
        <v>16</v>
      </c>
      <c r="C32" s="68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16"/>
    </row>
    <row r="33" spans="1:14" s="17" customFormat="1" ht="21" customHeight="1" x14ac:dyDescent="0.3">
      <c r="A33" s="15"/>
      <c r="B33" s="68" t="s">
        <v>21</v>
      </c>
      <c r="C33" s="68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3" t="e">
        <f>"Class Teacher's Remark: "&amp;VLOOKUP($K$9,'Pre-Board-II'!$1:$1048576,22,0)</f>
        <v>#N/A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10"/>
    </row>
    <row r="37" spans="1:14" x14ac:dyDescent="0.3">
      <c r="A37" s="9"/>
      <c r="E37" s="11"/>
      <c r="N37" s="10"/>
    </row>
    <row r="38" spans="1:14" x14ac:dyDescent="0.3">
      <c r="A38" s="9"/>
      <c r="B38" s="62" t="s">
        <v>70</v>
      </c>
      <c r="C38" s="62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3" t="s">
        <v>29</v>
      </c>
      <c r="C41" s="73"/>
      <c r="D41" s="73"/>
      <c r="E41" s="17"/>
      <c r="F41" s="17"/>
      <c r="G41" s="17"/>
      <c r="H41" s="17"/>
      <c r="I41" s="17"/>
      <c r="J41" s="74" t="s">
        <v>30</v>
      </c>
      <c r="K41" s="74"/>
      <c r="L41" s="74"/>
      <c r="M41" s="74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2025-07-30T03:14:38Z</dcterms:modified>
</cp:coreProperties>
</file>