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CB48BBA6-3447-4004-AEE2-274ABB3BF96F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3" l="1"/>
  <c r="B16" i="23"/>
  <c r="I10" i="3" l="1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C5" i="22" l="1"/>
  <c r="G5" i="22"/>
  <c r="D5" i="22"/>
  <c r="H5" i="22"/>
  <c r="E5" i="22"/>
  <c r="F5" i="22"/>
  <c r="K5" i="22"/>
  <c r="L5" i="22"/>
  <c r="C7" i="22"/>
  <c r="G7" i="22"/>
  <c r="D7" i="22"/>
  <c r="H7" i="22"/>
  <c r="F7" i="22"/>
  <c r="E7" i="22"/>
  <c r="K7" i="22"/>
  <c r="L7" i="22"/>
  <c r="C9" i="22"/>
  <c r="G9" i="22"/>
  <c r="D9" i="22"/>
  <c r="H9" i="22"/>
  <c r="E9" i="22"/>
  <c r="F9" i="22"/>
  <c r="K9" i="22"/>
  <c r="L9" i="22"/>
  <c r="C11" i="22"/>
  <c r="G11" i="22"/>
  <c r="D11" i="22"/>
  <c r="H11" i="22"/>
  <c r="F11" i="22"/>
  <c r="E11" i="22"/>
  <c r="K11" i="22"/>
  <c r="L11" i="22"/>
  <c r="C13" i="22"/>
  <c r="G13" i="22"/>
  <c r="D13" i="22"/>
  <c r="H13" i="22"/>
  <c r="E13" i="22"/>
  <c r="F13" i="22"/>
  <c r="K13" i="22"/>
  <c r="L13" i="22"/>
  <c r="C15" i="22"/>
  <c r="G15" i="22"/>
  <c r="D15" i="22"/>
  <c r="H15" i="22"/>
  <c r="F15" i="22"/>
  <c r="E15" i="22"/>
  <c r="K15" i="22"/>
  <c r="L15" i="22"/>
  <c r="C17" i="22"/>
  <c r="G17" i="22"/>
  <c r="D17" i="22"/>
  <c r="H17" i="22"/>
  <c r="E17" i="22"/>
  <c r="F17" i="22"/>
  <c r="K17" i="22"/>
  <c r="L17" i="22"/>
  <c r="C19" i="22"/>
  <c r="G19" i="22"/>
  <c r="D19" i="22"/>
  <c r="H19" i="22"/>
  <c r="F19" i="22"/>
  <c r="E19" i="22"/>
  <c r="K19" i="22"/>
  <c r="L19" i="22"/>
  <c r="C21" i="22"/>
  <c r="G21" i="22"/>
  <c r="D21" i="22"/>
  <c r="H21" i="22"/>
  <c r="E21" i="22"/>
  <c r="F21" i="22"/>
  <c r="K21" i="22"/>
  <c r="L21" i="22"/>
  <c r="C23" i="22"/>
  <c r="G23" i="22"/>
  <c r="D23" i="22"/>
  <c r="E23" i="22"/>
  <c r="H23" i="22"/>
  <c r="F23" i="22"/>
  <c r="K23" i="22"/>
  <c r="L23" i="22"/>
  <c r="C25" i="22"/>
  <c r="G25" i="22"/>
  <c r="H25" i="22"/>
  <c r="D25" i="22"/>
  <c r="F25" i="22"/>
  <c r="E25" i="22"/>
  <c r="K25" i="22"/>
  <c r="L25" i="22"/>
  <c r="C27" i="22"/>
  <c r="G27" i="22"/>
  <c r="F27" i="22"/>
  <c r="H27" i="22"/>
  <c r="E27" i="22"/>
  <c r="D27" i="22"/>
  <c r="K27" i="22"/>
  <c r="L27" i="22"/>
  <c r="C29" i="22"/>
  <c r="G29" i="22"/>
  <c r="E29" i="22"/>
  <c r="F29" i="22"/>
  <c r="D29" i="22"/>
  <c r="H29" i="22"/>
  <c r="K29" i="22"/>
  <c r="L29" i="22"/>
  <c r="C31" i="22"/>
  <c r="G31" i="22"/>
  <c r="D31" i="22"/>
  <c r="E31" i="22"/>
  <c r="F31" i="22"/>
  <c r="H31" i="22"/>
  <c r="K31" i="22"/>
  <c r="L31" i="22"/>
  <c r="C33" i="22"/>
  <c r="G33" i="22"/>
  <c r="H33" i="22"/>
  <c r="D33" i="22"/>
  <c r="E33" i="22"/>
  <c r="F33" i="22"/>
  <c r="K33" i="22"/>
  <c r="L33" i="22"/>
  <c r="C35" i="22"/>
  <c r="G35" i="22"/>
  <c r="F35" i="22"/>
  <c r="H35" i="22"/>
  <c r="D35" i="22"/>
  <c r="E35" i="22"/>
  <c r="K35" i="22"/>
  <c r="L35" i="22"/>
  <c r="C37" i="22"/>
  <c r="G37" i="22"/>
  <c r="E37" i="22"/>
  <c r="F37" i="22"/>
  <c r="D37" i="22"/>
  <c r="H37" i="22"/>
  <c r="K37" i="22"/>
  <c r="L37" i="22"/>
  <c r="C39" i="22"/>
  <c r="G39" i="22"/>
  <c r="D39" i="22"/>
  <c r="E39" i="22"/>
  <c r="H39" i="22"/>
  <c r="F39" i="22"/>
  <c r="K39" i="22"/>
  <c r="L39" i="22"/>
  <c r="C41" i="22"/>
  <c r="G41" i="22"/>
  <c r="H41" i="22"/>
  <c r="D41" i="22"/>
  <c r="F41" i="22"/>
  <c r="E41" i="22"/>
  <c r="K41" i="22"/>
  <c r="L41" i="22"/>
  <c r="I5" i="28"/>
  <c r="J5" i="28"/>
  <c r="I9" i="28"/>
  <c r="J9" i="28"/>
  <c r="I13" i="28"/>
  <c r="J13" i="28"/>
  <c r="I17" i="28"/>
  <c r="J17" i="28"/>
  <c r="I21" i="28"/>
  <c r="J21" i="28"/>
  <c r="I25" i="28"/>
  <c r="J25" i="28"/>
  <c r="I29" i="28"/>
  <c r="J29" i="28"/>
  <c r="I33" i="28"/>
  <c r="J33" i="28"/>
  <c r="I37" i="28"/>
  <c r="J37" i="28"/>
  <c r="I41" i="28"/>
  <c r="J41" i="28"/>
  <c r="H4" i="22"/>
  <c r="D4" i="22"/>
  <c r="E4" i="22"/>
  <c r="C4" i="22"/>
  <c r="F4" i="22"/>
  <c r="G4" i="22"/>
  <c r="L4" i="22"/>
  <c r="K4" i="22"/>
  <c r="E6" i="22"/>
  <c r="F6" i="22"/>
  <c r="D6" i="22"/>
  <c r="G6" i="22"/>
  <c r="H6" i="22"/>
  <c r="C6" i="22"/>
  <c r="K6" i="22"/>
  <c r="L6" i="22"/>
  <c r="E8" i="22"/>
  <c r="F8" i="22"/>
  <c r="H8" i="22"/>
  <c r="C8" i="22"/>
  <c r="D8" i="22"/>
  <c r="G8" i="22"/>
  <c r="K8" i="22"/>
  <c r="L8" i="22"/>
  <c r="E10" i="22"/>
  <c r="F10" i="22"/>
  <c r="D10" i="22"/>
  <c r="G10" i="22"/>
  <c r="H10" i="22"/>
  <c r="C10" i="22"/>
  <c r="K10" i="22"/>
  <c r="L10" i="22"/>
  <c r="E12" i="22"/>
  <c r="F12" i="22"/>
  <c r="H12" i="22"/>
  <c r="C12" i="22"/>
  <c r="D12" i="22"/>
  <c r="G12" i="22"/>
  <c r="K12" i="22"/>
  <c r="L12" i="22"/>
  <c r="E14" i="22"/>
  <c r="F14" i="22"/>
  <c r="D14" i="22"/>
  <c r="G14" i="22"/>
  <c r="H14" i="22"/>
  <c r="C14" i="22"/>
  <c r="K14" i="22"/>
  <c r="L14" i="22"/>
  <c r="E16" i="22"/>
  <c r="F16" i="22"/>
  <c r="H16" i="22"/>
  <c r="C16" i="22"/>
  <c r="D16" i="22"/>
  <c r="G16" i="22"/>
  <c r="K16" i="22"/>
  <c r="L16" i="22"/>
  <c r="E18" i="22"/>
  <c r="F18" i="22"/>
  <c r="D18" i="22"/>
  <c r="G18" i="22"/>
  <c r="C18" i="22"/>
  <c r="H18" i="22"/>
  <c r="K18" i="22"/>
  <c r="L18" i="22"/>
  <c r="E20" i="22"/>
  <c r="F20" i="22"/>
  <c r="H20" i="22"/>
  <c r="C20" i="22"/>
  <c r="D20" i="22"/>
  <c r="G20" i="22"/>
  <c r="K20" i="22"/>
  <c r="L20" i="22"/>
  <c r="E22" i="22"/>
  <c r="D22" i="22"/>
  <c r="F22" i="22"/>
  <c r="C22" i="22"/>
  <c r="G22" i="22"/>
  <c r="H22" i="22"/>
  <c r="K22" i="22"/>
  <c r="L22" i="22"/>
  <c r="E24" i="22"/>
  <c r="C24" i="22"/>
  <c r="H24" i="22"/>
  <c r="D24" i="22"/>
  <c r="F24" i="22"/>
  <c r="G24" i="22"/>
  <c r="K24" i="22"/>
  <c r="L24" i="22"/>
  <c r="E26" i="22"/>
  <c r="G26" i="22"/>
  <c r="C26" i="22"/>
  <c r="H26" i="22"/>
  <c r="D26" i="22"/>
  <c r="F26" i="22"/>
  <c r="K26" i="22"/>
  <c r="L26" i="22"/>
  <c r="E28" i="22"/>
  <c r="F28" i="22"/>
  <c r="G28" i="22"/>
  <c r="C28" i="22"/>
  <c r="D28" i="22"/>
  <c r="H28" i="22"/>
  <c r="K28" i="22"/>
  <c r="L28" i="22"/>
  <c r="E30" i="22"/>
  <c r="D30" i="22"/>
  <c r="F30" i="22"/>
  <c r="H30" i="22"/>
  <c r="C30" i="22"/>
  <c r="G30" i="22"/>
  <c r="K30" i="22"/>
  <c r="L30" i="22"/>
  <c r="E32" i="22"/>
  <c r="C32" i="22"/>
  <c r="H32" i="22"/>
  <c r="D32" i="22"/>
  <c r="G32" i="22"/>
  <c r="F32" i="22"/>
  <c r="K32" i="22"/>
  <c r="L32" i="22"/>
  <c r="E34" i="22"/>
  <c r="G34" i="22"/>
  <c r="C34" i="22"/>
  <c r="H34" i="22"/>
  <c r="F34" i="22"/>
  <c r="D34" i="22"/>
  <c r="K34" i="22"/>
  <c r="L34" i="22"/>
  <c r="E36" i="22"/>
  <c r="F36" i="22"/>
  <c r="G36" i="22"/>
  <c r="D36" i="22"/>
  <c r="H36" i="22"/>
  <c r="C36" i="22"/>
  <c r="K36" i="22"/>
  <c r="L36" i="22"/>
  <c r="E38" i="22"/>
  <c r="D38" i="22"/>
  <c r="F38" i="22"/>
  <c r="C38" i="22"/>
  <c r="G38" i="22"/>
  <c r="H38" i="22"/>
  <c r="K38" i="22"/>
  <c r="L38" i="22"/>
  <c r="E40" i="22"/>
  <c r="C40" i="22"/>
  <c r="H40" i="22"/>
  <c r="D40" i="22"/>
  <c r="F40" i="22"/>
  <c r="G40" i="22"/>
  <c r="K40" i="22"/>
  <c r="L40" i="22"/>
  <c r="E42" i="22"/>
  <c r="G42" i="22"/>
  <c r="C42" i="22"/>
  <c r="H42" i="22"/>
  <c r="D42" i="22"/>
  <c r="F42" i="22"/>
  <c r="K42" i="22"/>
  <c r="L42" i="22"/>
  <c r="J3" i="28"/>
  <c r="I3" i="28"/>
  <c r="C3" i="28"/>
  <c r="N3" i="28"/>
  <c r="I7" i="28"/>
  <c r="J7" i="28"/>
  <c r="I11" i="28"/>
  <c r="J11" i="28"/>
  <c r="I15" i="28"/>
  <c r="J15" i="28"/>
  <c r="I19" i="28"/>
  <c r="J19" i="28"/>
  <c r="I23" i="28"/>
  <c r="J23" i="28"/>
  <c r="I27" i="28"/>
  <c r="J27" i="28"/>
  <c r="I31" i="28"/>
  <c r="J31" i="28"/>
  <c r="I35" i="28"/>
  <c r="J35" i="28"/>
  <c r="I39" i="28"/>
  <c r="J39" i="28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5" i="19"/>
  <c r="A5" i="19"/>
  <c r="B4" i="19"/>
  <c r="A4" i="19"/>
  <c r="A4" i="5"/>
  <c r="B4" i="5"/>
  <c r="A5" i="5"/>
  <c r="B5" i="5"/>
  <c r="I30" i="22" l="1"/>
  <c r="J30" i="22" s="1"/>
  <c r="I12" i="22"/>
  <c r="J12" i="22" s="1"/>
  <c r="I29" i="22"/>
  <c r="J29" i="22" s="1"/>
  <c r="I5" i="22"/>
  <c r="J5" i="22" s="1"/>
  <c r="I21" i="22"/>
  <c r="J21" i="22" s="1"/>
  <c r="I40" i="22"/>
  <c r="J40" i="22" s="1"/>
  <c r="I36" i="22"/>
  <c r="J36" i="22" s="1"/>
  <c r="I32" i="22"/>
  <c r="J32" i="22" s="1"/>
  <c r="I28" i="22"/>
  <c r="J28" i="22" s="1"/>
  <c r="I24" i="22"/>
  <c r="J24" i="22" s="1"/>
  <c r="I10" i="22"/>
  <c r="J10" i="22" s="1"/>
  <c r="I41" i="22"/>
  <c r="J41" i="22" s="1"/>
  <c r="I27" i="22"/>
  <c r="J27" i="22" s="1"/>
  <c r="I17" i="22"/>
  <c r="J17" i="22" s="1"/>
  <c r="I16" i="22"/>
  <c r="J16" i="22" s="1"/>
  <c r="I8" i="22"/>
  <c r="J8" i="22" s="1"/>
  <c r="I37" i="22"/>
  <c r="J37" i="22" s="1"/>
  <c r="I33" i="22"/>
  <c r="J33" i="22" s="1"/>
  <c r="I25" i="22"/>
  <c r="J25" i="22" s="1"/>
  <c r="I23" i="22"/>
  <c r="J23" i="22" s="1"/>
  <c r="I13" i="22"/>
  <c r="J13" i="22" s="1"/>
  <c r="I9" i="22"/>
  <c r="J9" i="22" s="1"/>
  <c r="F6" i="24"/>
  <c r="O6" i="24"/>
  <c r="C6" i="24"/>
  <c r="R6" i="24"/>
  <c r="I6" i="24"/>
  <c r="F10" i="24"/>
  <c r="O10" i="24"/>
  <c r="C10" i="24"/>
  <c r="R10" i="24"/>
  <c r="I10" i="24"/>
  <c r="D4" i="19"/>
  <c r="F4" i="24" s="1"/>
  <c r="D16" i="23" s="1"/>
  <c r="F4" i="19"/>
  <c r="L4" i="24" s="1"/>
  <c r="D18" i="23" s="1"/>
  <c r="G4" i="19"/>
  <c r="O4" i="24" s="1"/>
  <c r="D19" i="23" s="1"/>
  <c r="E4" i="19"/>
  <c r="I4" i="24" s="1"/>
  <c r="D17" i="23" s="1"/>
  <c r="H4" i="19"/>
  <c r="R4" i="24" s="1"/>
  <c r="D20" i="23" s="1"/>
  <c r="C4" i="19"/>
  <c r="C4" i="24" s="1"/>
  <c r="D15" i="23" s="1"/>
  <c r="F8" i="24"/>
  <c r="I8" i="24"/>
  <c r="L8" i="24"/>
  <c r="C8" i="24"/>
  <c r="R8" i="24"/>
  <c r="R27" i="24"/>
  <c r="D5" i="19"/>
  <c r="F5" i="24" s="1"/>
  <c r="C5" i="19"/>
  <c r="C5" i="24" s="1"/>
  <c r="H5" i="19"/>
  <c r="R5" i="24" s="1"/>
  <c r="E5" i="19"/>
  <c r="I5" i="24" s="1"/>
  <c r="G5" i="19"/>
  <c r="O5" i="24" s="1"/>
  <c r="F5" i="19"/>
  <c r="L5" i="24" s="1"/>
  <c r="F7" i="24"/>
  <c r="O7" i="24"/>
  <c r="C7" i="24"/>
  <c r="R7" i="24"/>
  <c r="I7" i="24"/>
  <c r="F9" i="24"/>
  <c r="C9" i="24"/>
  <c r="R9" i="24"/>
  <c r="I9" i="24"/>
  <c r="L9" i="24"/>
  <c r="O9" i="24"/>
  <c r="F11" i="24"/>
  <c r="O11" i="24"/>
  <c r="R11" i="24"/>
  <c r="I11" i="24"/>
  <c r="P15" i="28"/>
  <c r="Q15" i="28" s="1"/>
  <c r="I20" i="22"/>
  <c r="J20" i="22" s="1"/>
  <c r="I11" i="22"/>
  <c r="J11" i="22" s="1"/>
  <c r="I7" i="22"/>
  <c r="J7" i="22" s="1"/>
  <c r="I14" i="22"/>
  <c r="J14" i="22" s="1"/>
  <c r="I31" i="22"/>
  <c r="J31" i="22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L6" i="24"/>
  <c r="L10" i="24"/>
  <c r="C11" i="24"/>
  <c r="L5" i="19"/>
  <c r="K5" i="19"/>
  <c r="L11" i="24"/>
  <c r="L7" i="24"/>
  <c r="O8" i="24"/>
  <c r="L4" i="19"/>
  <c r="K4" i="19"/>
  <c r="A40" i="18"/>
  <c r="AK40" i="18" s="1"/>
  <c r="B40" i="18"/>
  <c r="A41" i="18"/>
  <c r="M41" i="18" s="1"/>
  <c r="B41" i="18"/>
  <c r="A42" i="18"/>
  <c r="Y42" i="18" s="1"/>
  <c r="B42" i="18"/>
  <c r="A39" i="11"/>
  <c r="B39" i="11"/>
  <c r="A40" i="11"/>
  <c r="B40" i="11"/>
  <c r="A41" i="11"/>
  <c r="B41" i="11"/>
  <c r="R13" i="24" l="1"/>
  <c r="R37" i="24"/>
  <c r="R18" i="24"/>
  <c r="R19" i="24"/>
  <c r="R21" i="24"/>
  <c r="R35" i="24"/>
  <c r="AK41" i="18"/>
  <c r="R33" i="24"/>
  <c r="R25" i="24"/>
  <c r="R17" i="24"/>
  <c r="S41" i="18"/>
  <c r="Y41" i="18"/>
  <c r="AE41" i="18"/>
  <c r="M42" i="18"/>
  <c r="R32" i="24"/>
  <c r="R24" i="24"/>
  <c r="R38" i="24"/>
  <c r="R12" i="24"/>
  <c r="AG41" i="18" s="1"/>
  <c r="R41" i="24"/>
  <c r="G41" i="18"/>
  <c r="R31" i="24"/>
  <c r="R29" i="24"/>
  <c r="R16" i="24"/>
  <c r="R20" i="24"/>
  <c r="R22" i="24"/>
  <c r="AN42" i="18"/>
  <c r="AM42" i="18"/>
  <c r="AJ42" i="18"/>
  <c r="AN40" i="18"/>
  <c r="AM40" i="18"/>
  <c r="AJ40" i="18"/>
  <c r="AL40" i="18" s="1"/>
  <c r="S42" i="18"/>
  <c r="Y40" i="18"/>
  <c r="AE42" i="18"/>
  <c r="AE40" i="18"/>
  <c r="S40" i="18"/>
  <c r="AK42" i="18"/>
  <c r="AN41" i="18"/>
  <c r="AM41" i="18"/>
  <c r="AJ41" i="18"/>
  <c r="G42" i="18"/>
  <c r="G40" i="18"/>
  <c r="M40" i="18"/>
  <c r="R30" i="24"/>
  <c r="R26" i="24"/>
  <c r="R15" i="24"/>
  <c r="R36" i="24"/>
  <c r="R40" i="24"/>
  <c r="R14" i="24"/>
  <c r="R34" i="24"/>
  <c r="R39" i="24"/>
  <c r="R23" i="24"/>
  <c r="R28" i="24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C15" i="24"/>
  <c r="C19" i="24"/>
  <c r="C23" i="24"/>
  <c r="C27" i="24"/>
  <c r="C31" i="24"/>
  <c r="C35" i="24"/>
  <c r="C39" i="24"/>
  <c r="C14" i="24"/>
  <c r="C26" i="24"/>
  <c r="C38" i="24"/>
  <c r="C12" i="24"/>
  <c r="C16" i="24"/>
  <c r="C20" i="24"/>
  <c r="C24" i="24"/>
  <c r="C28" i="24"/>
  <c r="C32" i="24"/>
  <c r="C36" i="24"/>
  <c r="C40" i="24"/>
  <c r="C22" i="24"/>
  <c r="C34" i="24"/>
  <c r="C13" i="24"/>
  <c r="C17" i="24"/>
  <c r="C21" i="24"/>
  <c r="C25" i="24"/>
  <c r="C29" i="24"/>
  <c r="C33" i="24"/>
  <c r="C37" i="24"/>
  <c r="C41" i="24"/>
  <c r="C18" i="24"/>
  <c r="C30" i="24"/>
  <c r="L14" i="24"/>
  <c r="L18" i="24"/>
  <c r="L22" i="24"/>
  <c r="L26" i="24"/>
  <c r="L30" i="24"/>
  <c r="L34" i="24"/>
  <c r="L38" i="24"/>
  <c r="L21" i="24"/>
  <c r="L33" i="24"/>
  <c r="L15" i="24"/>
  <c r="L19" i="24"/>
  <c r="L23" i="24"/>
  <c r="L27" i="24"/>
  <c r="L31" i="24"/>
  <c r="L35" i="24"/>
  <c r="L39" i="24"/>
  <c r="L17" i="24"/>
  <c r="L25" i="24"/>
  <c r="L37" i="24"/>
  <c r="L12" i="24"/>
  <c r="U42" i="18" s="1"/>
  <c r="L16" i="24"/>
  <c r="L20" i="24"/>
  <c r="L24" i="24"/>
  <c r="L28" i="24"/>
  <c r="L32" i="24"/>
  <c r="L36" i="24"/>
  <c r="L40" i="24"/>
  <c r="L13" i="24"/>
  <c r="L29" i="24"/>
  <c r="L41" i="24"/>
  <c r="O15" i="24"/>
  <c r="O19" i="24"/>
  <c r="O23" i="24"/>
  <c r="O27" i="24"/>
  <c r="O31" i="24"/>
  <c r="O35" i="24"/>
  <c r="O39" i="24"/>
  <c r="O22" i="24"/>
  <c r="O34" i="24"/>
  <c r="O12" i="24"/>
  <c r="AA40" i="18" s="1"/>
  <c r="O16" i="24"/>
  <c r="O20" i="24"/>
  <c r="O24" i="24"/>
  <c r="O28" i="24"/>
  <c r="O32" i="24"/>
  <c r="O36" i="24"/>
  <c r="O40" i="24"/>
  <c r="O18" i="24"/>
  <c r="O30" i="24"/>
  <c r="O13" i="24"/>
  <c r="O17" i="24"/>
  <c r="O21" i="24"/>
  <c r="O25" i="24"/>
  <c r="O29" i="24"/>
  <c r="O33" i="24"/>
  <c r="O37" i="24"/>
  <c r="O41" i="24"/>
  <c r="O14" i="24"/>
  <c r="O26" i="24"/>
  <c r="O38" i="24"/>
  <c r="F12" i="24"/>
  <c r="I41" i="18" s="1"/>
  <c r="F16" i="24"/>
  <c r="F20" i="24"/>
  <c r="F24" i="24"/>
  <c r="F28" i="24"/>
  <c r="F32" i="24"/>
  <c r="F36" i="24"/>
  <c r="F40" i="24"/>
  <c r="F19" i="24"/>
  <c r="F27" i="24"/>
  <c r="F39" i="24"/>
  <c r="F13" i="24"/>
  <c r="F17" i="24"/>
  <c r="F21" i="24"/>
  <c r="F25" i="24"/>
  <c r="F29" i="24"/>
  <c r="F33" i="24"/>
  <c r="F37" i="24"/>
  <c r="F41" i="24"/>
  <c r="F23" i="24"/>
  <c r="F35" i="24"/>
  <c r="F14" i="24"/>
  <c r="F18" i="24"/>
  <c r="F22" i="24"/>
  <c r="F26" i="24"/>
  <c r="F30" i="24"/>
  <c r="F34" i="24"/>
  <c r="F38" i="24"/>
  <c r="F15" i="24"/>
  <c r="F31" i="24"/>
  <c r="I13" i="24"/>
  <c r="I17" i="24"/>
  <c r="I21" i="24"/>
  <c r="I25" i="24"/>
  <c r="I29" i="24"/>
  <c r="I33" i="24"/>
  <c r="I37" i="24"/>
  <c r="I41" i="24"/>
  <c r="I20" i="24"/>
  <c r="I32" i="24"/>
  <c r="I14" i="24"/>
  <c r="I18" i="24"/>
  <c r="I22" i="24"/>
  <c r="I26" i="24"/>
  <c r="I30" i="24"/>
  <c r="I34" i="24"/>
  <c r="I38" i="24"/>
  <c r="I12" i="24"/>
  <c r="O42" i="18" s="1"/>
  <c r="I24" i="24"/>
  <c r="I36" i="24"/>
  <c r="I15" i="24"/>
  <c r="I19" i="24"/>
  <c r="I23" i="24"/>
  <c r="I27" i="24"/>
  <c r="I31" i="24"/>
  <c r="I35" i="24"/>
  <c r="I39" i="24"/>
  <c r="I16" i="24"/>
  <c r="I28" i="24"/>
  <c r="I40" i="24"/>
  <c r="I5" i="19"/>
  <c r="J5" i="19" s="1"/>
  <c r="I4" i="19"/>
  <c r="J4" i="19" s="1"/>
  <c r="AG42" i="18" l="1"/>
  <c r="AL41" i="18"/>
  <c r="AG40" i="18"/>
  <c r="AL42" i="18"/>
  <c r="U41" i="18"/>
  <c r="AA42" i="18"/>
  <c r="I40" i="18"/>
  <c r="I42" i="18"/>
  <c r="O41" i="18"/>
  <c r="AA41" i="18"/>
  <c r="U40" i="18"/>
  <c r="O40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J37" i="18" l="1"/>
  <c r="AN37" i="18"/>
  <c r="AM37" i="18"/>
  <c r="G37" i="18"/>
  <c r="AG37" i="18"/>
  <c r="M37" i="18"/>
  <c r="AE37" i="18"/>
  <c r="AK37" i="18"/>
  <c r="Y37" i="18"/>
  <c r="S37" i="18"/>
  <c r="AM35" i="18"/>
  <c r="AN35" i="18"/>
  <c r="AJ35" i="18"/>
  <c r="AG35" i="18"/>
  <c r="M35" i="18"/>
  <c r="G35" i="18"/>
  <c r="AE35" i="18"/>
  <c r="S35" i="18"/>
  <c r="Y35" i="18"/>
  <c r="AK35" i="18"/>
  <c r="AM31" i="18"/>
  <c r="AN31" i="18"/>
  <c r="AJ31" i="18"/>
  <c r="Y31" i="18"/>
  <c r="AE31" i="18"/>
  <c r="AK31" i="18"/>
  <c r="AG31" i="18"/>
  <c r="M31" i="18"/>
  <c r="G31" i="18"/>
  <c r="S31" i="18"/>
  <c r="AM23" i="18"/>
  <c r="AJ23" i="18"/>
  <c r="AN23" i="18"/>
  <c r="M23" i="18"/>
  <c r="AE23" i="18"/>
  <c r="S23" i="18"/>
  <c r="AG23" i="18"/>
  <c r="G23" i="18"/>
  <c r="Y23" i="18"/>
  <c r="AK23" i="18"/>
  <c r="AL23" i="18" s="1"/>
  <c r="AN17" i="18"/>
  <c r="AM17" i="18"/>
  <c r="AJ17" i="18"/>
  <c r="M17" i="18"/>
  <c r="AE17" i="18"/>
  <c r="S17" i="18"/>
  <c r="AK17" i="18"/>
  <c r="Y17" i="18"/>
  <c r="G17" i="18"/>
  <c r="AG17" i="18"/>
  <c r="AN13" i="18"/>
  <c r="AJ13" i="18"/>
  <c r="AM13" i="18"/>
  <c r="AK13" i="18"/>
  <c r="Y13" i="18"/>
  <c r="AG13" i="18"/>
  <c r="G13" i="18"/>
  <c r="S13" i="18"/>
  <c r="M13" i="18"/>
  <c r="AE13" i="18"/>
  <c r="AJ9" i="18"/>
  <c r="S9" i="18"/>
  <c r="Y9" i="18"/>
  <c r="AN9" i="18"/>
  <c r="AE9" i="18"/>
  <c r="G9" i="18"/>
  <c r="M9" i="18"/>
  <c r="AK9" i="18"/>
  <c r="AM9" i="18"/>
  <c r="AG9" i="18"/>
  <c r="AJ5" i="18"/>
  <c r="M5" i="18"/>
  <c r="AK5" i="18"/>
  <c r="AM5" i="18"/>
  <c r="S5" i="18"/>
  <c r="AE5" i="18"/>
  <c r="Y5" i="18"/>
  <c r="AN5" i="18"/>
  <c r="G5" i="18"/>
  <c r="AG5" i="18"/>
  <c r="AN38" i="18"/>
  <c r="AJ38" i="18"/>
  <c r="AM38" i="18"/>
  <c r="AG38" i="18"/>
  <c r="M38" i="18"/>
  <c r="AE38" i="18"/>
  <c r="S38" i="18"/>
  <c r="Y38" i="18"/>
  <c r="G38" i="18"/>
  <c r="AK38" i="18"/>
  <c r="AL38" i="18" s="1"/>
  <c r="AN36" i="18"/>
  <c r="AM36" i="18"/>
  <c r="AJ36" i="18"/>
  <c r="Y36" i="18"/>
  <c r="S36" i="18"/>
  <c r="M36" i="18"/>
  <c r="AE36" i="18"/>
  <c r="AK36" i="18"/>
  <c r="AG36" i="18"/>
  <c r="G36" i="18"/>
  <c r="AN34" i="18"/>
  <c r="AM34" i="18"/>
  <c r="AJ34" i="18"/>
  <c r="AG34" i="18"/>
  <c r="AE34" i="18"/>
  <c r="S34" i="18"/>
  <c r="AK34" i="18"/>
  <c r="AL34" i="18" s="1"/>
  <c r="Y34" i="18"/>
  <c r="M34" i="18"/>
  <c r="G34" i="18"/>
  <c r="AM32" i="18"/>
  <c r="AJ32" i="18"/>
  <c r="AN32" i="18"/>
  <c r="AE32" i="18"/>
  <c r="AK32" i="18"/>
  <c r="AG32" i="18"/>
  <c r="G32" i="18"/>
  <c r="Y32" i="18"/>
  <c r="M32" i="18"/>
  <c r="S32" i="18"/>
  <c r="AN30" i="18"/>
  <c r="AM30" i="18"/>
  <c r="AJ30" i="18"/>
  <c r="M30" i="18"/>
  <c r="Y30" i="18"/>
  <c r="G30" i="18"/>
  <c r="AG30" i="18"/>
  <c r="AE30" i="18"/>
  <c r="AK30" i="18"/>
  <c r="S30" i="18"/>
  <c r="AM28" i="18"/>
  <c r="AN28" i="18"/>
  <c r="AJ28" i="18"/>
  <c r="AK28" i="18"/>
  <c r="Y28" i="18"/>
  <c r="AG28" i="18"/>
  <c r="G28" i="18"/>
  <c r="M28" i="18"/>
  <c r="S28" i="18"/>
  <c r="AE28" i="18"/>
  <c r="AM26" i="18"/>
  <c r="AN26" i="18"/>
  <c r="AJ26" i="18"/>
  <c r="M26" i="18"/>
  <c r="G26" i="18"/>
  <c r="AK26" i="18"/>
  <c r="AG26" i="18"/>
  <c r="AE26" i="18"/>
  <c r="S26" i="18"/>
  <c r="Y26" i="18"/>
  <c r="AM24" i="18"/>
  <c r="AN24" i="18"/>
  <c r="AJ24" i="18"/>
  <c r="AG24" i="18"/>
  <c r="G24" i="18"/>
  <c r="M24" i="18"/>
  <c r="Y24" i="18"/>
  <c r="S24" i="18"/>
  <c r="AE24" i="18"/>
  <c r="AK24" i="18"/>
  <c r="AJ22" i="18"/>
  <c r="AM22" i="18"/>
  <c r="AN22" i="18"/>
  <c r="AG22" i="18"/>
  <c r="M22" i="18"/>
  <c r="AE22" i="18"/>
  <c r="S22" i="18"/>
  <c r="AK22" i="18"/>
  <c r="Y22" i="18"/>
  <c r="G22" i="18"/>
  <c r="AN20" i="18"/>
  <c r="AM20" i="18"/>
  <c r="AJ20" i="18"/>
  <c r="M20" i="18"/>
  <c r="S20" i="18"/>
  <c r="AE20" i="18"/>
  <c r="AK20" i="18"/>
  <c r="AL20" i="18" s="1"/>
  <c r="AG20" i="18"/>
  <c r="G20" i="18"/>
  <c r="Y20" i="18"/>
  <c r="AJ18" i="18"/>
  <c r="AM18" i="18"/>
  <c r="AN18" i="18"/>
  <c r="AG18" i="18"/>
  <c r="AE18" i="18"/>
  <c r="AK18" i="18"/>
  <c r="S18" i="18"/>
  <c r="Y18" i="18"/>
  <c r="M18" i="18"/>
  <c r="G18" i="18"/>
  <c r="AM16" i="18"/>
  <c r="AJ16" i="18"/>
  <c r="AN16" i="18"/>
  <c r="AE16" i="18"/>
  <c r="AK16" i="18"/>
  <c r="Y16" i="18"/>
  <c r="AG16" i="18"/>
  <c r="G16" i="18"/>
  <c r="M16" i="18"/>
  <c r="S16" i="18"/>
  <c r="AN14" i="18"/>
  <c r="AJ14" i="18"/>
  <c r="AM14" i="18"/>
  <c r="Y14" i="18"/>
  <c r="G14" i="18"/>
  <c r="AK14" i="18"/>
  <c r="AL14" i="18" s="1"/>
  <c r="AG14" i="18"/>
  <c r="M14" i="18"/>
  <c r="AE14" i="18"/>
  <c r="S14" i="18"/>
  <c r="AM12" i="18"/>
  <c r="AJ12" i="18"/>
  <c r="AN12" i="18"/>
  <c r="AK12" i="18"/>
  <c r="AG12" i="18"/>
  <c r="G12" i="18"/>
  <c r="M12" i="18"/>
  <c r="S12" i="18"/>
  <c r="AE12" i="18"/>
  <c r="Y12" i="18"/>
  <c r="AJ10" i="18"/>
  <c r="S10" i="18"/>
  <c r="AN10" i="18"/>
  <c r="G10" i="18"/>
  <c r="Y10" i="18"/>
  <c r="AE10" i="18"/>
  <c r="M10" i="18"/>
  <c r="AK10" i="18"/>
  <c r="AM10" i="18"/>
  <c r="AG10" i="18"/>
  <c r="AJ8" i="18"/>
  <c r="Y8" i="18"/>
  <c r="AM8" i="18"/>
  <c r="G8" i="18"/>
  <c r="AK8" i="18"/>
  <c r="AL8" i="18" s="1"/>
  <c r="S8" i="18"/>
  <c r="M8" i="18"/>
  <c r="AN8" i="18"/>
  <c r="AE8" i="18"/>
  <c r="AG8" i="18"/>
  <c r="AJ6" i="18"/>
  <c r="AN6" i="18"/>
  <c r="S6" i="18"/>
  <c r="Y6" i="18"/>
  <c r="AE6" i="18"/>
  <c r="M6" i="18"/>
  <c r="AK6" i="18"/>
  <c r="AM6" i="18"/>
  <c r="G6" i="18"/>
  <c r="AG6" i="18"/>
  <c r="AM39" i="18"/>
  <c r="AJ39" i="18"/>
  <c r="AN39" i="18"/>
  <c r="AG39" i="18"/>
  <c r="G39" i="18"/>
  <c r="M39" i="18"/>
  <c r="S39" i="18"/>
  <c r="AE39" i="18"/>
  <c r="Y39" i="18"/>
  <c r="AK39" i="18"/>
  <c r="AL39" i="18" s="1"/>
  <c r="AN33" i="18"/>
  <c r="AM33" i="18"/>
  <c r="AJ33" i="18"/>
  <c r="M33" i="18"/>
  <c r="G33" i="18"/>
  <c r="AE33" i="18"/>
  <c r="AK33" i="18"/>
  <c r="AL33" i="18" s="1"/>
  <c r="Y33" i="18"/>
  <c r="S33" i="18"/>
  <c r="AG33" i="18"/>
  <c r="AN29" i="18"/>
  <c r="AJ29" i="18"/>
  <c r="AM29" i="18"/>
  <c r="AK29" i="18"/>
  <c r="Y29" i="18"/>
  <c r="AG29" i="18"/>
  <c r="M29" i="18"/>
  <c r="G29" i="18"/>
  <c r="AE29" i="18"/>
  <c r="S29" i="18"/>
  <c r="AJ27" i="18"/>
  <c r="AM27" i="18"/>
  <c r="AN27" i="18"/>
  <c r="AG27" i="18"/>
  <c r="AK27" i="18"/>
  <c r="AL27" i="18" s="1"/>
  <c r="M27" i="18"/>
  <c r="S27" i="18"/>
  <c r="G27" i="18"/>
  <c r="AE27" i="18"/>
  <c r="Y27" i="18"/>
  <c r="AN25" i="18"/>
  <c r="AM25" i="18"/>
  <c r="AJ25" i="18"/>
  <c r="S25" i="18"/>
  <c r="M25" i="18"/>
  <c r="AE25" i="18"/>
  <c r="AG25" i="18"/>
  <c r="G25" i="18"/>
  <c r="AK25" i="18"/>
  <c r="Y25" i="18"/>
  <c r="AJ21" i="18"/>
  <c r="AN21" i="18"/>
  <c r="AM21" i="18"/>
  <c r="AG21" i="18"/>
  <c r="M21" i="18"/>
  <c r="G21" i="18"/>
  <c r="AE21" i="18"/>
  <c r="AK21" i="18"/>
  <c r="Y21" i="18"/>
  <c r="S21" i="18"/>
  <c r="AM19" i="18"/>
  <c r="AJ19" i="18"/>
  <c r="AN19" i="18"/>
  <c r="AG19" i="18"/>
  <c r="M19" i="18"/>
  <c r="S19" i="18"/>
  <c r="Y19" i="18"/>
  <c r="G19" i="18"/>
  <c r="AK19" i="18"/>
  <c r="AE19" i="18"/>
  <c r="AJ15" i="18"/>
  <c r="AM15" i="18"/>
  <c r="AN15" i="18"/>
  <c r="AE15" i="18"/>
  <c r="Y15" i="18"/>
  <c r="G15" i="18"/>
  <c r="AK15" i="18"/>
  <c r="AG15" i="18"/>
  <c r="M15" i="18"/>
  <c r="S15" i="18"/>
  <c r="AJ11" i="18"/>
  <c r="M11" i="18"/>
  <c r="Y11" i="18"/>
  <c r="AK11" i="18"/>
  <c r="AE11" i="18"/>
  <c r="AM11" i="18"/>
  <c r="AN11" i="18"/>
  <c r="S11" i="18"/>
  <c r="G11" i="18"/>
  <c r="AG11" i="18"/>
  <c r="AJ7" i="18"/>
  <c r="M7" i="18"/>
  <c r="Y7" i="18"/>
  <c r="AM7" i="18"/>
  <c r="G7" i="18"/>
  <c r="AK7" i="18"/>
  <c r="AE7" i="18"/>
  <c r="S7" i="18"/>
  <c r="AN7" i="18"/>
  <c r="AG7" i="18"/>
  <c r="AJ4" i="18"/>
  <c r="AM4" i="18"/>
  <c r="H27" i="3" s="1"/>
  <c r="AE4" i="18"/>
  <c r="H19" i="3" s="1"/>
  <c r="AG4" i="18"/>
  <c r="D20" i="3" s="1"/>
  <c r="M4" i="18"/>
  <c r="H16" i="3" s="1"/>
  <c r="Y4" i="18"/>
  <c r="H18" i="3" s="1"/>
  <c r="AN4" i="18"/>
  <c r="H28" i="3" s="1"/>
  <c r="AK4" i="18"/>
  <c r="J30" i="3" s="1"/>
  <c r="G4" i="18"/>
  <c r="H15" i="3" s="1"/>
  <c r="S4" i="18"/>
  <c r="H17" i="3" s="1"/>
  <c r="AD4" i="18"/>
  <c r="G19" i="3" s="1"/>
  <c r="I19" i="3" s="1"/>
  <c r="F4" i="18"/>
  <c r="G15" i="3" s="1"/>
  <c r="L4" i="18"/>
  <c r="G16" i="3" s="1"/>
  <c r="AA4" i="18"/>
  <c r="D19" i="3" s="1"/>
  <c r="X4" i="18"/>
  <c r="G18" i="3" s="1"/>
  <c r="I18" i="3" s="1"/>
  <c r="U4" i="18"/>
  <c r="D18" i="3" s="1"/>
  <c r="R4" i="18"/>
  <c r="G17" i="3" s="1"/>
  <c r="I4" i="18"/>
  <c r="D16" i="3" s="1"/>
  <c r="O4" i="18"/>
  <c r="D17" i="3" s="1"/>
  <c r="R37" i="18"/>
  <c r="U37" i="18"/>
  <c r="AD37" i="18"/>
  <c r="L37" i="18"/>
  <c r="X37" i="18"/>
  <c r="F37" i="18"/>
  <c r="AA37" i="18"/>
  <c r="I37" i="18"/>
  <c r="O37" i="18"/>
  <c r="AD35" i="18"/>
  <c r="F35" i="18"/>
  <c r="U35" i="18"/>
  <c r="X35" i="18"/>
  <c r="AA35" i="18"/>
  <c r="R35" i="18"/>
  <c r="L35" i="18"/>
  <c r="O35" i="18"/>
  <c r="I35" i="18"/>
  <c r="R33" i="18"/>
  <c r="U33" i="18"/>
  <c r="AD33" i="18"/>
  <c r="L33" i="18"/>
  <c r="AA33" i="18"/>
  <c r="X33" i="18"/>
  <c r="F33" i="18"/>
  <c r="I33" i="18"/>
  <c r="O33" i="18"/>
  <c r="AD31" i="18"/>
  <c r="F31" i="18"/>
  <c r="U31" i="18"/>
  <c r="X31" i="18"/>
  <c r="R31" i="18"/>
  <c r="AA31" i="18"/>
  <c r="O31" i="18"/>
  <c r="L31" i="18"/>
  <c r="I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A38" i="18"/>
  <c r="AD38" i="18"/>
  <c r="O38" i="18"/>
  <c r="X38" i="18"/>
  <c r="F38" i="18"/>
  <c r="R38" i="18"/>
  <c r="U38" i="18"/>
  <c r="I38" i="18"/>
  <c r="X36" i="18"/>
  <c r="AA36" i="18"/>
  <c r="F36" i="18"/>
  <c r="O36" i="18"/>
  <c r="R36" i="18"/>
  <c r="U36" i="18"/>
  <c r="AD36" i="18"/>
  <c r="L36" i="18"/>
  <c r="I36" i="18"/>
  <c r="L34" i="18"/>
  <c r="AA34" i="18"/>
  <c r="R34" i="18"/>
  <c r="U34" i="18"/>
  <c r="O34" i="18"/>
  <c r="AD34" i="18"/>
  <c r="X34" i="18"/>
  <c r="I34" i="18"/>
  <c r="F34" i="18"/>
  <c r="X32" i="18"/>
  <c r="AA32" i="18"/>
  <c r="AD32" i="18"/>
  <c r="L32" i="18"/>
  <c r="F32" i="18"/>
  <c r="O32" i="18"/>
  <c r="U32" i="18"/>
  <c r="I32" i="18"/>
  <c r="R32" i="18"/>
  <c r="L30" i="18"/>
  <c r="AA30" i="18"/>
  <c r="X30" i="18"/>
  <c r="F30" i="18"/>
  <c r="R30" i="18"/>
  <c r="O30" i="18"/>
  <c r="AD30" i="18"/>
  <c r="I30" i="18"/>
  <c r="U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U39" i="18"/>
  <c r="AA39" i="18"/>
  <c r="X39" i="18"/>
  <c r="O39" i="18"/>
  <c r="I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17" i="18" l="1"/>
  <c r="AL18" i="18"/>
  <c r="AL15" i="18"/>
  <c r="AL25" i="18"/>
  <c r="AL6" i="18"/>
  <c r="I30" i="3"/>
  <c r="I15" i="3"/>
  <c r="I16" i="3"/>
  <c r="J28" i="3"/>
  <c r="J27" i="3"/>
  <c r="J29" i="3"/>
  <c r="I17" i="3"/>
  <c r="AL21" i="18"/>
  <c r="AL10" i="18"/>
  <c r="AL22" i="18"/>
  <c r="AL24" i="18"/>
  <c r="AL9" i="18"/>
  <c r="AL35" i="18"/>
  <c r="AL37" i="18"/>
  <c r="AL7" i="18"/>
  <c r="AL11" i="18"/>
  <c r="AL28" i="18"/>
  <c r="I28" i="3"/>
  <c r="I29" i="3"/>
  <c r="I27" i="3"/>
  <c r="G20" i="3"/>
  <c r="AL4" i="18"/>
  <c r="AL19" i="18"/>
  <c r="AL16" i="18"/>
  <c r="AL32" i="18"/>
  <c r="H20" i="3"/>
  <c r="AL29" i="18"/>
  <c r="AL12" i="18"/>
  <c r="AL26" i="18"/>
  <c r="AL36" i="18"/>
  <c r="AL13" i="18"/>
  <c r="AL31" i="18"/>
  <c r="AL30" i="18"/>
  <c r="AL5" i="18"/>
  <c r="D15" i="3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I5" i="25" l="1"/>
  <c r="U6" i="24" s="1"/>
  <c r="I11" i="25"/>
  <c r="I19" i="25"/>
  <c r="I25" i="25"/>
  <c r="I33" i="25"/>
  <c r="I41" i="25"/>
  <c r="I9" i="25"/>
  <c r="U10" i="24" s="1"/>
  <c r="I17" i="25"/>
  <c r="I27" i="25"/>
  <c r="I35" i="25"/>
  <c r="J6" i="25"/>
  <c r="V7" i="24" s="1"/>
  <c r="J10" i="25"/>
  <c r="V11" i="24" s="1"/>
  <c r="J14" i="25"/>
  <c r="J18" i="25"/>
  <c r="J22" i="25"/>
  <c r="I26" i="25"/>
  <c r="I30" i="25"/>
  <c r="I34" i="25"/>
  <c r="I38" i="25"/>
  <c r="J3" i="25"/>
  <c r="V4" i="24" s="1"/>
  <c r="K28" i="23" s="1"/>
  <c r="I7" i="25"/>
  <c r="U8" i="24" s="1"/>
  <c r="I15" i="25"/>
  <c r="I21" i="25"/>
  <c r="I29" i="25"/>
  <c r="I37" i="25"/>
  <c r="I23" i="25"/>
  <c r="I31" i="25"/>
  <c r="J4" i="25"/>
  <c r="V5" i="24" s="1"/>
  <c r="J12" i="25"/>
  <c r="J20" i="25"/>
  <c r="I28" i="25"/>
  <c r="I36" i="25"/>
  <c r="I3" i="25"/>
  <c r="U4" i="24" s="1"/>
  <c r="K27" i="23" s="1"/>
  <c r="J7" i="25"/>
  <c r="V8" i="24" s="1"/>
  <c r="J15" i="25"/>
  <c r="J21" i="25"/>
  <c r="J29" i="25"/>
  <c r="J37" i="25"/>
  <c r="J13" i="25"/>
  <c r="J23" i="25"/>
  <c r="J31" i="25"/>
  <c r="J39" i="25"/>
  <c r="I4" i="25"/>
  <c r="U5" i="24" s="1"/>
  <c r="I8" i="25"/>
  <c r="U9" i="24" s="1"/>
  <c r="I12" i="25"/>
  <c r="I16" i="25"/>
  <c r="I20" i="25"/>
  <c r="J24" i="25"/>
  <c r="J28" i="25"/>
  <c r="J32" i="25"/>
  <c r="J36" i="25"/>
  <c r="J40" i="25"/>
  <c r="J5" i="25"/>
  <c r="V6" i="24" s="1"/>
  <c r="J11" i="25"/>
  <c r="J19" i="25"/>
  <c r="J25" i="25"/>
  <c r="J33" i="25"/>
  <c r="J41" i="25"/>
  <c r="J9" i="25"/>
  <c r="V10" i="24" s="1"/>
  <c r="J17" i="25"/>
  <c r="J27" i="25"/>
  <c r="J35" i="25"/>
  <c r="I6" i="25"/>
  <c r="U7" i="24" s="1"/>
  <c r="I10" i="25"/>
  <c r="U11" i="24" s="1"/>
  <c r="I14" i="25"/>
  <c r="I18" i="25"/>
  <c r="I22" i="25"/>
  <c r="J26" i="25"/>
  <c r="J30" i="25"/>
  <c r="J34" i="25"/>
  <c r="J38" i="25"/>
  <c r="I13" i="25"/>
  <c r="I39" i="25"/>
  <c r="J8" i="25"/>
  <c r="V9" i="24" s="1"/>
  <c r="J16" i="25"/>
  <c r="I24" i="25"/>
  <c r="I32" i="25"/>
  <c r="I40" i="25"/>
  <c r="I20" i="3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V38" i="24" l="1"/>
  <c r="V17" i="24"/>
  <c r="V13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V32" i="24"/>
  <c r="V28" i="24"/>
  <c r="V24" i="24"/>
  <c r="V20" i="24"/>
  <c r="V16" i="24"/>
  <c r="V12" i="24"/>
  <c r="V39" i="24"/>
  <c r="V35" i="24"/>
  <c r="V34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40" i="24"/>
  <c r="U36" i="24"/>
  <c r="U15" i="24"/>
  <c r="U34" i="24"/>
  <c r="U30" i="24"/>
  <c r="U26" i="24"/>
  <c r="U22" i="24"/>
  <c r="U18" i="24"/>
  <c r="U14" i="24"/>
  <c r="U41" i="24"/>
  <c r="U37" i="24"/>
  <c r="U38" i="24"/>
  <c r="U31" i="24"/>
  <c r="U27" i="24"/>
  <c r="U23" i="24"/>
  <c r="U19" i="24"/>
  <c r="U17" i="24"/>
  <c r="U13" i="24"/>
  <c r="Q9" i="24"/>
  <c r="AB9" i="18"/>
  <c r="Q7" i="24"/>
  <c r="AB7" i="18"/>
  <c r="Q6" i="24"/>
  <c r="AB6" i="18"/>
  <c r="G16" i="23"/>
  <c r="K16" i="23" s="1"/>
  <c r="J4" i="18"/>
  <c r="E16" i="3" s="1"/>
  <c r="F16" i="3" s="1"/>
  <c r="J16" i="3" s="1"/>
  <c r="Q10" i="24"/>
  <c r="AB10" i="18"/>
  <c r="Q11" i="24"/>
  <c r="AB11" i="18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5" i="24"/>
  <c r="AB5" i="18"/>
  <c r="G15" i="23"/>
  <c r="K15" i="23" s="1"/>
  <c r="D4" i="18"/>
  <c r="Q8" i="24"/>
  <c r="AB8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K14" i="24" s="1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E24" i="24" s="1"/>
  <c r="D28" i="24"/>
  <c r="E28" i="24" s="1"/>
  <c r="D32" i="24"/>
  <c r="D36" i="24"/>
  <c r="D40" i="24"/>
  <c r="D13" i="24"/>
  <c r="D17" i="24"/>
  <c r="E17" i="24" s="1"/>
  <c r="D21" i="24"/>
  <c r="E21" i="24" s="1"/>
  <c r="D25" i="24"/>
  <c r="E25" i="24" s="1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H4" i="24"/>
  <c r="N4" i="24"/>
  <c r="K4" i="24"/>
  <c r="C23" i="23"/>
  <c r="D23" i="23"/>
  <c r="E20" i="3" l="1"/>
  <c r="F20" i="3" s="1"/>
  <c r="J20" i="3" s="1"/>
  <c r="AI4" i="18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T9" i="24"/>
  <c r="AH9" i="18"/>
  <c r="AI9" i="18" s="1"/>
  <c r="AH15" i="18"/>
  <c r="AI15" i="18" s="1"/>
  <c r="AH19" i="18"/>
  <c r="AI19" i="18" s="1"/>
  <c r="AH23" i="18"/>
  <c r="AI23" i="18" s="1"/>
  <c r="AH27" i="18"/>
  <c r="AI27" i="18" s="1"/>
  <c r="AH31" i="18"/>
  <c r="AI31" i="18" s="1"/>
  <c r="AH35" i="18"/>
  <c r="AI35" i="18" s="1"/>
  <c r="AH39" i="18"/>
  <c r="AI39" i="18" s="1"/>
  <c r="AH22" i="18"/>
  <c r="AI22" i="18" s="1"/>
  <c r="AH30" i="18"/>
  <c r="AI30" i="18" s="1"/>
  <c r="AH38" i="18"/>
  <c r="AI38" i="18" s="1"/>
  <c r="AH12" i="18"/>
  <c r="AI12" i="18" s="1"/>
  <c r="AH16" i="18"/>
  <c r="AI16" i="18" s="1"/>
  <c r="AH20" i="18"/>
  <c r="AI20" i="18" s="1"/>
  <c r="AH24" i="18"/>
  <c r="AI24" i="18" s="1"/>
  <c r="AH28" i="18"/>
  <c r="AI28" i="18" s="1"/>
  <c r="AH32" i="18"/>
  <c r="AI32" i="18" s="1"/>
  <c r="AH36" i="18"/>
  <c r="AI36" i="18" s="1"/>
  <c r="AH40" i="18"/>
  <c r="AI40" i="18" s="1"/>
  <c r="AH13" i="18"/>
  <c r="AI13" i="18" s="1"/>
  <c r="AH17" i="18"/>
  <c r="AI17" i="18" s="1"/>
  <c r="AH21" i="18"/>
  <c r="AI21" i="18" s="1"/>
  <c r="AH25" i="18"/>
  <c r="AI25" i="18" s="1"/>
  <c r="AH29" i="18"/>
  <c r="AI29" i="18" s="1"/>
  <c r="AH33" i="18"/>
  <c r="AI33" i="18" s="1"/>
  <c r="AH37" i="18"/>
  <c r="AI37" i="18" s="1"/>
  <c r="AH41" i="18"/>
  <c r="AI41" i="18" s="1"/>
  <c r="AH14" i="18"/>
  <c r="AI14" i="18" s="1"/>
  <c r="AH18" i="18"/>
  <c r="AI18" i="18" s="1"/>
  <c r="AH26" i="18"/>
  <c r="AI26" i="18" s="1"/>
  <c r="AH34" i="18"/>
  <c r="AI34" i="18" s="1"/>
  <c r="AH42" i="18"/>
  <c r="AI42" i="18" s="1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Q12" i="24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F15" i="3" s="1"/>
  <c r="J15" i="3" s="1"/>
  <c r="E4" i="18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J23" i="3" l="1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35" i="18" l="1"/>
  <c r="AU35" i="18" s="1"/>
  <c r="AT18" i="18"/>
  <c r="AU18" i="18" s="1"/>
  <c r="AT9" i="18"/>
  <c r="AU9" i="18" s="1"/>
  <c r="AT31" i="18"/>
  <c r="AU31" i="18" s="1"/>
  <c r="AT33" i="18"/>
  <c r="AU33" i="18" s="1"/>
  <c r="AT21" i="18"/>
  <c r="AU21" i="18" s="1"/>
  <c r="AT8" i="18"/>
  <c r="AU8" i="18" s="1"/>
  <c r="AT20" i="18"/>
  <c r="AU20" i="18" s="1"/>
  <c r="AT23" i="18"/>
  <c r="AU23" i="18" s="1"/>
  <c r="AT26" i="18"/>
  <c r="AU26" i="18" s="1"/>
  <c r="AT10" i="18"/>
  <c r="AU10" i="18" s="1"/>
  <c r="AT7" i="18"/>
  <c r="AU7" i="18" s="1"/>
  <c r="AT12" i="18"/>
  <c r="AU12" i="18" s="1"/>
  <c r="AT22" i="18"/>
  <c r="AU22" i="18" s="1"/>
  <c r="AT39" i="18"/>
  <c r="AT36" i="18"/>
  <c r="AU36" i="18" s="1"/>
  <c r="AT32" i="18"/>
  <c r="AU32" i="18" s="1"/>
  <c r="AT38" i="18"/>
  <c r="AU38" i="18" s="1"/>
  <c r="AT28" i="18"/>
  <c r="AU28" i="18" s="1"/>
  <c r="AT37" i="18"/>
  <c r="AU37" i="18" s="1"/>
  <c r="AT13" i="18"/>
  <c r="AU13" i="18" s="1"/>
  <c r="AT17" i="18"/>
  <c r="AU17" i="18" s="1"/>
  <c r="AT19" i="18"/>
  <c r="AU19" i="18" s="1"/>
  <c r="AT25" i="18"/>
  <c r="AU25" i="18" s="1"/>
  <c r="AT16" i="18"/>
  <c r="AU16" i="18" s="1"/>
  <c r="AT6" i="18"/>
  <c r="AU6" i="18" s="1"/>
  <c r="AT11" i="18"/>
  <c r="AU11" i="18" s="1"/>
  <c r="AT24" i="18"/>
  <c r="AU24" i="18" s="1"/>
  <c r="AT41" i="18"/>
  <c r="AU41" i="18" s="1"/>
  <c r="AT30" i="18"/>
  <c r="AU30" i="18" s="1"/>
  <c r="AT27" i="18"/>
  <c r="AU27" i="18" s="1"/>
  <c r="AT29" i="18"/>
  <c r="AU29" i="18" s="1"/>
  <c r="AT15" i="18"/>
  <c r="AU15" i="18" s="1"/>
  <c r="AT5" i="18"/>
  <c r="AU5" i="18" s="1"/>
  <c r="AT40" i="18"/>
  <c r="AU40" i="18" s="1"/>
  <c r="AT42" i="18"/>
  <c r="AU42" i="18" s="1"/>
  <c r="AT34" i="18"/>
  <c r="AU34" i="18" s="1"/>
  <c r="AT14" i="18"/>
  <c r="AU14" i="18" s="1"/>
  <c r="AU39" i="18"/>
</calcChain>
</file>

<file path=xl/sharedStrings.xml><?xml version="1.0" encoding="utf-8"?>
<sst xmlns="http://schemas.openxmlformats.org/spreadsheetml/2006/main" count="414" uniqueCount="117">
  <si>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</si>
  <si>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</si>
  <si>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</si>
  <si>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</si>
  <si>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</si>
  <si>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</si>
  <si>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</si>
  <si>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</si>
  <si>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</si>
  <si>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</si>
  <si>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</si>
  <si>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</si>
  <si>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</si>
  <si>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</si>
  <si>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</si>
  <si>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</si>
  <si>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</si>
  <si>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</si>
  <si>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</si>
  <si>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</si>
  <si>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</si>
  <si>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</si>
  <si>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</si>
  <si>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</si>
  <si>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</si>
  <si>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</si>
  <si>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</si>
  <si>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</si>
  <si>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</si>
  <si>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</si>
  <si>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</si>
  <si>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</si>
  <si>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</si>
  <si>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</si>
  <si>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</si>
  <si>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</si>
  <si>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</si>
  <si>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</si>
  <si>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</si>
  <si>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</si>
  <si>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</si>
  <si>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</si>
  <si>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</si>
  <si>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</si>
  <si>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</si>
  <si>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</si>
  <si>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</si>
  <si>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</si>
  <si>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</si>
  <si>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</si>
  <si>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</si>
  <si>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</si>
  <si>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</si>
  <si>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</si>
  <si>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</si>
  <si>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</si>
  <si>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</si>
  <si>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</si>
  <si>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</si>
  <si>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</si>
  <si>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</si>
  <si>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</si>
  <si>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</si>
  <si>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</si>
  <si>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</si>
  <si>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</si>
  <si>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</si>
  <si>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</si>
  <si>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</si>
  <si>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</si>
  <si>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</si>
  <si>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</si>
  <si>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</si>
  <si>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</si>
  <si>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</si>
  <si>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</si>
  <si>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</si>
  <si>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</si>
  <si>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</si>
  <si>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</si>
  <si>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</si>
  <si>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</si>
  <si>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</si>
  <si>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</si>
  <si>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</si>
  <si>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</si>
  <si>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</si>
  <si>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</si>
  <si>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</si>
  <si>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</si>
  <si>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</si>
  <si>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</si>
  <si>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</si>
  <si>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</si>
  <si>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</si>
  <si>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</si>
  <si>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</si>
  <si>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ECONOMICS</t>
  </si>
  <si>
    <t>HISTORY</t>
  </si>
  <si>
    <t>POLITICAL SCIENCE</t>
  </si>
  <si>
    <t>GEOGRAPHY</t>
  </si>
  <si>
    <t>COMIPILE REPORT (2025-26) CLASS - XI-Human</t>
  </si>
  <si>
    <t>ANNUAL EXAMINATION (2025-26) CLASS - XI-Human</t>
  </si>
  <si>
    <t>UNIT TEST-II (2025-26) CLASS - XI-Human</t>
  </si>
  <si>
    <t>Half Yearly Compile Report (2025-26) Class - XI-Human</t>
  </si>
  <si>
    <t>HALF YEARLY EXAMINATION (2025-26) CLASS - XI-Human</t>
  </si>
  <si>
    <t>UNIT TEST-I (2025-26) CLASS - XI-Human</t>
  </si>
  <si>
    <t>Elective1 Code</t>
  </si>
  <si>
    <t>ARYAN GUPTA</t>
  </si>
  <si>
    <t>ANJALI GUPTA</t>
  </si>
  <si>
    <t>PREMCHANDRA GUPTA</t>
  </si>
  <si>
    <t>07.07.2008</t>
  </si>
  <si>
    <t>SANJANA PATEL</t>
  </si>
  <si>
    <t>REKHA VERMA</t>
  </si>
  <si>
    <t>LATE MITHLESH KUMAR</t>
  </si>
  <si>
    <t>15.04.2009</t>
  </si>
  <si>
    <t>XI-HUM.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</si>
</sst>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8778" y="7192118"/>
          <a:ext cx="5610438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"/>
  <sheetViews>
    <sheetView zoomScale="130" zoomScaleNormal="130" workbookViewId="0">
      <selection activeCell="I6" sqref="I6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10.88671875" bestFit="1" customWidth="1"/>
    <col min="8" max="8" width="13.77734375" bestFit="1" customWidth="1"/>
  </cols>
  <sheetData>
    <row r="1" spans="1:11" x14ac:dyDescent="0.3">
      <c r="A1" s="42" t="s">
        <v>38</v>
      </c>
      <c r="B1" s="42"/>
      <c r="C1" s="42"/>
      <c r="D1" s="42"/>
      <c r="E1" s="42"/>
      <c r="F1" s="42"/>
      <c r="G1" s="42"/>
      <c r="H1" s="42"/>
    </row>
    <row r="2" spans="1:11" x14ac:dyDescent="0.3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94</v>
      </c>
      <c r="H2" s="33" t="s">
        <v>107</v>
      </c>
    </row>
    <row r="3" spans="1:11" x14ac:dyDescent="0.3">
      <c r="A3" s="22">
        <v>1925</v>
      </c>
      <c r="B3" s="21" t="s">
        <v>108</v>
      </c>
      <c r="C3" s="3" t="s">
        <v>109</v>
      </c>
      <c r="D3" s="3" t="s">
        <v>110</v>
      </c>
      <c r="E3" s="3" t="s">
        <v>111</v>
      </c>
      <c r="F3" s="3" t="s">
        <v>116</v>
      </c>
      <c r="G3" s="3" t="s">
        <v>95</v>
      </c>
      <c r="H3" s="3">
        <v>302</v>
      </c>
      <c r="K3">
        <v>302</v>
      </c>
    </row>
    <row r="4" spans="1:11" x14ac:dyDescent="0.3">
      <c r="A4" s="22">
        <v>1918</v>
      </c>
      <c r="B4" s="21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/>
      <c r="H4" s="3"/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"/>
  <sheetViews>
    <sheetView tabSelected="1" workbookViewId="0">
      <selection activeCell="E22" sqref="E22"/>
    </sheetView>
  </sheetViews>
  <sheetFormatPr defaultRowHeight="14.4" x14ac:dyDescent="0.3"/>
  <cols>
    <col min="2" max="2" width="22.33203125" bestFit="1" customWidth="1"/>
    <col min="6" max="6" width="11.21875" customWidth="1"/>
    <col min="7" max="7" width="11.5546875" bestFit="1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3" t="s">
        <v>106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4.4" customHeight="1" x14ac:dyDescent="0.3">
      <c r="A2" s="47" t="s">
        <v>39</v>
      </c>
      <c r="B2" s="47" t="s">
        <v>40</v>
      </c>
      <c r="C2" s="48" t="s">
        <v>9</v>
      </c>
      <c r="D2" s="48" t="s">
        <v>92</v>
      </c>
      <c r="E2" s="45" t="s">
        <v>98</v>
      </c>
      <c r="F2" s="45" t="s">
        <v>99</v>
      </c>
      <c r="G2" s="45" t="s">
        <v>100</v>
      </c>
      <c r="H2" s="45" t="s">
        <v>93</v>
      </c>
      <c r="I2" s="47" t="s">
        <v>60</v>
      </c>
      <c r="J2" s="47"/>
    </row>
    <row r="3" spans="1:10" x14ac:dyDescent="0.3">
      <c r="A3" s="47"/>
      <c r="B3" s="47"/>
      <c r="C3" s="49"/>
      <c r="D3" s="49"/>
      <c r="E3" s="46"/>
      <c r="F3" s="46"/>
      <c r="G3" s="46"/>
      <c r="H3" s="46"/>
      <c r="I3" s="25" t="s">
        <v>61</v>
      </c>
      <c r="J3" s="25" t="s">
        <v>62</v>
      </c>
    </row>
    <row r="4" spans="1:10" x14ac:dyDescent="0.3">
      <c r="A4" s="27">
        <f>DETAILS!A3</f>
        <v>1925</v>
      </c>
      <c r="B4" s="28" t="str">
        <f>DETAILS!B3</f>
        <v>ARYAN GUPTA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1918</v>
      </c>
      <c r="B5" s="3" t="str">
        <f>DETAILS!B4</f>
        <v>SANJANA PATEL</v>
      </c>
      <c r="C5" s="3"/>
      <c r="D5" s="3"/>
      <c r="E5" s="3"/>
      <c r="F5" s="3"/>
      <c r="G5" s="3"/>
      <c r="H5" s="3"/>
      <c r="I5" s="3"/>
      <c r="J5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5"/>
  <sheetViews>
    <sheetView zoomScaleNormal="100" workbookViewId="0">
      <selection activeCell="F16" sqref="F16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5" max="5" width="11.109375" bestFit="1" customWidth="1"/>
    <col min="6" max="6" width="10.77734375" bestFit="1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3" t="s">
        <v>106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4.4" customHeight="1" x14ac:dyDescent="0.3">
      <c r="A2" s="50" t="s">
        <v>39</v>
      </c>
      <c r="B2" s="50" t="s">
        <v>40</v>
      </c>
      <c r="C2" s="48" t="s">
        <v>9</v>
      </c>
      <c r="D2" s="48" t="s">
        <v>92</v>
      </c>
      <c r="E2" s="45" t="s">
        <v>98</v>
      </c>
      <c r="F2" s="45" t="s">
        <v>99</v>
      </c>
      <c r="G2" s="45" t="s">
        <v>100</v>
      </c>
      <c r="H2" s="45" t="s">
        <v>93</v>
      </c>
      <c r="I2" s="48" t="s">
        <v>41</v>
      </c>
      <c r="J2" s="48" t="s">
        <v>63</v>
      </c>
      <c r="K2" s="47" t="s">
        <v>60</v>
      </c>
      <c r="L2" s="47"/>
    </row>
    <row r="3" spans="1:12" x14ac:dyDescent="0.3">
      <c r="A3" s="51"/>
      <c r="B3" s="51"/>
      <c r="C3" s="49"/>
      <c r="D3" s="49"/>
      <c r="E3" s="46"/>
      <c r="F3" s="46"/>
      <c r="G3" s="46"/>
      <c r="H3" s="46"/>
      <c r="I3" s="49"/>
      <c r="J3" s="49"/>
      <c r="K3" s="25" t="s">
        <v>61</v>
      </c>
      <c r="L3" s="25" t="s">
        <v>62</v>
      </c>
    </row>
    <row r="4" spans="1:12" x14ac:dyDescent="0.3">
      <c r="A4" s="22">
        <f>DETAILS!A3</f>
        <v>1925</v>
      </c>
      <c r="B4" s="3" t="str">
        <f>DETAILS!B3</f>
        <v>ARYAN GUPTA</v>
      </c>
      <c r="C4" s="26">
        <f>IFERROR(ROUND((VLOOKUP(A4,'UT-I(Entry)'!$1:$1048576,3,0))/2.5,0),VLOOKUP(A4,'UT-I(Entry)'!$1:$1048576,3,0))</f>
        <v>0</v>
      </c>
      <c r="D4" s="26">
        <f>IF(VLOOKUP($A4,DETAILS!$1:$1048576,8,0)=DETAILS!$K$3,IFERROR(ROUND((VLOOKUP($A4,'UT-I(Entry)'!$1:$1048576,4,0))/2,0),VLOOKUP($A4,'UT-I(Entry)'!$1:$1048576,4,0)),IFERROR(ROUND((VLOOKUP($A4,'UT-I(Entry)'!$1:$1048576,4,0))/1.75,0),VLOOKUP($A4,'UT-I(Entry)'!$1:$1048576,4,0)))</f>
        <v>0</v>
      </c>
      <c r="E4" s="26">
        <f>IFERROR(ROUND((VLOOKUP(A4,'UT-I(Entry)'!$1:$1048576,5,0))/2.5,0),VLOOKUP(A4,'UT-I(Entry)'!$1:$1048576,5,0))</f>
        <v>0</v>
      </c>
      <c r="F4" s="26">
        <f>IFERROR(ROUND((VLOOKUP(A4,'UT-I(Entry)'!$1:$1048576,6,0))/2.5,0),VLOOKUP(A4,'UT-I(Entry)'!$1:$1048576,6,0))</f>
        <v>0</v>
      </c>
      <c r="G4" s="26">
        <f>IFERROR(ROUND((VLOOKUP($A4,'UT-I(Entry)'!$1:$1048576,7,0))/2.5,0),VLOOKUP($A4,'UT-I(Entry)'!$1:$1048576,7,0))</f>
        <v>0</v>
      </c>
      <c r="H4" s="26">
        <f>IFERROR(ROUND((VLOOKUP($A4,'UT-I(Entry)'!$1:$1048576,8,0))/2.5,0),VLOOKUP($A4,'UT-I(Entry)'!$1:$1048576,8,0))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VLOOKUP(A4,'UT-I(Entry)'!$1:$1048576,10,0)</f>
        <v>0</v>
      </c>
      <c r="L4" s="3">
        <f>VLOOKUP(A4,'UT-I(Entry)'!$1:$1048576,11,0)</f>
        <v>0</v>
      </c>
    </row>
    <row r="5" spans="1:12" x14ac:dyDescent="0.3">
      <c r="A5" s="22">
        <f>DETAILS!A4</f>
        <v>1918</v>
      </c>
      <c r="B5" s="3" t="str">
        <f>DETAILS!B4</f>
        <v>SANJANA PATEL</v>
      </c>
      <c r="C5" s="26">
        <f>IFERROR(ROUND((VLOOKUP(A5,'UT-I(Entry)'!$1:$1048576,3,0))/2.5,0),VLOOKUP(A5,'UT-I(Entry)'!$1:$1048576,3,0))</f>
        <v>0</v>
      </c>
      <c r="D5" s="26">
        <f>IF(VLOOKUP($A5,DETAILS!$1:$1048576,8,0)=DETAILS!$K$3,IFERROR(ROUND((VLOOKUP($A5,'UT-I(Entry)'!$1:$1048576,4,0))/2,0),VLOOKUP($A5,'UT-I(Entry)'!$1:$1048576,4,0)),IFERROR(ROUND((VLOOKUP($A5,'UT-I(Entry)'!$1:$1048576,4,0))/1.75,0),VLOOKUP($A5,'UT-I(Entry)'!$1:$1048576,4,0)))</f>
        <v>0</v>
      </c>
      <c r="E5" s="26">
        <f>IFERROR(ROUND((VLOOKUP(A5,'UT-I(Entry)'!$1:$1048576,5,0))/2.5,0),VLOOKUP(A5,'UT-I(Entry)'!$1:$1048576,5,0))</f>
        <v>0</v>
      </c>
      <c r="F5" s="26">
        <f>IFERROR(ROUND((VLOOKUP(A5,'UT-I(Entry)'!$1:$1048576,6,0))/2.5,0),VLOOKUP(A5,'UT-I(Entry)'!$1:$1048576,6,0))</f>
        <v>0</v>
      </c>
      <c r="G5" s="26">
        <f>IFERROR(ROUND((VLOOKUP($A5,'UT-I(Entry)'!$1:$1048576,7,0))/2.5,0),VLOOKUP($A5,'UT-I(Entry)'!$1:$1048576,7,0))</f>
        <v>0</v>
      </c>
      <c r="H5" s="26">
        <f>IFERROR(ROUND((VLOOKUP($A5,'UT-I(Entry)'!$1:$1048576,8,0))/2.5,0),VLOOKUP($A5,'UT-I(Entry)'!$1:$1048576,8,0))</f>
        <v>0</v>
      </c>
      <c r="I5" s="26">
        <f t="shared" ref="I5" si="0">SUM(C5:H5)</f>
        <v>0</v>
      </c>
      <c r="J5" s="26" t="str">
        <f t="shared" ref="J5" si="1">ROUND(I5/1.2,2)&amp;" %"</f>
        <v>0 %</v>
      </c>
      <c r="K5" s="3">
        <f>VLOOKUP(A5,'UT-I(Entry)'!$1:$1048576,10,0)</f>
        <v>0</v>
      </c>
      <c r="L5" s="3">
        <f>VLOOKUP(A5,'UT-I(Entry)'!$1:$1048576,11,0)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52" t="s">
        <v>105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44.25" customHeight="1" x14ac:dyDescent="0.3">
      <c r="A2" s="24" t="s">
        <v>39</v>
      </c>
      <c r="B2" s="24" t="s">
        <v>40</v>
      </c>
      <c r="C2" s="25" t="s">
        <v>9</v>
      </c>
      <c r="D2" s="25" t="s">
        <v>92</v>
      </c>
      <c r="E2" s="24" t="s">
        <v>98</v>
      </c>
      <c r="F2" s="24" t="s">
        <v>99</v>
      </c>
      <c r="G2" s="24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40"/>
      <c r="D3" s="40"/>
      <c r="E3" s="40"/>
      <c r="F3" s="40"/>
      <c r="G3" s="41"/>
      <c r="H3" s="41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52" t="s">
        <v>105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44.25" customHeight="1" x14ac:dyDescent="0.3">
      <c r="A2" s="24" t="s">
        <v>39</v>
      </c>
      <c r="B2" s="24" t="s">
        <v>40</v>
      </c>
      <c r="C2" s="39" t="s">
        <v>9</v>
      </c>
      <c r="D2" s="39" t="s">
        <v>92</v>
      </c>
      <c r="E2" s="24" t="s">
        <v>98</v>
      </c>
      <c r="F2" s="24" t="s">
        <v>99</v>
      </c>
      <c r="G2" s="24" t="s">
        <v>100</v>
      </c>
      <c r="H2" s="29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26" t="e">
        <f>VLOOKUP($A5,'HALF YEARLY(Entry)'!$1:$1048576,3,0)</f>
        <v>#REF!</v>
      </c>
      <c r="D5" s="26" t="e">
        <f>VLOOKUP($A5,'HALF YEARLY(Entry)'!$1:$1048576,4,0)</f>
        <v>#REF!</v>
      </c>
      <c r="E5" s="26" t="e">
        <f>VLOOKUP($A5,'HALF YEARLY(Entry)'!$1:$1048576,5,0)</f>
        <v>#REF!</v>
      </c>
      <c r="F5" s="26" t="e">
        <f>VLOOKUP($A5,'HALF YEARLY(Entry)'!$1:$1048576,6,0)</f>
        <v>#REF!</v>
      </c>
      <c r="G5" s="26" t="e">
        <f>VLOOKUP($A5,'HALF YEARLY(Entry)'!$1:$1048576,7,0)</f>
        <v>#REF!</v>
      </c>
      <c r="H5" s="26" t="e">
        <f>VLOOKUP($A5,'HALF YEARLY(Entry)'!$1:$1048576,8,0)</f>
        <v>#REF!</v>
      </c>
      <c r="I5" s="26" t="e">
        <f>VLOOKUP($A5,'HALF YEARLY(Entry)'!$1:$1048576,9,0)</f>
        <v>#REF!</v>
      </c>
      <c r="J5" s="26" t="e">
        <f>VLOOKUP($A5,'HALF YEARLY(Entry)'!$1:$1048576,10,0)</f>
        <v>#REF!</v>
      </c>
      <c r="K5" s="26" t="e">
        <f>VLOOKUP($A5,'HALF YEARLY(Entry)'!$1:$1048576,11,0)</f>
        <v>#REF!</v>
      </c>
      <c r="L5" s="26" t="e">
        <f>VLOOKUP($A5,'HALF YEARLY(Entry)'!$1:$1048576,12,0)</f>
        <v>#REF!</v>
      </c>
      <c r="M5" s="26" t="e">
        <f>VLOOKUP($A5,'HALF YEARLY(Entry)'!$1:$1048576,13,0)</f>
        <v>#REF!</v>
      </c>
      <c r="N5" s="26" t="e">
        <f>VLOOKUP($A5,'HALF YEARLY(Entry)'!$1:$1048576,14,0)</f>
        <v>#REF!</v>
      </c>
      <c r="O5" s="31" t="e">
        <f>VLOOKUP($A5,'HALF YEARLY(Entry)'!$1:$1048576,15,0)</f>
        <v>#REF!</v>
      </c>
      <c r="P5" s="26" t="e">
        <f t="shared" si="0"/>
        <v>#REF!</v>
      </c>
      <c r="Q5" s="26" t="e">
        <f t="shared" si="1"/>
        <v>#REF!</v>
      </c>
    </row>
    <row r="6" spans="1:17" x14ac:dyDescent="0.3">
      <c r="A6" s="22" t="e">
        <f>DETAILS!#REF!</f>
        <v>#REF!</v>
      </c>
      <c r="B6" s="3" t="e">
        <f>DETAILS!#REF!</f>
        <v>#REF!</v>
      </c>
      <c r="C6" s="26" t="e">
        <f>VLOOKUP($A6,'HALF YEARLY(Entry)'!$1:$1048576,3,0)</f>
        <v>#REF!</v>
      </c>
      <c r="D6" s="26" t="e">
        <f>VLOOKUP($A6,'HALF YEARLY(Entry)'!$1:$1048576,4,0)</f>
        <v>#REF!</v>
      </c>
      <c r="E6" s="26" t="e">
        <f>VLOOKUP($A6,'HALF YEARLY(Entry)'!$1:$1048576,5,0)</f>
        <v>#REF!</v>
      </c>
      <c r="F6" s="26" t="e">
        <f>VLOOKUP($A6,'HALF YEARLY(Entry)'!$1:$1048576,6,0)</f>
        <v>#REF!</v>
      </c>
      <c r="G6" s="26" t="e">
        <f>VLOOKUP($A6,'HALF YEARLY(Entry)'!$1:$1048576,7,0)</f>
        <v>#REF!</v>
      </c>
      <c r="H6" s="26" t="e">
        <f>VLOOKUP($A6,'HALF YEARLY(Entry)'!$1:$1048576,8,0)</f>
        <v>#REF!</v>
      </c>
      <c r="I6" s="26" t="e">
        <f>VLOOKUP($A6,'HALF YEARLY(Entry)'!$1:$1048576,9,0)</f>
        <v>#REF!</v>
      </c>
      <c r="J6" s="26" t="e">
        <f>VLOOKUP($A6,'HALF YEARLY(Entry)'!$1:$1048576,10,0)</f>
        <v>#REF!</v>
      </c>
      <c r="K6" s="26" t="e">
        <f>VLOOKUP($A6,'HALF YEARLY(Entry)'!$1:$1048576,11,0)</f>
        <v>#REF!</v>
      </c>
      <c r="L6" s="26" t="e">
        <f>VLOOKUP($A6,'HALF YEARLY(Entry)'!$1:$1048576,12,0)</f>
        <v>#REF!</v>
      </c>
      <c r="M6" s="26" t="e">
        <f>VLOOKUP($A6,'HALF YEARLY(Entry)'!$1:$1048576,13,0)</f>
        <v>#REF!</v>
      </c>
      <c r="N6" s="26" t="e">
        <f>VLOOKUP($A6,'HALF YEARLY(Entry)'!$1:$1048576,14,0)</f>
        <v>#REF!</v>
      </c>
      <c r="O6" s="31" t="e">
        <f>VLOOKUP($A6,'HALF YEARLY(Entry)'!$1:$1048576,15,0)</f>
        <v>#REF!</v>
      </c>
      <c r="P6" s="26" t="e">
        <f t="shared" si="0"/>
        <v>#REF!</v>
      </c>
      <c r="Q6" s="26" t="e">
        <f t="shared" si="1"/>
        <v>#REF!</v>
      </c>
    </row>
    <row r="7" spans="1:17" x14ac:dyDescent="0.3">
      <c r="A7" s="22" t="e">
        <f>DETAILS!#REF!</f>
        <v>#REF!</v>
      </c>
      <c r="B7" s="3" t="e">
        <f>DETAILS!#REF!</f>
        <v>#REF!</v>
      </c>
      <c r="C7" s="26" t="e">
        <f>VLOOKUP($A7,'HALF YEARLY(Entry)'!$1:$1048576,3,0)</f>
        <v>#REF!</v>
      </c>
      <c r="D7" s="26" t="e">
        <f>VLOOKUP($A7,'HALF YEARLY(Entry)'!$1:$1048576,4,0)</f>
        <v>#REF!</v>
      </c>
      <c r="E7" s="26" t="e">
        <f>VLOOKUP($A7,'HALF YEARLY(Entry)'!$1:$1048576,5,0)</f>
        <v>#REF!</v>
      </c>
      <c r="F7" s="26" t="e">
        <f>VLOOKUP($A7,'HALF YEARLY(Entry)'!$1:$1048576,6,0)</f>
        <v>#REF!</v>
      </c>
      <c r="G7" s="26" t="e">
        <f>VLOOKUP($A7,'HALF YEARLY(Entry)'!$1:$1048576,7,0)</f>
        <v>#REF!</v>
      </c>
      <c r="H7" s="26" t="e">
        <f>VLOOKUP($A7,'HALF YEARLY(Entry)'!$1:$1048576,8,0)</f>
        <v>#REF!</v>
      </c>
      <c r="I7" s="26" t="e">
        <f>VLOOKUP($A7,'HALF YEARLY(Entry)'!$1:$1048576,9,0)</f>
        <v>#REF!</v>
      </c>
      <c r="J7" s="26" t="e">
        <f>VLOOKUP($A7,'HALF YEARLY(Entry)'!$1:$1048576,10,0)</f>
        <v>#REF!</v>
      </c>
      <c r="K7" s="26" t="e">
        <f>VLOOKUP($A7,'HALF YEARLY(Entry)'!$1:$1048576,11,0)</f>
        <v>#REF!</v>
      </c>
      <c r="L7" s="26" t="e">
        <f>VLOOKUP($A7,'HALF YEARLY(Entry)'!$1:$1048576,12,0)</f>
        <v>#REF!</v>
      </c>
      <c r="M7" s="26" t="e">
        <f>VLOOKUP($A7,'HALF YEARLY(Entry)'!$1:$1048576,13,0)</f>
        <v>#REF!</v>
      </c>
      <c r="N7" s="26" t="e">
        <f>VLOOKUP($A7,'HALF YEARLY(Entry)'!$1:$1048576,14,0)</f>
        <v>#REF!</v>
      </c>
      <c r="O7" s="31" t="e">
        <f>VLOOKUP($A7,'HALF YEARLY(Entry)'!$1:$1048576,15,0)</f>
        <v>#REF!</v>
      </c>
      <c r="P7" s="26" t="e">
        <f t="shared" si="0"/>
        <v>#REF!</v>
      </c>
      <c r="Q7" s="26" t="e">
        <f t="shared" si="1"/>
        <v>#REF!</v>
      </c>
    </row>
    <row r="8" spans="1:17" x14ac:dyDescent="0.3">
      <c r="A8" s="22" t="e">
        <f>DETAILS!#REF!</f>
        <v>#REF!</v>
      </c>
      <c r="B8" s="3" t="e">
        <f>DETAILS!#REF!</f>
        <v>#REF!</v>
      </c>
      <c r="C8" s="26" t="e">
        <f>VLOOKUP($A8,'HALF YEARLY(Entry)'!$1:$1048576,3,0)</f>
        <v>#REF!</v>
      </c>
      <c r="D8" s="26" t="e">
        <f>VLOOKUP($A8,'HALF YEARLY(Entry)'!$1:$1048576,4,0)</f>
        <v>#REF!</v>
      </c>
      <c r="E8" s="26" t="e">
        <f>VLOOKUP($A8,'HALF YEARLY(Entry)'!$1:$1048576,5,0)</f>
        <v>#REF!</v>
      </c>
      <c r="F8" s="26" t="e">
        <f>VLOOKUP($A8,'HALF YEARLY(Entry)'!$1:$1048576,6,0)</f>
        <v>#REF!</v>
      </c>
      <c r="G8" s="26" t="e">
        <f>VLOOKUP($A8,'HALF YEARLY(Entry)'!$1:$1048576,7,0)</f>
        <v>#REF!</v>
      </c>
      <c r="H8" s="26" t="e">
        <f>VLOOKUP($A8,'HALF YEARLY(Entry)'!$1:$1048576,8,0)</f>
        <v>#REF!</v>
      </c>
      <c r="I8" s="26" t="e">
        <f>VLOOKUP($A8,'HALF YEARLY(Entry)'!$1:$1048576,9,0)</f>
        <v>#REF!</v>
      </c>
      <c r="J8" s="26" t="e">
        <f>VLOOKUP($A8,'HALF YEARLY(Entry)'!$1:$1048576,10,0)</f>
        <v>#REF!</v>
      </c>
      <c r="K8" s="26" t="e">
        <f>VLOOKUP($A8,'HALF YEARLY(Entry)'!$1:$1048576,11,0)</f>
        <v>#REF!</v>
      </c>
      <c r="L8" s="26" t="e">
        <f>VLOOKUP($A8,'HALF YEARLY(Entry)'!$1:$1048576,12,0)</f>
        <v>#REF!</v>
      </c>
      <c r="M8" s="26" t="e">
        <f>VLOOKUP($A8,'HALF YEARLY(Entry)'!$1:$1048576,13,0)</f>
        <v>#REF!</v>
      </c>
      <c r="N8" s="26" t="e">
        <f>VLOOKUP($A8,'HALF YEARLY(Entry)'!$1:$1048576,14,0)</f>
        <v>#REF!</v>
      </c>
      <c r="O8" s="31" t="e">
        <f>VLOOKUP($A8,'HALF YEARLY(Entry)'!$1:$1048576,15,0)</f>
        <v>#REF!</v>
      </c>
      <c r="P8" s="26" t="e">
        <f t="shared" si="0"/>
        <v>#REF!</v>
      </c>
      <c r="Q8" s="26" t="e">
        <f t="shared" si="1"/>
        <v>#REF!</v>
      </c>
    </row>
    <row r="9" spans="1:17" x14ac:dyDescent="0.3">
      <c r="A9" s="22" t="e">
        <f>DETAILS!#REF!</f>
        <v>#REF!</v>
      </c>
      <c r="B9" s="3" t="e">
        <f>DETAILS!#REF!</f>
        <v>#REF!</v>
      </c>
      <c r="C9" s="26" t="e">
        <f>VLOOKUP($A9,'HALF YEARLY(Entry)'!$1:$1048576,3,0)</f>
        <v>#REF!</v>
      </c>
      <c r="D9" s="26" t="e">
        <f>VLOOKUP($A9,'HALF YEARLY(Entry)'!$1:$1048576,4,0)</f>
        <v>#REF!</v>
      </c>
      <c r="E9" s="26" t="e">
        <f>VLOOKUP($A9,'HALF YEARLY(Entry)'!$1:$1048576,5,0)</f>
        <v>#REF!</v>
      </c>
      <c r="F9" s="26" t="e">
        <f>VLOOKUP($A9,'HALF YEARLY(Entry)'!$1:$1048576,6,0)</f>
        <v>#REF!</v>
      </c>
      <c r="G9" s="26" t="e">
        <f>VLOOKUP($A9,'HALF YEARLY(Entry)'!$1:$1048576,7,0)</f>
        <v>#REF!</v>
      </c>
      <c r="H9" s="26" t="e">
        <f>VLOOKUP($A9,'HALF YEARLY(Entry)'!$1:$1048576,8,0)</f>
        <v>#REF!</v>
      </c>
      <c r="I9" s="26" t="e">
        <f>VLOOKUP($A9,'HALF YEARLY(Entry)'!$1:$1048576,9,0)</f>
        <v>#REF!</v>
      </c>
      <c r="J9" s="26" t="e">
        <f>VLOOKUP($A9,'HALF YEARLY(Entry)'!$1:$1048576,10,0)</f>
        <v>#REF!</v>
      </c>
      <c r="K9" s="26" t="e">
        <f>VLOOKUP($A9,'HALF YEARLY(Entry)'!$1:$1048576,11,0)</f>
        <v>#REF!</v>
      </c>
      <c r="L9" s="26" t="e">
        <f>VLOOKUP($A9,'HALF YEARLY(Entry)'!$1:$1048576,12,0)</f>
        <v>#REF!</v>
      </c>
      <c r="M9" s="26" t="e">
        <f>VLOOKUP($A9,'HALF YEARLY(Entry)'!$1:$1048576,13,0)</f>
        <v>#REF!</v>
      </c>
      <c r="N9" s="26" t="e">
        <f>VLOOKUP($A9,'HALF YEARLY(Entry)'!$1:$1048576,14,0)</f>
        <v>#REF!</v>
      </c>
      <c r="O9" s="31" t="e">
        <f>VLOOKUP($A9,'HALF YEARLY(Entry)'!$1:$1048576,15,0)</f>
        <v>#REF!</v>
      </c>
      <c r="P9" s="26" t="e">
        <f t="shared" si="0"/>
        <v>#REF!</v>
      </c>
      <c r="Q9" s="26" t="e">
        <f t="shared" si="1"/>
        <v>#REF!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26" t="e">
        <f>VLOOKUP($A10,'HALF YEARLY(Entry)'!$1:$1048576,3,0)</f>
        <v>#REF!</v>
      </c>
      <c r="D10" s="26" t="e">
        <f>VLOOKUP($A10,'HALF YEARLY(Entry)'!$1:$1048576,4,0)</f>
        <v>#REF!</v>
      </c>
      <c r="E10" s="26" t="e">
        <f>VLOOKUP($A10,'HALF YEARLY(Entry)'!$1:$1048576,5,0)</f>
        <v>#REF!</v>
      </c>
      <c r="F10" s="26" t="e">
        <f>VLOOKUP($A10,'HALF YEARLY(Entry)'!$1:$1048576,6,0)</f>
        <v>#REF!</v>
      </c>
      <c r="G10" s="26" t="e">
        <f>VLOOKUP($A10,'HALF YEARLY(Entry)'!$1:$1048576,7,0)</f>
        <v>#REF!</v>
      </c>
      <c r="H10" s="26" t="e">
        <f>VLOOKUP($A10,'HALF YEARLY(Entry)'!$1:$1048576,8,0)</f>
        <v>#REF!</v>
      </c>
      <c r="I10" s="26" t="e">
        <f>VLOOKUP($A10,'HALF YEARLY(Entry)'!$1:$1048576,9,0)</f>
        <v>#REF!</v>
      </c>
      <c r="J10" s="26" t="e">
        <f>VLOOKUP($A10,'HALF YEARLY(Entry)'!$1:$1048576,10,0)</f>
        <v>#REF!</v>
      </c>
      <c r="K10" s="26" t="e">
        <f>VLOOKUP($A10,'HALF YEARLY(Entry)'!$1:$1048576,11,0)</f>
        <v>#REF!</v>
      </c>
      <c r="L10" s="26" t="e">
        <f>VLOOKUP($A10,'HALF YEARLY(Entry)'!$1:$1048576,12,0)</f>
        <v>#REF!</v>
      </c>
      <c r="M10" s="26" t="e">
        <f>VLOOKUP($A10,'HALF YEARLY(Entry)'!$1:$1048576,13,0)</f>
        <v>#REF!</v>
      </c>
      <c r="N10" s="26" t="e">
        <f>VLOOKUP($A10,'HALF YEARLY(Entry)'!$1:$1048576,14,0)</f>
        <v>#REF!</v>
      </c>
      <c r="O10" s="31" t="e">
        <f>VLOOKUP($A10,'HALF YEARLY(Entry)'!$1:$1048576,15,0)</f>
        <v>#REF!</v>
      </c>
      <c r="P10" s="26" t="e">
        <f t="shared" si="0"/>
        <v>#REF!</v>
      </c>
      <c r="Q10" s="26" t="e">
        <f t="shared" si="1"/>
        <v>#REF!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26" t="e">
        <f>VLOOKUP($A11,'HALF YEARLY(Entry)'!$1:$1048576,3,0)</f>
        <v>#REF!</v>
      </c>
      <c r="D11" s="26" t="e">
        <f>VLOOKUP($A11,'HALF YEARLY(Entry)'!$1:$1048576,4,0)</f>
        <v>#REF!</v>
      </c>
      <c r="E11" s="26" t="e">
        <f>VLOOKUP($A11,'HALF YEARLY(Entry)'!$1:$1048576,5,0)</f>
        <v>#REF!</v>
      </c>
      <c r="F11" s="26" t="e">
        <f>VLOOKUP($A11,'HALF YEARLY(Entry)'!$1:$1048576,6,0)</f>
        <v>#REF!</v>
      </c>
      <c r="G11" s="26" t="e">
        <f>VLOOKUP($A11,'HALF YEARLY(Entry)'!$1:$1048576,7,0)</f>
        <v>#REF!</v>
      </c>
      <c r="H11" s="26" t="e">
        <f>VLOOKUP($A11,'HALF YEARLY(Entry)'!$1:$1048576,8,0)</f>
        <v>#REF!</v>
      </c>
      <c r="I11" s="26" t="e">
        <f>VLOOKUP($A11,'HALF YEARLY(Entry)'!$1:$1048576,9,0)</f>
        <v>#REF!</v>
      </c>
      <c r="J11" s="26" t="e">
        <f>VLOOKUP($A11,'HALF YEARLY(Entry)'!$1:$1048576,10,0)</f>
        <v>#REF!</v>
      </c>
      <c r="K11" s="26" t="e">
        <f>VLOOKUP($A11,'HALF YEARLY(Entry)'!$1:$1048576,11,0)</f>
        <v>#REF!</v>
      </c>
      <c r="L11" s="26" t="e">
        <f>VLOOKUP($A11,'HALF YEARLY(Entry)'!$1:$1048576,12,0)</f>
        <v>#REF!</v>
      </c>
      <c r="M11" s="26" t="e">
        <f>VLOOKUP($A11,'HALF YEARLY(Entry)'!$1:$1048576,13,0)</f>
        <v>#REF!</v>
      </c>
      <c r="N11" s="26" t="e">
        <f>VLOOKUP($A11,'HALF YEARLY(Entry)'!$1:$1048576,14,0)</f>
        <v>#REF!</v>
      </c>
      <c r="O11" s="31" t="e">
        <f>VLOOKUP($A11,'HALF YEARLY(Entry)'!$1:$1048576,15,0)</f>
        <v>#REF!</v>
      </c>
      <c r="P11" s="26" t="e">
        <f t="shared" si="0"/>
        <v>#REF!</v>
      </c>
      <c r="Q11" s="26" t="e">
        <f t="shared" si="1"/>
        <v>#REF!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VLOOKUP($A12,'HALF YEARLY(Entry)'!$1:$1048576,3,0)</f>
        <v>#REF!</v>
      </c>
      <c r="D12" s="26" t="e">
        <f>VLOOKUP($A12,'HALF YEARLY(Entry)'!$1:$1048576,4,0)</f>
        <v>#REF!</v>
      </c>
      <c r="E12" s="26" t="e">
        <f>VLOOKUP($A12,'HALF YEARLY(Entry)'!$1:$1048576,5,0)</f>
        <v>#REF!</v>
      </c>
      <c r="F12" s="26" t="e">
        <f>VLOOKUP($A12,'HALF YEARLY(Entry)'!$1:$1048576,6,0)</f>
        <v>#REF!</v>
      </c>
      <c r="G12" s="26" t="e">
        <f>VLOOKUP($A12,'HALF YEARLY(Entry)'!$1:$1048576,7,0)</f>
        <v>#REF!</v>
      </c>
      <c r="H12" s="26" t="e">
        <f>VLOOKUP($A12,'HALF YEARLY(Entry)'!$1:$1048576,8,0)</f>
        <v>#REF!</v>
      </c>
      <c r="I12" s="26" t="e">
        <f>VLOOKUP($A12,'HALF YEARLY(Entry)'!$1:$1048576,9,0)</f>
        <v>#REF!</v>
      </c>
      <c r="J12" s="26" t="e">
        <f>VLOOKUP($A12,'HALF YEARLY(Entry)'!$1:$1048576,10,0)</f>
        <v>#REF!</v>
      </c>
      <c r="K12" s="26" t="e">
        <f>VLOOKUP($A12,'HALF YEARLY(Entry)'!$1:$1048576,11,0)</f>
        <v>#REF!</v>
      </c>
      <c r="L12" s="26" t="e">
        <f>VLOOKUP($A12,'HALF YEARLY(Entry)'!$1:$1048576,12,0)</f>
        <v>#REF!</v>
      </c>
      <c r="M12" s="26" t="e">
        <f>VLOOKUP($A12,'HALF YEARLY(Entry)'!$1:$1048576,13,0)</f>
        <v>#REF!</v>
      </c>
      <c r="N12" s="26" t="e">
        <f>VLOOKUP($A12,'HALF YEARLY(Entry)'!$1:$1048576,14,0)</f>
        <v>#REF!</v>
      </c>
      <c r="O12" s="31" t="e">
        <f>VLOOKUP($A12,'HALF YEARLY(Entry)'!$1:$1048576,15,0)</f>
        <v>#REF!</v>
      </c>
      <c r="P12" s="26" t="e">
        <f t="shared" si="0"/>
        <v>#REF!</v>
      </c>
      <c r="Q12" s="26" t="e">
        <f t="shared" si="1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VLOOKUP($A13,'HALF YEARLY(Entry)'!$1:$1048576,3,0)</f>
        <v>#REF!</v>
      </c>
      <c r="D13" s="26" t="e">
        <f>VLOOKUP($A13,'HALF YEARLY(Entry)'!$1:$1048576,4,0)</f>
        <v>#REF!</v>
      </c>
      <c r="E13" s="26" t="e">
        <f>VLOOKUP($A13,'HALF YEARLY(Entry)'!$1:$1048576,5,0)</f>
        <v>#REF!</v>
      </c>
      <c r="F13" s="26" t="e">
        <f>VLOOKUP($A13,'HALF YEARLY(Entry)'!$1:$1048576,6,0)</f>
        <v>#REF!</v>
      </c>
      <c r="G13" s="26" t="e">
        <f>VLOOKUP($A13,'HALF YEARLY(Entry)'!$1:$1048576,7,0)</f>
        <v>#REF!</v>
      </c>
      <c r="H13" s="26" t="e">
        <f>VLOOKUP($A13,'HALF YEARLY(Entry)'!$1:$1048576,8,0)</f>
        <v>#REF!</v>
      </c>
      <c r="I13" s="26" t="e">
        <f>VLOOKUP($A13,'HALF YEARLY(Entry)'!$1:$1048576,9,0)</f>
        <v>#REF!</v>
      </c>
      <c r="J13" s="26" t="e">
        <f>VLOOKUP($A13,'HALF YEARLY(Entry)'!$1:$1048576,10,0)</f>
        <v>#REF!</v>
      </c>
      <c r="K13" s="26" t="e">
        <f>VLOOKUP($A13,'HALF YEARLY(Entry)'!$1:$1048576,11,0)</f>
        <v>#REF!</v>
      </c>
      <c r="L13" s="26" t="e">
        <f>VLOOKUP($A13,'HALF YEARLY(Entry)'!$1:$1048576,12,0)</f>
        <v>#REF!</v>
      </c>
      <c r="M13" s="26" t="e">
        <f>VLOOKUP($A13,'HALF YEARLY(Entry)'!$1:$1048576,13,0)</f>
        <v>#REF!</v>
      </c>
      <c r="N13" s="26" t="e">
        <f>VLOOKUP($A13,'HALF YEARLY(Entry)'!$1:$1048576,14,0)</f>
        <v>#REF!</v>
      </c>
      <c r="O13" s="31" t="e">
        <f>VLOOKUP($A13,'HALF YEARLY(Entry)'!$1:$1048576,15,0)</f>
        <v>#REF!</v>
      </c>
      <c r="P13" s="26" t="e">
        <f t="shared" si="0"/>
        <v>#REF!</v>
      </c>
      <c r="Q13" s="26" t="e">
        <f t="shared" si="1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VLOOKUP($A14,'HALF YEARLY(Entry)'!$1:$1048576,3,0)</f>
        <v>#REF!</v>
      </c>
      <c r="D14" s="26" t="e">
        <f>VLOOKUP($A14,'HALF YEARLY(Entry)'!$1:$1048576,4,0)</f>
        <v>#REF!</v>
      </c>
      <c r="E14" s="26" t="e">
        <f>VLOOKUP($A14,'HALF YEARLY(Entry)'!$1:$1048576,5,0)</f>
        <v>#REF!</v>
      </c>
      <c r="F14" s="26" t="e">
        <f>VLOOKUP($A14,'HALF YEARLY(Entry)'!$1:$1048576,6,0)</f>
        <v>#REF!</v>
      </c>
      <c r="G14" s="26" t="e">
        <f>VLOOKUP($A14,'HALF YEARLY(Entry)'!$1:$1048576,7,0)</f>
        <v>#REF!</v>
      </c>
      <c r="H14" s="26" t="e">
        <f>VLOOKUP($A14,'HALF YEARLY(Entry)'!$1:$1048576,8,0)</f>
        <v>#REF!</v>
      </c>
      <c r="I14" s="26" t="e">
        <f>VLOOKUP($A14,'HALF YEARLY(Entry)'!$1:$1048576,9,0)</f>
        <v>#REF!</v>
      </c>
      <c r="J14" s="26" t="e">
        <f>VLOOKUP($A14,'HALF YEARLY(Entry)'!$1:$1048576,10,0)</f>
        <v>#REF!</v>
      </c>
      <c r="K14" s="26" t="e">
        <f>VLOOKUP($A14,'HALF YEARLY(Entry)'!$1:$1048576,11,0)</f>
        <v>#REF!</v>
      </c>
      <c r="L14" s="26" t="e">
        <f>VLOOKUP($A14,'HALF YEARLY(Entry)'!$1:$1048576,12,0)</f>
        <v>#REF!</v>
      </c>
      <c r="M14" s="26" t="e">
        <f>VLOOKUP($A14,'HALF YEARLY(Entry)'!$1:$1048576,13,0)</f>
        <v>#REF!</v>
      </c>
      <c r="N14" s="26" t="e">
        <f>VLOOKUP($A14,'HALF YEARLY(Entry)'!$1:$1048576,14,0)</f>
        <v>#REF!</v>
      </c>
      <c r="O14" s="31" t="e">
        <f>VLOOKUP($A14,'HALF YEARLY(Entry)'!$1:$1048576,15,0)</f>
        <v>#REF!</v>
      </c>
      <c r="P14" s="26" t="e">
        <f t="shared" si="0"/>
        <v>#REF!</v>
      </c>
      <c r="Q14" s="26" t="e">
        <f t="shared" si="1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VLOOKUP($A15,'HALF YEARLY(Entry)'!$1:$1048576,3,0)</f>
        <v>#REF!</v>
      </c>
      <c r="D15" s="26" t="e">
        <f>VLOOKUP($A15,'HALF YEARLY(Entry)'!$1:$1048576,4,0)</f>
        <v>#REF!</v>
      </c>
      <c r="E15" s="26" t="e">
        <f>VLOOKUP($A15,'HALF YEARLY(Entry)'!$1:$1048576,5,0)</f>
        <v>#REF!</v>
      </c>
      <c r="F15" s="26" t="e">
        <f>VLOOKUP($A15,'HALF YEARLY(Entry)'!$1:$1048576,6,0)</f>
        <v>#REF!</v>
      </c>
      <c r="G15" s="26" t="e">
        <f>VLOOKUP($A15,'HALF YEARLY(Entry)'!$1:$1048576,7,0)</f>
        <v>#REF!</v>
      </c>
      <c r="H15" s="26" t="e">
        <f>VLOOKUP($A15,'HALF YEARLY(Entry)'!$1:$1048576,8,0)</f>
        <v>#REF!</v>
      </c>
      <c r="I15" s="26" t="e">
        <f>VLOOKUP($A15,'HALF YEARLY(Entry)'!$1:$1048576,9,0)</f>
        <v>#REF!</v>
      </c>
      <c r="J15" s="26" t="e">
        <f>VLOOKUP($A15,'HALF YEARLY(Entry)'!$1:$1048576,10,0)</f>
        <v>#REF!</v>
      </c>
      <c r="K15" s="26" t="e">
        <f>VLOOKUP($A15,'HALF YEARLY(Entry)'!$1:$1048576,11,0)</f>
        <v>#REF!</v>
      </c>
      <c r="L15" s="26" t="e">
        <f>VLOOKUP($A15,'HALF YEARLY(Entry)'!$1:$1048576,12,0)</f>
        <v>#REF!</v>
      </c>
      <c r="M15" s="26" t="e">
        <f>VLOOKUP($A15,'HALF YEARLY(Entry)'!$1:$1048576,13,0)</f>
        <v>#REF!</v>
      </c>
      <c r="N15" s="26" t="e">
        <f>VLOOKUP($A15,'HALF YEARLY(Entry)'!$1:$1048576,14,0)</f>
        <v>#REF!</v>
      </c>
      <c r="O15" s="31" t="e">
        <f>VLOOKUP($A15,'HALF YEARLY(Entry)'!$1:$1048576,15,0)</f>
        <v>#REF!</v>
      </c>
      <c r="P15" s="26" t="e">
        <f t="shared" si="0"/>
        <v>#REF!</v>
      </c>
      <c r="Q15" s="26" t="e">
        <f t="shared" si="1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VLOOKUP($A16,'HALF YEARLY(Entry)'!$1:$1048576,3,0)</f>
        <v>#REF!</v>
      </c>
      <c r="D16" s="26" t="e">
        <f>VLOOKUP($A16,'HALF YEARLY(Entry)'!$1:$1048576,4,0)</f>
        <v>#REF!</v>
      </c>
      <c r="E16" s="26" t="e">
        <f>VLOOKUP($A16,'HALF YEARLY(Entry)'!$1:$1048576,5,0)</f>
        <v>#REF!</v>
      </c>
      <c r="F16" s="26" t="e">
        <f>VLOOKUP($A16,'HALF YEARLY(Entry)'!$1:$1048576,6,0)</f>
        <v>#REF!</v>
      </c>
      <c r="G16" s="26" t="e">
        <f>VLOOKUP($A16,'HALF YEARLY(Entry)'!$1:$1048576,7,0)</f>
        <v>#REF!</v>
      </c>
      <c r="H16" s="26" t="e">
        <f>VLOOKUP($A16,'HALF YEARLY(Entry)'!$1:$1048576,8,0)</f>
        <v>#REF!</v>
      </c>
      <c r="I16" s="26" t="e">
        <f>VLOOKUP($A16,'HALF YEARLY(Entry)'!$1:$1048576,9,0)</f>
        <v>#REF!</v>
      </c>
      <c r="J16" s="26" t="e">
        <f>VLOOKUP($A16,'HALF YEARLY(Entry)'!$1:$1048576,10,0)</f>
        <v>#REF!</v>
      </c>
      <c r="K16" s="26" t="e">
        <f>VLOOKUP($A16,'HALF YEARLY(Entry)'!$1:$1048576,11,0)</f>
        <v>#REF!</v>
      </c>
      <c r="L16" s="26" t="e">
        <f>VLOOKUP($A16,'HALF YEARLY(Entry)'!$1:$1048576,12,0)</f>
        <v>#REF!</v>
      </c>
      <c r="M16" s="26" t="e">
        <f>VLOOKUP($A16,'HALF YEARLY(Entry)'!$1:$1048576,13,0)</f>
        <v>#REF!</v>
      </c>
      <c r="N16" s="26" t="e">
        <f>VLOOKUP($A16,'HALF YEARLY(Entry)'!$1:$1048576,14,0)</f>
        <v>#REF!</v>
      </c>
      <c r="O16" s="31" t="e">
        <f>VLOOKUP($A16,'HALF YEARLY(Entry)'!$1:$1048576,15,0)</f>
        <v>#REF!</v>
      </c>
      <c r="P16" s="26" t="e">
        <f t="shared" si="0"/>
        <v>#REF!</v>
      </c>
      <c r="Q16" s="26" t="e">
        <f t="shared" si="1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VLOOKUP($A17,'HALF YEARLY(Entry)'!$1:$1048576,3,0)</f>
        <v>#REF!</v>
      </c>
      <c r="D17" s="26" t="e">
        <f>VLOOKUP($A17,'HALF YEARLY(Entry)'!$1:$1048576,4,0)</f>
        <v>#REF!</v>
      </c>
      <c r="E17" s="26" t="e">
        <f>VLOOKUP($A17,'HALF YEARLY(Entry)'!$1:$1048576,5,0)</f>
        <v>#REF!</v>
      </c>
      <c r="F17" s="26" t="e">
        <f>VLOOKUP($A17,'HALF YEARLY(Entry)'!$1:$1048576,6,0)</f>
        <v>#REF!</v>
      </c>
      <c r="G17" s="26" t="e">
        <f>VLOOKUP($A17,'HALF YEARLY(Entry)'!$1:$1048576,7,0)</f>
        <v>#REF!</v>
      </c>
      <c r="H17" s="26" t="e">
        <f>VLOOKUP($A17,'HALF YEARLY(Entry)'!$1:$1048576,8,0)</f>
        <v>#REF!</v>
      </c>
      <c r="I17" s="26" t="e">
        <f>VLOOKUP($A17,'HALF YEARLY(Entry)'!$1:$1048576,9,0)</f>
        <v>#REF!</v>
      </c>
      <c r="J17" s="26" t="e">
        <f>VLOOKUP($A17,'HALF YEARLY(Entry)'!$1:$1048576,10,0)</f>
        <v>#REF!</v>
      </c>
      <c r="K17" s="26" t="e">
        <f>VLOOKUP($A17,'HALF YEARLY(Entry)'!$1:$1048576,11,0)</f>
        <v>#REF!</v>
      </c>
      <c r="L17" s="26" t="e">
        <f>VLOOKUP($A17,'HALF YEARLY(Entry)'!$1:$1048576,12,0)</f>
        <v>#REF!</v>
      </c>
      <c r="M17" s="26" t="e">
        <f>VLOOKUP($A17,'HALF YEARLY(Entry)'!$1:$1048576,13,0)</f>
        <v>#REF!</v>
      </c>
      <c r="N17" s="26" t="e">
        <f>VLOOKUP($A17,'HALF YEARLY(Entry)'!$1:$1048576,14,0)</f>
        <v>#REF!</v>
      </c>
      <c r="O17" s="31" t="e">
        <f>VLOOKUP($A17,'HALF YEARLY(Entry)'!$1:$1048576,15,0)</f>
        <v>#REF!</v>
      </c>
      <c r="P17" s="26" t="e">
        <f t="shared" si="0"/>
        <v>#REF!</v>
      </c>
      <c r="Q17" s="26" t="e">
        <f t="shared" si="1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VLOOKUP($A18,'HALF YEARLY(Entry)'!$1:$1048576,3,0)</f>
        <v>#REF!</v>
      </c>
      <c r="D18" s="26" t="e">
        <f>VLOOKUP($A18,'HALF YEARLY(Entry)'!$1:$1048576,4,0)</f>
        <v>#REF!</v>
      </c>
      <c r="E18" s="26" t="e">
        <f>VLOOKUP($A18,'HALF YEARLY(Entry)'!$1:$1048576,5,0)</f>
        <v>#REF!</v>
      </c>
      <c r="F18" s="26" t="e">
        <f>VLOOKUP($A18,'HALF YEARLY(Entry)'!$1:$1048576,6,0)</f>
        <v>#REF!</v>
      </c>
      <c r="G18" s="26" t="e">
        <f>VLOOKUP($A18,'HALF YEARLY(Entry)'!$1:$1048576,7,0)</f>
        <v>#REF!</v>
      </c>
      <c r="H18" s="26" t="e">
        <f>VLOOKUP($A18,'HALF YEARLY(Entry)'!$1:$1048576,8,0)</f>
        <v>#REF!</v>
      </c>
      <c r="I18" s="26" t="e">
        <f>VLOOKUP($A18,'HALF YEARLY(Entry)'!$1:$1048576,9,0)</f>
        <v>#REF!</v>
      </c>
      <c r="J18" s="26" t="e">
        <f>VLOOKUP($A18,'HALF YEARLY(Entry)'!$1:$1048576,10,0)</f>
        <v>#REF!</v>
      </c>
      <c r="K18" s="26" t="e">
        <f>VLOOKUP($A18,'HALF YEARLY(Entry)'!$1:$1048576,11,0)</f>
        <v>#REF!</v>
      </c>
      <c r="L18" s="26" t="e">
        <f>VLOOKUP($A18,'HALF YEARLY(Entry)'!$1:$1048576,12,0)</f>
        <v>#REF!</v>
      </c>
      <c r="M18" s="26" t="e">
        <f>VLOOKUP($A18,'HALF YEARLY(Entry)'!$1:$1048576,13,0)</f>
        <v>#REF!</v>
      </c>
      <c r="N18" s="26" t="e">
        <f>VLOOKUP($A18,'HALF YEARLY(Entry)'!$1:$1048576,14,0)</f>
        <v>#REF!</v>
      </c>
      <c r="O18" s="31" t="e">
        <f>VLOOKUP($A18,'HALF YEARLY(Entry)'!$1:$1048576,15,0)</f>
        <v>#REF!</v>
      </c>
      <c r="P18" s="26" t="e">
        <f t="shared" si="0"/>
        <v>#REF!</v>
      </c>
      <c r="Q18" s="26" t="e">
        <f t="shared" si="1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VLOOKUP($A19,'HALF YEARLY(Entry)'!$1:$1048576,3,0)</f>
        <v>#REF!</v>
      </c>
      <c r="D19" s="26" t="e">
        <f>VLOOKUP($A19,'HALF YEARLY(Entry)'!$1:$1048576,4,0)</f>
        <v>#REF!</v>
      </c>
      <c r="E19" s="26" t="e">
        <f>VLOOKUP($A19,'HALF YEARLY(Entry)'!$1:$1048576,5,0)</f>
        <v>#REF!</v>
      </c>
      <c r="F19" s="26" t="e">
        <f>VLOOKUP($A19,'HALF YEARLY(Entry)'!$1:$1048576,6,0)</f>
        <v>#REF!</v>
      </c>
      <c r="G19" s="26" t="e">
        <f>VLOOKUP($A19,'HALF YEARLY(Entry)'!$1:$1048576,7,0)</f>
        <v>#REF!</v>
      </c>
      <c r="H19" s="26" t="e">
        <f>VLOOKUP($A19,'HALF YEARLY(Entry)'!$1:$1048576,8,0)</f>
        <v>#REF!</v>
      </c>
      <c r="I19" s="26" t="e">
        <f>VLOOKUP($A19,'HALF YEARLY(Entry)'!$1:$1048576,9,0)</f>
        <v>#REF!</v>
      </c>
      <c r="J19" s="26" t="e">
        <f>VLOOKUP($A19,'HALF YEARLY(Entry)'!$1:$1048576,10,0)</f>
        <v>#REF!</v>
      </c>
      <c r="K19" s="26" t="e">
        <f>VLOOKUP($A19,'HALF YEARLY(Entry)'!$1:$1048576,11,0)</f>
        <v>#REF!</v>
      </c>
      <c r="L19" s="26" t="e">
        <f>VLOOKUP($A19,'HALF YEARLY(Entry)'!$1:$1048576,12,0)</f>
        <v>#REF!</v>
      </c>
      <c r="M19" s="26" t="e">
        <f>VLOOKUP($A19,'HALF YEARLY(Entry)'!$1:$1048576,13,0)</f>
        <v>#REF!</v>
      </c>
      <c r="N19" s="26" t="e">
        <f>VLOOKUP($A19,'HALF YEARLY(Entry)'!$1:$1048576,14,0)</f>
        <v>#REF!</v>
      </c>
      <c r="O19" s="31" t="e">
        <f>VLOOKUP($A19,'HALF YEARLY(Entry)'!$1:$1048576,15,0)</f>
        <v>#REF!</v>
      </c>
      <c r="P19" s="26" t="e">
        <f t="shared" si="0"/>
        <v>#REF!</v>
      </c>
      <c r="Q19" s="26" t="e">
        <f t="shared" si="1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VLOOKUP($A20,'HALF YEARLY(Entry)'!$1:$1048576,3,0)</f>
        <v>#REF!</v>
      </c>
      <c r="D20" s="26" t="e">
        <f>VLOOKUP($A20,'HALF YEARLY(Entry)'!$1:$1048576,4,0)</f>
        <v>#REF!</v>
      </c>
      <c r="E20" s="26" t="e">
        <f>VLOOKUP($A20,'HALF YEARLY(Entry)'!$1:$1048576,5,0)</f>
        <v>#REF!</v>
      </c>
      <c r="F20" s="26" t="e">
        <f>VLOOKUP($A20,'HALF YEARLY(Entry)'!$1:$1048576,6,0)</f>
        <v>#REF!</v>
      </c>
      <c r="G20" s="26" t="e">
        <f>VLOOKUP($A20,'HALF YEARLY(Entry)'!$1:$1048576,7,0)</f>
        <v>#REF!</v>
      </c>
      <c r="H20" s="26" t="e">
        <f>VLOOKUP($A20,'HALF YEARLY(Entry)'!$1:$1048576,8,0)</f>
        <v>#REF!</v>
      </c>
      <c r="I20" s="26" t="e">
        <f>VLOOKUP($A20,'HALF YEARLY(Entry)'!$1:$1048576,9,0)</f>
        <v>#REF!</v>
      </c>
      <c r="J20" s="26" t="e">
        <f>VLOOKUP($A20,'HALF YEARLY(Entry)'!$1:$1048576,10,0)</f>
        <v>#REF!</v>
      </c>
      <c r="K20" s="26" t="e">
        <f>VLOOKUP($A20,'HALF YEARLY(Entry)'!$1:$1048576,11,0)</f>
        <v>#REF!</v>
      </c>
      <c r="L20" s="26" t="e">
        <f>VLOOKUP($A20,'HALF YEARLY(Entry)'!$1:$1048576,12,0)</f>
        <v>#REF!</v>
      </c>
      <c r="M20" s="26" t="e">
        <f>VLOOKUP($A20,'HALF YEARLY(Entry)'!$1:$1048576,13,0)</f>
        <v>#REF!</v>
      </c>
      <c r="N20" s="26" t="e">
        <f>VLOOKUP($A20,'HALF YEARLY(Entry)'!$1:$1048576,14,0)</f>
        <v>#REF!</v>
      </c>
      <c r="O20" s="31" t="e">
        <f>VLOOKUP($A20,'HALF YEARLY(Entry)'!$1:$1048576,15,0)</f>
        <v>#REF!</v>
      </c>
      <c r="P20" s="26" t="e">
        <f t="shared" si="0"/>
        <v>#REF!</v>
      </c>
      <c r="Q20" s="26" t="e">
        <f t="shared" si="1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VLOOKUP($A21,'HALF YEARLY(Entry)'!$1:$1048576,3,0)</f>
        <v>#REF!</v>
      </c>
      <c r="D21" s="26" t="e">
        <f>VLOOKUP($A21,'HALF YEARLY(Entry)'!$1:$1048576,4,0)</f>
        <v>#REF!</v>
      </c>
      <c r="E21" s="26" t="e">
        <f>VLOOKUP($A21,'HALF YEARLY(Entry)'!$1:$1048576,5,0)</f>
        <v>#REF!</v>
      </c>
      <c r="F21" s="26" t="e">
        <f>VLOOKUP($A21,'HALF YEARLY(Entry)'!$1:$1048576,6,0)</f>
        <v>#REF!</v>
      </c>
      <c r="G21" s="26" t="e">
        <f>VLOOKUP($A21,'HALF YEARLY(Entry)'!$1:$1048576,7,0)</f>
        <v>#REF!</v>
      </c>
      <c r="H21" s="26" t="e">
        <f>VLOOKUP($A21,'HALF YEARLY(Entry)'!$1:$1048576,8,0)</f>
        <v>#REF!</v>
      </c>
      <c r="I21" s="26" t="e">
        <f>VLOOKUP($A21,'HALF YEARLY(Entry)'!$1:$1048576,9,0)</f>
        <v>#REF!</v>
      </c>
      <c r="J21" s="26" t="e">
        <f>VLOOKUP($A21,'HALF YEARLY(Entry)'!$1:$1048576,10,0)</f>
        <v>#REF!</v>
      </c>
      <c r="K21" s="26" t="e">
        <f>VLOOKUP($A21,'HALF YEARLY(Entry)'!$1:$1048576,11,0)</f>
        <v>#REF!</v>
      </c>
      <c r="L21" s="26" t="e">
        <f>VLOOKUP($A21,'HALF YEARLY(Entry)'!$1:$1048576,12,0)</f>
        <v>#REF!</v>
      </c>
      <c r="M21" s="26" t="e">
        <f>VLOOKUP($A21,'HALF YEARLY(Entry)'!$1:$1048576,13,0)</f>
        <v>#REF!</v>
      </c>
      <c r="N21" s="26" t="e">
        <f>VLOOKUP($A21,'HALF YEARLY(Entry)'!$1:$1048576,14,0)</f>
        <v>#REF!</v>
      </c>
      <c r="O21" s="31" t="e">
        <f>VLOOKUP($A21,'HALF YEARLY(Entry)'!$1:$1048576,15,0)</f>
        <v>#REF!</v>
      </c>
      <c r="P21" s="26" t="e">
        <f t="shared" si="0"/>
        <v>#REF!</v>
      </c>
      <c r="Q21" s="26" t="e">
        <f t="shared" si="1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VLOOKUP($A22,'HALF YEARLY(Entry)'!$1:$1048576,3,0)</f>
        <v>#REF!</v>
      </c>
      <c r="D22" s="26" t="e">
        <f>VLOOKUP($A22,'HALF YEARLY(Entry)'!$1:$1048576,4,0)</f>
        <v>#REF!</v>
      </c>
      <c r="E22" s="26" t="e">
        <f>VLOOKUP($A22,'HALF YEARLY(Entry)'!$1:$1048576,5,0)</f>
        <v>#REF!</v>
      </c>
      <c r="F22" s="26" t="e">
        <f>VLOOKUP($A22,'HALF YEARLY(Entry)'!$1:$1048576,6,0)</f>
        <v>#REF!</v>
      </c>
      <c r="G22" s="26" t="e">
        <f>VLOOKUP($A22,'HALF YEARLY(Entry)'!$1:$1048576,7,0)</f>
        <v>#REF!</v>
      </c>
      <c r="H22" s="26" t="e">
        <f>VLOOKUP($A22,'HALF YEARLY(Entry)'!$1:$1048576,8,0)</f>
        <v>#REF!</v>
      </c>
      <c r="I22" s="26" t="e">
        <f>VLOOKUP($A22,'HALF YEARLY(Entry)'!$1:$1048576,9,0)</f>
        <v>#REF!</v>
      </c>
      <c r="J22" s="26" t="e">
        <f>VLOOKUP($A22,'HALF YEARLY(Entry)'!$1:$1048576,10,0)</f>
        <v>#REF!</v>
      </c>
      <c r="K22" s="26" t="e">
        <f>VLOOKUP($A22,'HALF YEARLY(Entry)'!$1:$1048576,11,0)</f>
        <v>#REF!</v>
      </c>
      <c r="L22" s="26" t="e">
        <f>VLOOKUP($A22,'HALF YEARLY(Entry)'!$1:$1048576,12,0)</f>
        <v>#REF!</v>
      </c>
      <c r="M22" s="26" t="e">
        <f>VLOOKUP($A22,'HALF YEARLY(Entry)'!$1:$1048576,13,0)</f>
        <v>#REF!</v>
      </c>
      <c r="N22" s="26" t="e">
        <f>VLOOKUP($A22,'HALF YEARLY(Entry)'!$1:$1048576,14,0)</f>
        <v>#REF!</v>
      </c>
      <c r="O22" s="31" t="e">
        <f>VLOOKUP($A22,'HALF YEARLY(Entry)'!$1:$1048576,15,0)</f>
        <v>#REF!</v>
      </c>
      <c r="P22" s="26" t="e">
        <f t="shared" si="0"/>
        <v>#REF!</v>
      </c>
      <c r="Q22" s="26" t="e">
        <f t="shared" si="1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VLOOKUP($A23,'HALF YEARLY(Entry)'!$1:$1048576,3,0)</f>
        <v>#REF!</v>
      </c>
      <c r="D23" s="26" t="e">
        <f>VLOOKUP($A23,'HALF YEARLY(Entry)'!$1:$1048576,4,0)</f>
        <v>#REF!</v>
      </c>
      <c r="E23" s="26" t="e">
        <f>VLOOKUP($A23,'HALF YEARLY(Entry)'!$1:$1048576,5,0)</f>
        <v>#REF!</v>
      </c>
      <c r="F23" s="26" t="e">
        <f>VLOOKUP($A23,'HALF YEARLY(Entry)'!$1:$1048576,6,0)</f>
        <v>#REF!</v>
      </c>
      <c r="G23" s="26" t="e">
        <f>VLOOKUP($A23,'HALF YEARLY(Entry)'!$1:$1048576,7,0)</f>
        <v>#REF!</v>
      </c>
      <c r="H23" s="26" t="e">
        <f>VLOOKUP($A23,'HALF YEARLY(Entry)'!$1:$1048576,8,0)</f>
        <v>#REF!</v>
      </c>
      <c r="I23" s="26" t="e">
        <f>VLOOKUP($A23,'HALF YEARLY(Entry)'!$1:$1048576,9,0)</f>
        <v>#REF!</v>
      </c>
      <c r="J23" s="26" t="e">
        <f>VLOOKUP($A23,'HALF YEARLY(Entry)'!$1:$1048576,10,0)</f>
        <v>#REF!</v>
      </c>
      <c r="K23" s="26" t="e">
        <f>VLOOKUP($A23,'HALF YEARLY(Entry)'!$1:$1048576,11,0)</f>
        <v>#REF!</v>
      </c>
      <c r="L23" s="26" t="e">
        <f>VLOOKUP($A23,'HALF YEARLY(Entry)'!$1:$1048576,12,0)</f>
        <v>#REF!</v>
      </c>
      <c r="M23" s="26" t="e">
        <f>VLOOKUP($A23,'HALF YEARLY(Entry)'!$1:$1048576,13,0)</f>
        <v>#REF!</v>
      </c>
      <c r="N23" s="26" t="e">
        <f>VLOOKUP($A23,'HALF YEARLY(Entry)'!$1:$1048576,14,0)</f>
        <v>#REF!</v>
      </c>
      <c r="O23" s="31" t="e">
        <f>VLOOKUP($A23,'HALF YEARLY(Entry)'!$1:$1048576,15,0)</f>
        <v>#REF!</v>
      </c>
      <c r="P23" s="26" t="e">
        <f t="shared" si="0"/>
        <v>#REF!</v>
      </c>
      <c r="Q23" s="26" t="e">
        <f t="shared" si="1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VLOOKUP($A24,'HALF YEARLY(Entry)'!$1:$1048576,3,0)</f>
        <v>#REF!</v>
      </c>
      <c r="D24" s="26" t="e">
        <f>VLOOKUP($A24,'HALF YEARLY(Entry)'!$1:$1048576,4,0)</f>
        <v>#REF!</v>
      </c>
      <c r="E24" s="26" t="e">
        <f>VLOOKUP($A24,'HALF YEARLY(Entry)'!$1:$1048576,5,0)</f>
        <v>#REF!</v>
      </c>
      <c r="F24" s="26" t="e">
        <f>VLOOKUP($A24,'HALF YEARLY(Entry)'!$1:$1048576,6,0)</f>
        <v>#REF!</v>
      </c>
      <c r="G24" s="26" t="e">
        <f>VLOOKUP($A24,'HALF YEARLY(Entry)'!$1:$1048576,7,0)</f>
        <v>#REF!</v>
      </c>
      <c r="H24" s="26" t="e">
        <f>VLOOKUP($A24,'HALF YEARLY(Entry)'!$1:$1048576,8,0)</f>
        <v>#REF!</v>
      </c>
      <c r="I24" s="26" t="e">
        <f>VLOOKUP($A24,'HALF YEARLY(Entry)'!$1:$1048576,9,0)</f>
        <v>#REF!</v>
      </c>
      <c r="J24" s="26" t="e">
        <f>VLOOKUP($A24,'HALF YEARLY(Entry)'!$1:$1048576,10,0)</f>
        <v>#REF!</v>
      </c>
      <c r="K24" s="26" t="e">
        <f>VLOOKUP($A24,'HALF YEARLY(Entry)'!$1:$1048576,11,0)</f>
        <v>#REF!</v>
      </c>
      <c r="L24" s="26" t="e">
        <f>VLOOKUP($A24,'HALF YEARLY(Entry)'!$1:$1048576,12,0)</f>
        <v>#REF!</v>
      </c>
      <c r="M24" s="26" t="e">
        <f>VLOOKUP($A24,'HALF YEARLY(Entry)'!$1:$1048576,13,0)</f>
        <v>#REF!</v>
      </c>
      <c r="N24" s="26" t="e">
        <f>VLOOKUP($A24,'HALF YEARLY(Entry)'!$1:$1048576,14,0)</f>
        <v>#REF!</v>
      </c>
      <c r="O24" s="31" t="e">
        <f>VLOOKUP($A24,'HALF YEARLY(Entry)'!$1:$1048576,15,0)</f>
        <v>#REF!</v>
      </c>
      <c r="P24" s="26" t="e">
        <f t="shared" si="0"/>
        <v>#REF!</v>
      </c>
      <c r="Q24" s="26" t="e">
        <f t="shared" si="1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VLOOKUP($A25,'HALF YEARLY(Entry)'!$1:$1048576,3,0)</f>
        <v>#REF!</v>
      </c>
      <c r="D25" s="26" t="e">
        <f>VLOOKUP($A25,'HALF YEARLY(Entry)'!$1:$1048576,4,0)</f>
        <v>#REF!</v>
      </c>
      <c r="E25" s="26" t="e">
        <f>VLOOKUP($A25,'HALF YEARLY(Entry)'!$1:$1048576,5,0)</f>
        <v>#REF!</v>
      </c>
      <c r="F25" s="26" t="e">
        <f>VLOOKUP($A25,'HALF YEARLY(Entry)'!$1:$1048576,6,0)</f>
        <v>#REF!</v>
      </c>
      <c r="G25" s="26" t="e">
        <f>VLOOKUP($A25,'HALF YEARLY(Entry)'!$1:$1048576,7,0)</f>
        <v>#REF!</v>
      </c>
      <c r="H25" s="26" t="e">
        <f>VLOOKUP($A25,'HALF YEARLY(Entry)'!$1:$1048576,8,0)</f>
        <v>#REF!</v>
      </c>
      <c r="I25" s="26" t="e">
        <f>VLOOKUP($A25,'HALF YEARLY(Entry)'!$1:$1048576,9,0)</f>
        <v>#REF!</v>
      </c>
      <c r="J25" s="26" t="e">
        <f>VLOOKUP($A25,'HALF YEARLY(Entry)'!$1:$1048576,10,0)</f>
        <v>#REF!</v>
      </c>
      <c r="K25" s="26" t="e">
        <f>VLOOKUP($A25,'HALF YEARLY(Entry)'!$1:$1048576,11,0)</f>
        <v>#REF!</v>
      </c>
      <c r="L25" s="26" t="e">
        <f>VLOOKUP($A25,'HALF YEARLY(Entry)'!$1:$1048576,12,0)</f>
        <v>#REF!</v>
      </c>
      <c r="M25" s="26" t="e">
        <f>VLOOKUP($A25,'HALF YEARLY(Entry)'!$1:$1048576,13,0)</f>
        <v>#REF!</v>
      </c>
      <c r="N25" s="26" t="e">
        <f>VLOOKUP($A25,'HALF YEARLY(Entry)'!$1:$1048576,14,0)</f>
        <v>#REF!</v>
      </c>
      <c r="O25" s="31" t="e">
        <f>VLOOKUP($A25,'HALF YEARLY(Entry)'!$1:$1048576,15,0)</f>
        <v>#REF!</v>
      </c>
      <c r="P25" s="26" t="e">
        <f t="shared" si="0"/>
        <v>#REF!</v>
      </c>
      <c r="Q25" s="26" t="e">
        <f t="shared" si="1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VLOOKUP($A26,'HALF YEARLY(Entry)'!$1:$1048576,3,0)</f>
        <v>#REF!</v>
      </c>
      <c r="D26" s="26" t="e">
        <f>VLOOKUP($A26,'HALF YEARLY(Entry)'!$1:$1048576,4,0)</f>
        <v>#REF!</v>
      </c>
      <c r="E26" s="26" t="e">
        <f>VLOOKUP($A26,'HALF YEARLY(Entry)'!$1:$1048576,5,0)</f>
        <v>#REF!</v>
      </c>
      <c r="F26" s="26" t="e">
        <f>VLOOKUP($A26,'HALF YEARLY(Entry)'!$1:$1048576,6,0)</f>
        <v>#REF!</v>
      </c>
      <c r="G26" s="26" t="e">
        <f>VLOOKUP($A26,'HALF YEARLY(Entry)'!$1:$1048576,7,0)</f>
        <v>#REF!</v>
      </c>
      <c r="H26" s="26" t="e">
        <f>VLOOKUP($A26,'HALF YEARLY(Entry)'!$1:$1048576,8,0)</f>
        <v>#REF!</v>
      </c>
      <c r="I26" s="26" t="e">
        <f>VLOOKUP($A26,'HALF YEARLY(Entry)'!$1:$1048576,9,0)</f>
        <v>#REF!</v>
      </c>
      <c r="J26" s="26" t="e">
        <f>VLOOKUP($A26,'HALF YEARLY(Entry)'!$1:$1048576,10,0)</f>
        <v>#REF!</v>
      </c>
      <c r="K26" s="26" t="e">
        <f>VLOOKUP($A26,'HALF YEARLY(Entry)'!$1:$1048576,11,0)</f>
        <v>#REF!</v>
      </c>
      <c r="L26" s="26" t="e">
        <f>VLOOKUP($A26,'HALF YEARLY(Entry)'!$1:$1048576,12,0)</f>
        <v>#REF!</v>
      </c>
      <c r="M26" s="26" t="e">
        <f>VLOOKUP($A26,'HALF YEARLY(Entry)'!$1:$1048576,13,0)</f>
        <v>#REF!</v>
      </c>
      <c r="N26" s="26" t="e">
        <f>VLOOKUP($A26,'HALF YEARLY(Entry)'!$1:$1048576,14,0)</f>
        <v>#REF!</v>
      </c>
      <c r="O26" s="31" t="e">
        <f>VLOOKUP($A26,'HALF YEARLY(Entry)'!$1:$1048576,15,0)</f>
        <v>#REF!</v>
      </c>
      <c r="P26" s="26" t="e">
        <f t="shared" si="0"/>
        <v>#REF!</v>
      </c>
      <c r="Q26" s="26" t="e">
        <f t="shared" si="1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VLOOKUP($A27,'HALF YEARLY(Entry)'!$1:$1048576,3,0)</f>
        <v>#REF!</v>
      </c>
      <c r="D27" s="26" t="e">
        <f>VLOOKUP($A27,'HALF YEARLY(Entry)'!$1:$1048576,4,0)</f>
        <v>#REF!</v>
      </c>
      <c r="E27" s="26" t="e">
        <f>VLOOKUP($A27,'HALF YEARLY(Entry)'!$1:$1048576,5,0)</f>
        <v>#REF!</v>
      </c>
      <c r="F27" s="26" t="e">
        <f>VLOOKUP($A27,'HALF YEARLY(Entry)'!$1:$1048576,6,0)</f>
        <v>#REF!</v>
      </c>
      <c r="G27" s="26" t="e">
        <f>VLOOKUP($A27,'HALF YEARLY(Entry)'!$1:$1048576,7,0)</f>
        <v>#REF!</v>
      </c>
      <c r="H27" s="26" t="e">
        <f>VLOOKUP($A27,'HALF YEARLY(Entry)'!$1:$1048576,8,0)</f>
        <v>#REF!</v>
      </c>
      <c r="I27" s="26" t="e">
        <f>VLOOKUP($A27,'HALF YEARLY(Entry)'!$1:$1048576,9,0)</f>
        <v>#REF!</v>
      </c>
      <c r="J27" s="26" t="e">
        <f>VLOOKUP($A27,'HALF YEARLY(Entry)'!$1:$1048576,10,0)</f>
        <v>#REF!</v>
      </c>
      <c r="K27" s="26" t="e">
        <f>VLOOKUP($A27,'HALF YEARLY(Entry)'!$1:$1048576,11,0)</f>
        <v>#REF!</v>
      </c>
      <c r="L27" s="26" t="e">
        <f>VLOOKUP($A27,'HALF YEARLY(Entry)'!$1:$1048576,12,0)</f>
        <v>#REF!</v>
      </c>
      <c r="M27" s="26" t="e">
        <f>VLOOKUP($A27,'HALF YEARLY(Entry)'!$1:$1048576,13,0)</f>
        <v>#REF!</v>
      </c>
      <c r="N27" s="26" t="e">
        <f>VLOOKUP($A27,'HALF YEARLY(Entry)'!$1:$1048576,14,0)</f>
        <v>#REF!</v>
      </c>
      <c r="O27" s="31" t="e">
        <f>VLOOKUP($A27,'HALF YEARLY(Entry)'!$1:$1048576,15,0)</f>
        <v>#REF!</v>
      </c>
      <c r="P27" s="26" t="e">
        <f t="shared" si="0"/>
        <v>#REF!</v>
      </c>
      <c r="Q27" s="26" t="e">
        <f t="shared" si="1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VLOOKUP($A28,'HALF YEARLY(Entry)'!$1:$1048576,3,0)</f>
        <v>#REF!</v>
      </c>
      <c r="D28" s="26" t="e">
        <f>VLOOKUP($A28,'HALF YEARLY(Entry)'!$1:$1048576,4,0)</f>
        <v>#REF!</v>
      </c>
      <c r="E28" s="26" t="e">
        <f>VLOOKUP($A28,'HALF YEARLY(Entry)'!$1:$1048576,5,0)</f>
        <v>#REF!</v>
      </c>
      <c r="F28" s="26" t="e">
        <f>VLOOKUP($A28,'HALF YEARLY(Entry)'!$1:$1048576,6,0)</f>
        <v>#REF!</v>
      </c>
      <c r="G28" s="26" t="e">
        <f>VLOOKUP($A28,'HALF YEARLY(Entry)'!$1:$1048576,7,0)</f>
        <v>#REF!</v>
      </c>
      <c r="H28" s="26" t="e">
        <f>VLOOKUP($A28,'HALF YEARLY(Entry)'!$1:$1048576,8,0)</f>
        <v>#REF!</v>
      </c>
      <c r="I28" s="26" t="e">
        <f>VLOOKUP($A28,'HALF YEARLY(Entry)'!$1:$1048576,9,0)</f>
        <v>#REF!</v>
      </c>
      <c r="J28" s="26" t="e">
        <f>VLOOKUP($A28,'HALF YEARLY(Entry)'!$1:$1048576,10,0)</f>
        <v>#REF!</v>
      </c>
      <c r="K28" s="26" t="e">
        <f>VLOOKUP($A28,'HALF YEARLY(Entry)'!$1:$1048576,11,0)</f>
        <v>#REF!</v>
      </c>
      <c r="L28" s="26" t="e">
        <f>VLOOKUP($A28,'HALF YEARLY(Entry)'!$1:$1048576,12,0)</f>
        <v>#REF!</v>
      </c>
      <c r="M28" s="26" t="e">
        <f>VLOOKUP($A28,'HALF YEARLY(Entry)'!$1:$1048576,13,0)</f>
        <v>#REF!</v>
      </c>
      <c r="N28" s="26" t="e">
        <f>VLOOKUP($A28,'HALF YEARLY(Entry)'!$1:$1048576,14,0)</f>
        <v>#REF!</v>
      </c>
      <c r="O28" s="31" t="e">
        <f>VLOOKUP($A28,'HALF YEARLY(Entry)'!$1:$1048576,15,0)</f>
        <v>#REF!</v>
      </c>
      <c r="P28" s="26" t="e">
        <f t="shared" si="0"/>
        <v>#REF!</v>
      </c>
      <c r="Q28" s="26" t="e">
        <f t="shared" si="1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VLOOKUP($A29,'HALF YEARLY(Entry)'!$1:$1048576,3,0)</f>
        <v>#REF!</v>
      </c>
      <c r="D29" s="26" t="e">
        <f>VLOOKUP($A29,'HALF YEARLY(Entry)'!$1:$1048576,4,0)</f>
        <v>#REF!</v>
      </c>
      <c r="E29" s="26" t="e">
        <f>VLOOKUP($A29,'HALF YEARLY(Entry)'!$1:$1048576,5,0)</f>
        <v>#REF!</v>
      </c>
      <c r="F29" s="26" t="e">
        <f>VLOOKUP($A29,'HALF YEARLY(Entry)'!$1:$1048576,6,0)</f>
        <v>#REF!</v>
      </c>
      <c r="G29" s="26" t="e">
        <f>VLOOKUP($A29,'HALF YEARLY(Entry)'!$1:$1048576,7,0)</f>
        <v>#REF!</v>
      </c>
      <c r="H29" s="26" t="e">
        <f>VLOOKUP($A29,'HALF YEARLY(Entry)'!$1:$1048576,8,0)</f>
        <v>#REF!</v>
      </c>
      <c r="I29" s="26" t="e">
        <f>VLOOKUP($A29,'HALF YEARLY(Entry)'!$1:$1048576,9,0)</f>
        <v>#REF!</v>
      </c>
      <c r="J29" s="26" t="e">
        <f>VLOOKUP($A29,'HALF YEARLY(Entry)'!$1:$1048576,10,0)</f>
        <v>#REF!</v>
      </c>
      <c r="K29" s="26" t="e">
        <f>VLOOKUP($A29,'HALF YEARLY(Entry)'!$1:$1048576,11,0)</f>
        <v>#REF!</v>
      </c>
      <c r="L29" s="26" t="e">
        <f>VLOOKUP($A29,'HALF YEARLY(Entry)'!$1:$1048576,12,0)</f>
        <v>#REF!</v>
      </c>
      <c r="M29" s="26" t="e">
        <f>VLOOKUP($A29,'HALF YEARLY(Entry)'!$1:$1048576,13,0)</f>
        <v>#REF!</v>
      </c>
      <c r="N29" s="26" t="e">
        <f>VLOOKUP($A29,'HALF YEARLY(Entry)'!$1:$1048576,14,0)</f>
        <v>#REF!</v>
      </c>
      <c r="O29" s="31" t="e">
        <f>VLOOKUP($A29,'HALF YEARLY(Entry)'!$1:$1048576,15,0)</f>
        <v>#REF!</v>
      </c>
      <c r="P29" s="26" t="e">
        <f t="shared" si="0"/>
        <v>#REF!</v>
      </c>
      <c r="Q29" s="26" t="e">
        <f t="shared" si="1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VLOOKUP($A30,'HALF YEARLY(Entry)'!$1:$1048576,3,0)</f>
        <v>#REF!</v>
      </c>
      <c r="D30" s="26" t="e">
        <f>VLOOKUP($A30,'HALF YEARLY(Entry)'!$1:$1048576,4,0)</f>
        <v>#REF!</v>
      </c>
      <c r="E30" s="26" t="e">
        <f>VLOOKUP($A30,'HALF YEARLY(Entry)'!$1:$1048576,5,0)</f>
        <v>#REF!</v>
      </c>
      <c r="F30" s="26" t="e">
        <f>VLOOKUP($A30,'HALF YEARLY(Entry)'!$1:$1048576,6,0)</f>
        <v>#REF!</v>
      </c>
      <c r="G30" s="26" t="e">
        <f>VLOOKUP($A30,'HALF YEARLY(Entry)'!$1:$1048576,7,0)</f>
        <v>#REF!</v>
      </c>
      <c r="H30" s="26" t="e">
        <f>VLOOKUP($A30,'HALF YEARLY(Entry)'!$1:$1048576,8,0)</f>
        <v>#REF!</v>
      </c>
      <c r="I30" s="26" t="e">
        <f>VLOOKUP($A30,'HALF YEARLY(Entry)'!$1:$1048576,9,0)</f>
        <v>#REF!</v>
      </c>
      <c r="J30" s="26" t="e">
        <f>VLOOKUP($A30,'HALF YEARLY(Entry)'!$1:$1048576,10,0)</f>
        <v>#REF!</v>
      </c>
      <c r="K30" s="26" t="e">
        <f>VLOOKUP($A30,'HALF YEARLY(Entry)'!$1:$1048576,11,0)</f>
        <v>#REF!</v>
      </c>
      <c r="L30" s="26" t="e">
        <f>VLOOKUP($A30,'HALF YEARLY(Entry)'!$1:$1048576,12,0)</f>
        <v>#REF!</v>
      </c>
      <c r="M30" s="26" t="e">
        <f>VLOOKUP($A30,'HALF YEARLY(Entry)'!$1:$1048576,13,0)</f>
        <v>#REF!</v>
      </c>
      <c r="N30" s="26" t="e">
        <f>VLOOKUP($A30,'HALF YEARLY(Entry)'!$1:$1048576,14,0)</f>
        <v>#REF!</v>
      </c>
      <c r="O30" s="31" t="e">
        <f>VLOOKUP($A30,'HALF YEARLY(Entry)'!$1:$1048576,15,0)</f>
        <v>#REF!</v>
      </c>
      <c r="P30" s="26" t="e">
        <f t="shared" si="0"/>
        <v>#REF!</v>
      </c>
      <c r="Q30" s="26" t="e">
        <f t="shared" si="1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6.109375" customWidth="1"/>
    <col min="12" max="12" width="4.5546875" bestFit="1" customWidth="1"/>
    <col min="13" max="13" width="4.6640625" customWidth="1"/>
    <col min="14" max="14" width="8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6" t="s">
        <v>104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8" ht="24.75" customHeight="1" x14ac:dyDescent="0.3">
      <c r="A2" s="47" t="s">
        <v>104</v>
      </c>
      <c r="B2" s="47" t="s">
        <v>5</v>
      </c>
      <c r="C2" s="47" t="s">
        <v>9</v>
      </c>
      <c r="D2" s="47"/>
      <c r="E2" s="47"/>
      <c r="F2" s="47" t="s">
        <v>92</v>
      </c>
      <c r="G2" s="47"/>
      <c r="H2" s="47"/>
      <c r="I2" s="47" t="s">
        <v>98</v>
      </c>
      <c r="J2" s="47"/>
      <c r="K2" s="47"/>
      <c r="L2" s="47" t="s">
        <v>99</v>
      </c>
      <c r="M2" s="47"/>
      <c r="N2" s="47"/>
      <c r="O2" s="57" t="s">
        <v>100</v>
      </c>
      <c r="P2" s="58"/>
      <c r="Q2" s="59"/>
      <c r="R2" s="55" t="s">
        <v>93</v>
      </c>
      <c r="S2" s="55"/>
      <c r="T2" s="55"/>
      <c r="U2" s="55" t="s">
        <v>42</v>
      </c>
      <c r="V2" s="55" t="s">
        <v>43</v>
      </c>
      <c r="W2" s="45" t="s">
        <v>44</v>
      </c>
      <c r="X2" s="45" t="s">
        <v>45</v>
      </c>
      <c r="Y2" s="45" t="s">
        <v>46</v>
      </c>
      <c r="Z2" s="45" t="s">
        <v>47</v>
      </c>
      <c r="AA2" s="55" t="s">
        <v>48</v>
      </c>
      <c r="AB2" s="54"/>
    </row>
    <row r="3" spans="1:28" ht="20.25" customHeight="1" x14ac:dyDescent="0.3">
      <c r="A3" s="47"/>
      <c r="B3" s="47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55"/>
      <c r="V3" s="55"/>
      <c r="W3" s="46"/>
      <c r="X3" s="46"/>
      <c r="Y3" s="46"/>
      <c r="Z3" s="46"/>
      <c r="AA3" s="55"/>
      <c r="AB3" s="54"/>
    </row>
    <row r="4" spans="1:28" x14ac:dyDescent="0.3">
      <c r="A4" s="3">
        <f>DETAILS!A3</f>
        <v>1925</v>
      </c>
      <c r="B4" s="3" t="str">
        <f>DETAILS!B3</f>
        <v>ARYAN GUPTA</v>
      </c>
      <c r="C4" s="26">
        <f>VLOOKUP($A4,'UT-I '!$1:$1048576,3,0)</f>
        <v>0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>
        <f>VLOOKUP($A4,'UT-I '!$1:$1048576,4,0)</f>
        <v>0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>
        <f>VLOOKUP($A4,'UT-I '!$1:$1048576,5,0)</f>
        <v>0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>
        <f>VLOOKUP($A4,'UT-I '!$1:$1048576,6,0)</f>
        <v>0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0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>
        <f>VLOOKUP($A4,'UT-I '!$1:$1048576,8,0)</f>
        <v>0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1918</v>
      </c>
      <c r="B5" s="3" t="str">
        <f>DETAILS!B4</f>
        <v>SANJANA PATEL</v>
      </c>
      <c r="C5" s="26">
        <f>VLOOKUP($A5,'UT-I '!$1:$1048576,3,0)</f>
        <v>0</v>
      </c>
      <c r="D5" s="26">
        <f>IFERROR(ROUND(VLOOKUP($A5,'HALF YEARLY'!$1:$1048576,3,0)*0.8,0),VLOOKUP($A5,'HALF YEARLY'!$1:$1048576,3,0))</f>
        <v>0</v>
      </c>
      <c r="E5" s="32">
        <f t="shared" si="0"/>
        <v>0</v>
      </c>
      <c r="F5" s="26">
        <f>VLOOKUP($A5,'UT-I '!$1:$1048576,4,0)</f>
        <v>0</v>
      </c>
      <c r="G5" s="26">
        <f>IFERROR(ROUND(VLOOKUP($A5,'HALF YEARLY'!$1:$1048576,4,0)*0.8,0),VLOOKUP($A5,'HALF YEARLY'!$1:$1048576,4,0))</f>
        <v>0</v>
      </c>
      <c r="H5" s="32">
        <f t="shared" si="1"/>
        <v>0</v>
      </c>
      <c r="I5" s="26">
        <f>VLOOKUP($A5,'UT-I '!$1:$1048576,5,0)</f>
        <v>0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0</v>
      </c>
      <c r="M5" s="26">
        <f>IFERROR(ROUND(VLOOKUP($A5,'HALF YEARLY'!$1:$1048576,6,0)*0.8,0),VLOOKUP($A5,'HALF YEARLY'!$1:$1048576,6,0))</f>
        <v>0</v>
      </c>
      <c r="N5" s="32">
        <f t="shared" si="3"/>
        <v>0</v>
      </c>
      <c r="O5" s="26">
        <f>VLOOKUP($A5,'UT-I '!$1:$1048576,7,0)</f>
        <v>0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0</v>
      </c>
      <c r="R5" s="26">
        <f>VLOOKUP($A5,'UT-I '!$1:$1048576,8,0)</f>
        <v>0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0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 t="e">
        <f>DETAILS!#REF!</f>
        <v>#REF!</v>
      </c>
      <c r="B6" s="3" t="e">
        <f>DETAILS!#REF!</f>
        <v>#REF!</v>
      </c>
      <c r="C6" s="26" t="e">
        <f>VLOOKUP($A6,'UT-I '!$1:$1048576,3,0)</f>
        <v>#REF!</v>
      </c>
      <c r="D6" s="26" t="e">
        <f>IFERROR(ROUND(VLOOKUP($A6,'HALF YEARLY'!$1:$1048576,3,0)*0.8,0),VLOOKUP($A6,'HALF YEARLY'!$1:$1048576,3,0))</f>
        <v>#REF!</v>
      </c>
      <c r="E6" s="32" t="e">
        <f t="shared" si="0"/>
        <v>#REF!</v>
      </c>
      <c r="F6" s="26" t="e">
        <f>VLOOKUP($A6,'UT-I '!$1:$1048576,4,0)</f>
        <v>#REF!</v>
      </c>
      <c r="G6" s="26" t="e">
        <f>IFERROR(ROUND(VLOOKUP($A6,'HALF YEARLY'!$1:$1048576,4,0)*0.8,0),VLOOKUP($A6,'HALF YEARLY'!$1:$1048576,4,0))</f>
        <v>#REF!</v>
      </c>
      <c r="H6" s="32" t="e">
        <f t="shared" si="1"/>
        <v>#REF!</v>
      </c>
      <c r="I6" s="26" t="e">
        <f>VLOOKUP($A6,'UT-I '!$1:$1048576,5,0)</f>
        <v>#REF!</v>
      </c>
      <c r="J6" s="26" t="e">
        <f>IFERROR(ROUND(VLOOKUP($A6,'HALF YEARLY'!$1:$1048576,5,0)*0.8,0),VLOOKUP($A6,'HALF YEARLY'!$1:$1048576,5,0))</f>
        <v>#REF!</v>
      </c>
      <c r="K6" s="32" t="e">
        <f t="shared" si="2"/>
        <v>#REF!</v>
      </c>
      <c r="L6" s="26" t="e">
        <f>VLOOKUP($A6,'UT-I '!$1:$1048576,6,0)</f>
        <v>#REF!</v>
      </c>
      <c r="M6" s="26" t="e">
        <f>IFERROR(ROUND(VLOOKUP($A6,'HALF YEARLY'!$1:$1048576,6,0)*0.8,0),VLOOKUP($A6,'HALF YEARLY'!$1:$1048576,6,0))</f>
        <v>#REF!</v>
      </c>
      <c r="N6" s="32" t="e">
        <f t="shared" si="3"/>
        <v>#REF!</v>
      </c>
      <c r="O6" s="26" t="e">
        <f>VLOOKUP($A6,'UT-I '!$1:$1048576,7,0)</f>
        <v>#REF!</v>
      </c>
      <c r="P6" s="26" t="e">
        <f>IFERROR(ROUND(VLOOKUP($A6,'HALF YEARLY'!$1:$1048576,7,0)*0.8,0),VLOOKUP($A6,'HALF YEARLY'!$1:$1048576,7,0))</f>
        <v>#REF!</v>
      </c>
      <c r="Q6" s="32" t="e">
        <f t="shared" si="4"/>
        <v>#REF!</v>
      </c>
      <c r="R6" s="26" t="e">
        <f>VLOOKUP($A6,'UT-I '!$1:$1048576,8,0)</f>
        <v>#REF!</v>
      </c>
      <c r="S6" s="26" t="e">
        <f>IFERROR(ROUND(VLOOKUP($A6,'HALF YEARLY'!$1:$1048576,8,0)*0.8,0),VLOOKUP($A6,'HALF YEARLY'!$1:$1048576,8,0))</f>
        <v>#REF!</v>
      </c>
      <c r="T6" s="32" t="e">
        <f t="shared" si="5"/>
        <v>#REF!</v>
      </c>
      <c r="U6" s="26" t="e">
        <f>VLOOKUP($A6,'HALF YEARLY'!$1:$1048576,9,0)</f>
        <v>#REF!</v>
      </c>
      <c r="V6" s="26" t="e">
        <f>VLOOKUP($A6,'HALF YEARLY'!$1:$1048576,10,0)</f>
        <v>#REF!</v>
      </c>
      <c r="W6" s="26" t="e">
        <f>VLOOKUP($A6,'HALF YEARLY'!$1:$1048576,11,0)</f>
        <v>#REF!</v>
      </c>
      <c r="X6" s="26" t="e">
        <f>VLOOKUP($A6,'HALF YEARLY'!$1:$1048576,12,0)</f>
        <v>#REF!</v>
      </c>
      <c r="Y6" s="26" t="e">
        <f>VLOOKUP($A6,'HALF YEARLY'!$1:$1048576,13,0)</f>
        <v>#REF!</v>
      </c>
      <c r="Z6" s="26" t="e">
        <f>VLOOKUP($A6,'HALF YEARLY'!$1:$1048576,14,0)</f>
        <v>#REF!</v>
      </c>
      <c r="AA6" s="31" t="e">
        <f>VLOOKUP($A6,'HALF YEARLY'!$1:$1048576,15,0)</f>
        <v>#REF!</v>
      </c>
    </row>
    <row r="7" spans="1:28" x14ac:dyDescent="0.3">
      <c r="A7" s="3" t="e">
        <f>DETAILS!#REF!</f>
        <v>#REF!</v>
      </c>
      <c r="B7" s="3" t="e">
        <f>DETAILS!#REF!</f>
        <v>#REF!</v>
      </c>
      <c r="C7" s="26" t="e">
        <f>VLOOKUP($A7,'UT-I '!$1:$1048576,3,0)</f>
        <v>#REF!</v>
      </c>
      <c r="D7" s="26" t="e">
        <f>IFERROR(ROUND(VLOOKUP($A7,'HALF YEARLY'!$1:$1048576,3,0)*0.8,0),VLOOKUP($A7,'HALF YEARLY'!$1:$1048576,3,0))</f>
        <v>#REF!</v>
      </c>
      <c r="E7" s="32" t="e">
        <f t="shared" si="0"/>
        <v>#REF!</v>
      </c>
      <c r="F7" s="26" t="e">
        <f>VLOOKUP($A7,'UT-I '!$1:$1048576,4,0)</f>
        <v>#REF!</v>
      </c>
      <c r="G7" s="26" t="e">
        <f>IFERROR(ROUND(VLOOKUP($A7,'HALF YEARLY'!$1:$1048576,4,0)*0.8,0),VLOOKUP($A7,'HALF YEARLY'!$1:$1048576,4,0))</f>
        <v>#REF!</v>
      </c>
      <c r="H7" s="32" t="e">
        <f t="shared" si="1"/>
        <v>#REF!</v>
      </c>
      <c r="I7" s="26" t="e">
        <f>VLOOKUP($A7,'UT-I '!$1:$1048576,5,0)</f>
        <v>#REF!</v>
      </c>
      <c r="J7" s="26" t="e">
        <f>IFERROR(ROUND(VLOOKUP($A7,'HALF YEARLY'!$1:$1048576,5,0)*0.8,0),VLOOKUP($A7,'HALF YEARLY'!$1:$1048576,5,0))</f>
        <v>#REF!</v>
      </c>
      <c r="K7" s="32" t="e">
        <f t="shared" si="2"/>
        <v>#REF!</v>
      </c>
      <c r="L7" s="26" t="e">
        <f>VLOOKUP($A7,'UT-I '!$1:$1048576,6,0)</f>
        <v>#REF!</v>
      </c>
      <c r="M7" s="26" t="e">
        <f>IFERROR(ROUND(VLOOKUP($A7,'HALF YEARLY'!$1:$1048576,6,0)*0.8,0),VLOOKUP($A7,'HALF YEARLY'!$1:$1048576,6,0))</f>
        <v>#REF!</v>
      </c>
      <c r="N7" s="32" t="e">
        <f t="shared" si="3"/>
        <v>#REF!</v>
      </c>
      <c r="O7" s="26" t="e">
        <f>VLOOKUP($A7,'UT-I '!$1:$1048576,7,0)</f>
        <v>#REF!</v>
      </c>
      <c r="P7" s="26" t="e">
        <f>IFERROR(ROUND(VLOOKUP($A7,'HALF YEARLY'!$1:$1048576,7,0)*0.8,0),VLOOKUP($A7,'HALF YEARLY'!$1:$1048576,7,0))</f>
        <v>#REF!</v>
      </c>
      <c r="Q7" s="32" t="e">
        <f t="shared" si="4"/>
        <v>#REF!</v>
      </c>
      <c r="R7" s="26" t="e">
        <f>VLOOKUP($A7,'UT-I '!$1:$1048576,8,0)</f>
        <v>#REF!</v>
      </c>
      <c r="S7" s="26" t="e">
        <f>IFERROR(ROUND(VLOOKUP($A7,'HALF YEARLY'!$1:$1048576,8,0)*0.8,0),VLOOKUP($A7,'HALF YEARLY'!$1:$1048576,8,0))</f>
        <v>#REF!</v>
      </c>
      <c r="T7" s="32" t="e">
        <f t="shared" si="5"/>
        <v>#REF!</v>
      </c>
      <c r="U7" s="26" t="e">
        <f>VLOOKUP($A7,'HALF YEARLY'!$1:$1048576,9,0)</f>
        <v>#REF!</v>
      </c>
      <c r="V7" s="26" t="e">
        <f>VLOOKUP($A7,'HALF YEARLY'!$1:$1048576,10,0)</f>
        <v>#REF!</v>
      </c>
      <c r="W7" s="26" t="e">
        <f>VLOOKUP($A7,'HALF YEARLY'!$1:$1048576,11,0)</f>
        <v>#REF!</v>
      </c>
      <c r="X7" s="26" t="e">
        <f>VLOOKUP($A7,'HALF YEARLY'!$1:$1048576,12,0)</f>
        <v>#REF!</v>
      </c>
      <c r="Y7" s="26" t="e">
        <f>VLOOKUP($A7,'HALF YEARLY'!$1:$1048576,13,0)</f>
        <v>#REF!</v>
      </c>
      <c r="Z7" s="26" t="e">
        <f>VLOOKUP($A7,'HALF YEARLY'!$1:$1048576,14,0)</f>
        <v>#REF!</v>
      </c>
      <c r="AA7" s="31" t="e">
        <f>VLOOKUP($A7,'HALF YEARLY'!$1:$1048576,15,0)</f>
        <v>#REF!</v>
      </c>
    </row>
    <row r="8" spans="1:28" x14ac:dyDescent="0.3">
      <c r="A8" s="3" t="e">
        <f>DETAILS!#REF!</f>
        <v>#REF!</v>
      </c>
      <c r="B8" s="3" t="e">
        <f>DETAILS!#REF!</f>
        <v>#REF!</v>
      </c>
      <c r="C8" s="26" t="e">
        <f>VLOOKUP($A8,'UT-I '!$1:$1048576,3,0)</f>
        <v>#REF!</v>
      </c>
      <c r="D8" s="26" t="e">
        <f>IFERROR(ROUND(VLOOKUP($A8,'HALF YEARLY'!$1:$1048576,3,0)*0.8,0),VLOOKUP($A8,'HALF YEARLY'!$1:$1048576,3,0))</f>
        <v>#REF!</v>
      </c>
      <c r="E8" s="32" t="e">
        <f t="shared" si="0"/>
        <v>#REF!</v>
      </c>
      <c r="F8" s="26" t="e">
        <f>VLOOKUP($A8,'UT-I '!$1:$1048576,4,0)</f>
        <v>#REF!</v>
      </c>
      <c r="G8" s="26" t="e">
        <f>IFERROR(ROUND(VLOOKUP($A8,'HALF YEARLY'!$1:$1048576,4,0)*0.8,0),VLOOKUP($A8,'HALF YEARLY'!$1:$1048576,4,0))</f>
        <v>#REF!</v>
      </c>
      <c r="H8" s="32" t="e">
        <f t="shared" si="1"/>
        <v>#REF!</v>
      </c>
      <c r="I8" s="26" t="e">
        <f>VLOOKUP($A8,'UT-I '!$1:$1048576,5,0)</f>
        <v>#REF!</v>
      </c>
      <c r="J8" s="26" t="e">
        <f>IFERROR(ROUND(VLOOKUP($A8,'HALF YEARLY'!$1:$1048576,5,0)*0.8,0),VLOOKUP($A8,'HALF YEARLY'!$1:$1048576,5,0))</f>
        <v>#REF!</v>
      </c>
      <c r="K8" s="32" t="e">
        <f t="shared" si="2"/>
        <v>#REF!</v>
      </c>
      <c r="L8" s="26" t="e">
        <f>VLOOKUP($A8,'UT-I '!$1:$1048576,6,0)</f>
        <v>#REF!</v>
      </c>
      <c r="M8" s="26" t="e">
        <f>IFERROR(ROUND(VLOOKUP($A8,'HALF YEARLY'!$1:$1048576,6,0)*0.8,0),VLOOKUP($A8,'HALF YEARLY'!$1:$1048576,6,0))</f>
        <v>#REF!</v>
      </c>
      <c r="N8" s="32" t="e">
        <f t="shared" si="3"/>
        <v>#REF!</v>
      </c>
      <c r="O8" s="26" t="e">
        <f>VLOOKUP($A8,'UT-I '!$1:$1048576,7,0)</f>
        <v>#REF!</v>
      </c>
      <c r="P8" s="26" t="e">
        <f>IFERROR(ROUND(VLOOKUP($A8,'HALF YEARLY'!$1:$1048576,7,0)*0.8,0),VLOOKUP($A8,'HALF YEARLY'!$1:$1048576,7,0))</f>
        <v>#REF!</v>
      </c>
      <c r="Q8" s="32" t="e">
        <f t="shared" si="4"/>
        <v>#REF!</v>
      </c>
      <c r="R8" s="26" t="e">
        <f>VLOOKUP($A8,'UT-I '!$1:$1048576,8,0)</f>
        <v>#REF!</v>
      </c>
      <c r="S8" s="26" t="e">
        <f>IFERROR(ROUND(VLOOKUP($A8,'HALF YEARLY'!$1:$1048576,8,0)*0.8,0),VLOOKUP($A8,'HALF YEARLY'!$1:$1048576,8,0))</f>
        <v>#REF!</v>
      </c>
      <c r="T8" s="32" t="e">
        <f t="shared" si="5"/>
        <v>#REF!</v>
      </c>
      <c r="U8" s="26" t="e">
        <f>VLOOKUP($A8,'HALF YEARLY'!$1:$1048576,9,0)</f>
        <v>#REF!</v>
      </c>
      <c r="V8" s="26" t="e">
        <f>VLOOKUP($A8,'HALF YEARLY'!$1:$1048576,10,0)</f>
        <v>#REF!</v>
      </c>
      <c r="W8" s="26" t="e">
        <f>VLOOKUP($A8,'HALF YEARLY'!$1:$1048576,11,0)</f>
        <v>#REF!</v>
      </c>
      <c r="X8" s="26" t="e">
        <f>VLOOKUP($A8,'HALF YEARLY'!$1:$1048576,12,0)</f>
        <v>#REF!</v>
      </c>
      <c r="Y8" s="26" t="e">
        <f>VLOOKUP($A8,'HALF YEARLY'!$1:$1048576,13,0)</f>
        <v>#REF!</v>
      </c>
      <c r="Z8" s="26" t="e">
        <f>VLOOKUP($A8,'HALF YEARLY'!$1:$1048576,14,0)</f>
        <v>#REF!</v>
      </c>
      <c r="AA8" s="31" t="e">
        <f>VLOOKUP($A8,'HALF YEARLY'!$1:$1048576,15,0)</f>
        <v>#REF!</v>
      </c>
    </row>
    <row r="9" spans="1:28" x14ac:dyDescent="0.3">
      <c r="A9" s="3" t="e">
        <f>DETAILS!#REF!</f>
        <v>#REF!</v>
      </c>
      <c r="B9" s="3" t="e">
        <f>DETAILS!#REF!</f>
        <v>#REF!</v>
      </c>
      <c r="C9" s="26" t="e">
        <f>VLOOKUP($A9,'UT-I '!$1:$1048576,3,0)</f>
        <v>#REF!</v>
      </c>
      <c r="D9" s="26" t="e">
        <f>IFERROR(ROUND(VLOOKUP($A9,'HALF YEARLY'!$1:$1048576,3,0)*0.8,0),VLOOKUP($A9,'HALF YEARLY'!$1:$1048576,3,0))</f>
        <v>#REF!</v>
      </c>
      <c r="E9" s="32" t="e">
        <f t="shared" si="0"/>
        <v>#REF!</v>
      </c>
      <c r="F9" s="26" t="e">
        <f>VLOOKUP($A9,'UT-I '!$1:$1048576,4,0)</f>
        <v>#REF!</v>
      </c>
      <c r="G9" s="26" t="e">
        <f>IFERROR(ROUND(VLOOKUP($A9,'HALF YEARLY'!$1:$1048576,4,0)*0.8,0),VLOOKUP($A9,'HALF YEARLY'!$1:$1048576,4,0))</f>
        <v>#REF!</v>
      </c>
      <c r="H9" s="32" t="e">
        <f t="shared" si="1"/>
        <v>#REF!</v>
      </c>
      <c r="I9" s="26" t="e">
        <f>VLOOKUP($A9,'UT-I '!$1:$1048576,5,0)</f>
        <v>#REF!</v>
      </c>
      <c r="J9" s="26" t="e">
        <f>IFERROR(ROUND(VLOOKUP($A9,'HALF YEARLY'!$1:$1048576,5,0)*0.8,0),VLOOKUP($A9,'HALF YEARLY'!$1:$1048576,5,0))</f>
        <v>#REF!</v>
      </c>
      <c r="K9" s="32" t="e">
        <f t="shared" si="2"/>
        <v>#REF!</v>
      </c>
      <c r="L9" s="26" t="e">
        <f>VLOOKUP($A9,'UT-I '!$1:$1048576,6,0)</f>
        <v>#REF!</v>
      </c>
      <c r="M9" s="26" t="e">
        <f>IFERROR(ROUND(VLOOKUP($A9,'HALF YEARLY'!$1:$1048576,6,0)*0.8,0),VLOOKUP($A9,'HALF YEARLY'!$1:$1048576,6,0))</f>
        <v>#REF!</v>
      </c>
      <c r="N9" s="32" t="e">
        <f t="shared" si="3"/>
        <v>#REF!</v>
      </c>
      <c r="O9" s="26" t="e">
        <f>VLOOKUP($A9,'UT-I '!$1:$1048576,7,0)</f>
        <v>#REF!</v>
      </c>
      <c r="P9" s="26" t="e">
        <f>IFERROR(ROUND(VLOOKUP($A9,'HALF YEARLY'!$1:$1048576,7,0)*0.8,0),VLOOKUP($A9,'HALF YEARLY'!$1:$1048576,7,0))</f>
        <v>#REF!</v>
      </c>
      <c r="Q9" s="32" t="e">
        <f t="shared" si="4"/>
        <v>#REF!</v>
      </c>
      <c r="R9" s="26" t="e">
        <f>VLOOKUP($A9,'UT-I '!$1:$1048576,8,0)</f>
        <v>#REF!</v>
      </c>
      <c r="S9" s="26" t="e">
        <f>IFERROR(ROUND(VLOOKUP($A9,'HALF YEARLY'!$1:$1048576,8,0)*0.8,0),VLOOKUP($A9,'HALF YEARLY'!$1:$1048576,8,0))</f>
        <v>#REF!</v>
      </c>
      <c r="T9" s="32" t="e">
        <f t="shared" si="5"/>
        <v>#REF!</v>
      </c>
      <c r="U9" s="26" t="e">
        <f>VLOOKUP($A9,'HALF YEARLY'!$1:$1048576,9,0)</f>
        <v>#REF!</v>
      </c>
      <c r="V9" s="26" t="e">
        <f>VLOOKUP($A9,'HALF YEARLY'!$1:$1048576,10,0)</f>
        <v>#REF!</v>
      </c>
      <c r="W9" s="26" t="e">
        <f>VLOOKUP($A9,'HALF YEARLY'!$1:$1048576,11,0)</f>
        <v>#REF!</v>
      </c>
      <c r="X9" s="26" t="e">
        <f>VLOOKUP($A9,'HALF YEARLY'!$1:$1048576,12,0)</f>
        <v>#REF!</v>
      </c>
      <c r="Y9" s="26" t="e">
        <f>VLOOKUP($A9,'HALF YEARLY'!$1:$1048576,13,0)</f>
        <v>#REF!</v>
      </c>
      <c r="Z9" s="26" t="e">
        <f>VLOOKUP($A9,'HALF YEARLY'!$1:$1048576,14,0)</f>
        <v>#REF!</v>
      </c>
      <c r="AA9" s="31" t="e">
        <f>VLOOKUP($A9,'HALF YEARLY'!$1:$1048576,15,0)</f>
        <v>#REF!</v>
      </c>
    </row>
    <row r="10" spans="1:28" x14ac:dyDescent="0.3">
      <c r="A10" s="3" t="e">
        <f>DETAILS!#REF!</f>
        <v>#REF!</v>
      </c>
      <c r="B10" s="3" t="e">
        <f>DETAILS!#REF!</f>
        <v>#REF!</v>
      </c>
      <c r="C10" s="26" t="e">
        <f>VLOOKUP($A10,'UT-I '!$1:$1048576,3,0)</f>
        <v>#REF!</v>
      </c>
      <c r="D10" s="26" t="e">
        <f>IFERROR(ROUND(VLOOKUP($A10,'HALF YEARLY'!$1:$1048576,3,0)*0.8,0),VLOOKUP($A10,'HALF YEARLY'!$1:$1048576,3,0))</f>
        <v>#REF!</v>
      </c>
      <c r="E10" s="32" t="e">
        <f t="shared" si="0"/>
        <v>#REF!</v>
      </c>
      <c r="F10" s="26" t="e">
        <f>VLOOKUP($A10,'UT-I '!$1:$1048576,4,0)</f>
        <v>#REF!</v>
      </c>
      <c r="G10" s="26" t="e">
        <f>IFERROR(ROUND(VLOOKUP($A10,'HALF YEARLY'!$1:$1048576,4,0)*0.8,0),VLOOKUP($A10,'HALF YEARLY'!$1:$1048576,4,0))</f>
        <v>#REF!</v>
      </c>
      <c r="H10" s="32" t="e">
        <f t="shared" si="1"/>
        <v>#REF!</v>
      </c>
      <c r="I10" s="26" t="e">
        <f>VLOOKUP($A10,'UT-I '!$1:$1048576,5,0)</f>
        <v>#REF!</v>
      </c>
      <c r="J10" s="26" t="e">
        <f>IFERROR(ROUND(VLOOKUP($A10,'HALF YEARLY'!$1:$1048576,5,0)*0.8,0),VLOOKUP($A10,'HALF YEARLY'!$1:$1048576,5,0))</f>
        <v>#REF!</v>
      </c>
      <c r="K10" s="32" t="e">
        <f t="shared" si="2"/>
        <v>#REF!</v>
      </c>
      <c r="L10" s="26" t="e">
        <f>VLOOKUP($A10,'UT-I '!$1:$1048576,6,0)</f>
        <v>#REF!</v>
      </c>
      <c r="M10" s="26" t="e">
        <f>IFERROR(ROUND(VLOOKUP($A10,'HALF YEARLY'!$1:$1048576,6,0)*0.8,0),VLOOKUP($A10,'HALF YEARLY'!$1:$1048576,6,0))</f>
        <v>#REF!</v>
      </c>
      <c r="N10" s="32" t="e">
        <f t="shared" si="3"/>
        <v>#REF!</v>
      </c>
      <c r="O10" s="26" t="e">
        <f>VLOOKUP($A10,'UT-I '!$1:$1048576,7,0)</f>
        <v>#REF!</v>
      </c>
      <c r="P10" s="26" t="e">
        <f>IFERROR(ROUND(VLOOKUP($A10,'HALF YEARLY'!$1:$1048576,7,0)*0.8,0),VLOOKUP($A10,'HALF YEARLY'!$1:$1048576,7,0))</f>
        <v>#REF!</v>
      </c>
      <c r="Q10" s="32" t="e">
        <f t="shared" si="4"/>
        <v>#REF!</v>
      </c>
      <c r="R10" s="26" t="e">
        <f>VLOOKUP($A10,'UT-I '!$1:$1048576,8,0)</f>
        <v>#REF!</v>
      </c>
      <c r="S10" s="26" t="e">
        <f>IFERROR(ROUND(VLOOKUP($A10,'HALF YEARLY'!$1:$1048576,8,0)*0.8,0),VLOOKUP($A10,'HALF YEARLY'!$1:$1048576,8,0))</f>
        <v>#REF!</v>
      </c>
      <c r="T10" s="32" t="e">
        <f t="shared" si="5"/>
        <v>#REF!</v>
      </c>
      <c r="U10" s="26" t="e">
        <f>VLOOKUP($A10,'HALF YEARLY'!$1:$1048576,9,0)</f>
        <v>#REF!</v>
      </c>
      <c r="V10" s="26" t="e">
        <f>VLOOKUP($A10,'HALF YEARLY'!$1:$1048576,10,0)</f>
        <v>#REF!</v>
      </c>
      <c r="W10" s="26" t="e">
        <f>VLOOKUP($A10,'HALF YEARLY'!$1:$1048576,11,0)</f>
        <v>#REF!</v>
      </c>
      <c r="X10" s="26" t="e">
        <f>VLOOKUP($A10,'HALF YEARLY'!$1:$1048576,12,0)</f>
        <v>#REF!</v>
      </c>
      <c r="Y10" s="26" t="e">
        <f>VLOOKUP($A10,'HALF YEARLY'!$1:$1048576,13,0)</f>
        <v>#REF!</v>
      </c>
      <c r="Z10" s="26" t="e">
        <f>VLOOKUP($A10,'HALF YEARLY'!$1:$1048576,14,0)</f>
        <v>#REF!</v>
      </c>
      <c r="AA10" s="31" t="e">
        <f>VLOOKUP($A10,'HALF YEARLY'!$1:$1048576,15,0)</f>
        <v>#REF!</v>
      </c>
    </row>
    <row r="11" spans="1:28" x14ac:dyDescent="0.3">
      <c r="A11" s="3" t="e">
        <f>DETAILS!#REF!</f>
        <v>#REF!</v>
      </c>
      <c r="B11" s="3" t="e">
        <f>DETAILS!#REF!</f>
        <v>#REF!</v>
      </c>
      <c r="C11" s="26" t="e">
        <f>VLOOKUP($A11,'UT-I '!$1:$1048576,3,0)</f>
        <v>#REF!</v>
      </c>
      <c r="D11" s="26" t="e">
        <f>IFERROR(ROUND(VLOOKUP($A11,'HALF YEARLY'!$1:$1048576,3,0)*0.8,0),VLOOKUP($A11,'HALF YEARLY'!$1:$1048576,3,0))</f>
        <v>#REF!</v>
      </c>
      <c r="E11" s="32" t="e">
        <f t="shared" si="0"/>
        <v>#REF!</v>
      </c>
      <c r="F11" s="26" t="e">
        <f>VLOOKUP($A11,'UT-I '!$1:$1048576,4,0)</f>
        <v>#REF!</v>
      </c>
      <c r="G11" s="26" t="e">
        <f>IFERROR(ROUND(VLOOKUP($A11,'HALF YEARLY'!$1:$1048576,4,0)*0.8,0),VLOOKUP($A11,'HALF YEARLY'!$1:$1048576,4,0))</f>
        <v>#REF!</v>
      </c>
      <c r="H11" s="32" t="e">
        <f t="shared" si="1"/>
        <v>#REF!</v>
      </c>
      <c r="I11" s="26" t="e">
        <f>VLOOKUP($A11,'UT-I '!$1:$1048576,5,0)</f>
        <v>#REF!</v>
      </c>
      <c r="J11" s="26" t="e">
        <f>IFERROR(ROUND(VLOOKUP($A11,'HALF YEARLY'!$1:$1048576,5,0)*0.8,0),VLOOKUP($A11,'HALF YEARLY'!$1:$1048576,5,0))</f>
        <v>#REF!</v>
      </c>
      <c r="K11" s="32" t="e">
        <f t="shared" si="2"/>
        <v>#REF!</v>
      </c>
      <c r="L11" s="26" t="e">
        <f>VLOOKUP($A11,'UT-I '!$1:$1048576,6,0)</f>
        <v>#REF!</v>
      </c>
      <c r="M11" s="26" t="e">
        <f>IFERROR(ROUND(VLOOKUP($A11,'HALF YEARLY'!$1:$1048576,6,0)*0.8,0),VLOOKUP($A11,'HALF YEARLY'!$1:$1048576,6,0))</f>
        <v>#REF!</v>
      </c>
      <c r="N11" s="32" t="e">
        <f t="shared" si="3"/>
        <v>#REF!</v>
      </c>
      <c r="O11" s="26" t="e">
        <f>VLOOKUP($A11,'UT-I '!$1:$1048576,7,0)</f>
        <v>#REF!</v>
      </c>
      <c r="P11" s="26" t="e">
        <f>IFERROR(ROUND(VLOOKUP($A11,'HALF YEARLY'!$1:$1048576,7,0)*0.8,0),VLOOKUP($A11,'HALF YEARLY'!$1:$1048576,7,0))</f>
        <v>#REF!</v>
      </c>
      <c r="Q11" s="32" t="e">
        <f t="shared" si="4"/>
        <v>#REF!</v>
      </c>
      <c r="R11" s="26" t="e">
        <f>VLOOKUP($A11,'UT-I '!$1:$1048576,8,0)</f>
        <v>#REF!</v>
      </c>
      <c r="S11" s="26" t="e">
        <f>IFERROR(ROUND(VLOOKUP($A11,'HALF YEARLY'!$1:$1048576,8,0)*0.8,0),VLOOKUP($A11,'HALF YEARLY'!$1:$1048576,8,0))</f>
        <v>#REF!</v>
      </c>
      <c r="T11" s="32" t="e">
        <f t="shared" si="5"/>
        <v>#REF!</v>
      </c>
      <c r="U11" s="26" t="e">
        <f>VLOOKUP($A11,'HALF YEARLY'!$1:$1048576,9,0)</f>
        <v>#REF!</v>
      </c>
      <c r="V11" s="26" t="e">
        <f>VLOOKUP($A11,'HALF YEARLY'!$1:$1048576,10,0)</f>
        <v>#REF!</v>
      </c>
      <c r="W11" s="26" t="e">
        <f>VLOOKUP($A11,'HALF YEARLY'!$1:$1048576,11,0)</f>
        <v>#REF!</v>
      </c>
      <c r="X11" s="26" t="e">
        <f>VLOOKUP($A11,'HALF YEARLY'!$1:$1048576,12,0)</f>
        <v>#REF!</v>
      </c>
      <c r="Y11" s="26" t="e">
        <f>VLOOKUP($A11,'HALF YEARLY'!$1:$1048576,13,0)</f>
        <v>#REF!</v>
      </c>
      <c r="Z11" s="26" t="e">
        <f>VLOOKUP($A11,'HALF YEARLY'!$1:$1048576,14,0)</f>
        <v>#REF!</v>
      </c>
      <c r="AA11" s="31" t="e">
        <f>VLOOKUP($A11,'HALF YEARLY'!$1:$1048576,15,0)</f>
        <v>#REF!</v>
      </c>
    </row>
    <row r="12" spans="1:28" x14ac:dyDescent="0.3">
      <c r="A12" s="3" t="e">
        <f>DETAILS!#REF!</f>
        <v>#REF!</v>
      </c>
      <c r="B12" s="3" t="e">
        <f>DETAILS!#REF!</f>
        <v>#REF!</v>
      </c>
      <c r="C12" s="26" t="e">
        <f>VLOOKUP($A12,'UT-I '!$1:$1048576,3,0)</f>
        <v>#REF!</v>
      </c>
      <c r="D12" s="26" t="e">
        <f>IFERROR(ROUND(VLOOKUP($A12,'HALF YEARLY'!$1:$1048576,3,0)*0.8,0),VLOOKUP($A12,'HALF YEARLY'!$1:$1048576,3,0))</f>
        <v>#REF!</v>
      </c>
      <c r="E12" s="32" t="e">
        <f t="shared" si="0"/>
        <v>#REF!</v>
      </c>
      <c r="F12" s="26" t="e">
        <f>VLOOKUP($A12,'UT-I '!$1:$1048576,4,0)</f>
        <v>#REF!</v>
      </c>
      <c r="G12" s="26" t="e">
        <f>IFERROR(ROUND(VLOOKUP($A12,'HALF YEARLY'!$1:$1048576,4,0)*0.8,0),VLOOKUP($A12,'HALF YEARLY'!$1:$1048576,4,0))</f>
        <v>#REF!</v>
      </c>
      <c r="H12" s="32" t="e">
        <f t="shared" si="1"/>
        <v>#REF!</v>
      </c>
      <c r="I12" s="26" t="e">
        <f>VLOOKUP($A12,'UT-I '!$1:$1048576,5,0)</f>
        <v>#REF!</v>
      </c>
      <c r="J12" s="26" t="e">
        <f>IFERROR(ROUND(VLOOKUP($A12,'HALF YEARLY'!$1:$1048576,5,0)*0.8,0),VLOOKUP($A12,'HALF YEARLY'!$1:$1048576,5,0))</f>
        <v>#REF!</v>
      </c>
      <c r="K12" s="32" t="e">
        <f t="shared" si="2"/>
        <v>#REF!</v>
      </c>
      <c r="L12" s="26" t="e">
        <f>VLOOKUP($A12,'UT-I '!$1:$1048576,6,0)</f>
        <v>#REF!</v>
      </c>
      <c r="M12" s="26" t="e">
        <f>IFERROR(ROUND(VLOOKUP($A12,'HALF YEARLY'!$1:$1048576,6,0)*0.8,0),VLOOKUP($A12,'HALF YEARLY'!$1:$1048576,6,0))</f>
        <v>#REF!</v>
      </c>
      <c r="N12" s="32" t="e">
        <f t="shared" si="3"/>
        <v>#REF!</v>
      </c>
      <c r="O12" s="26" t="e">
        <f>VLOOKUP($A12,'UT-I '!$1:$1048576,7,0)</f>
        <v>#REF!</v>
      </c>
      <c r="P12" s="26" t="e">
        <f>IFERROR(ROUND(VLOOKUP($A12,'HALF YEARLY'!$1:$1048576,7,0)*0.8,0),VLOOKUP($A12,'HALF YEARLY'!$1:$1048576,7,0))</f>
        <v>#REF!</v>
      </c>
      <c r="Q12" s="32" t="e">
        <f t="shared" si="4"/>
        <v>#REF!</v>
      </c>
      <c r="R12" s="26" t="e">
        <f>VLOOKUP($A12,'UT-I '!$1:$1048576,8,0)</f>
        <v>#REF!</v>
      </c>
      <c r="S12" s="26" t="e">
        <f>IFERROR(ROUND(VLOOKUP($A12,'HALF YEARLY'!$1:$1048576,8,0)*0.8,0),VLOOKUP($A12,'HALF YEARLY'!$1:$1048576,8,0))</f>
        <v>#REF!</v>
      </c>
      <c r="T12" s="32" t="e">
        <f t="shared" si="5"/>
        <v>#REF!</v>
      </c>
      <c r="U12" s="26" t="e">
        <f>VLOOKUP($A12,'HALF YEARLY'!$1:$1048576,9,0)</f>
        <v>#REF!</v>
      </c>
      <c r="V12" s="26" t="e">
        <f>VLOOKUP($A12,'HALF YEARLY'!$1:$1048576,10,0)</f>
        <v>#REF!</v>
      </c>
      <c r="W12" s="26" t="e">
        <f>VLOOKUP($A12,'HALF YEARLY'!$1:$1048576,11,0)</f>
        <v>#REF!</v>
      </c>
      <c r="X12" s="26" t="e">
        <f>VLOOKUP($A12,'HALF YEARLY'!$1:$1048576,12,0)</f>
        <v>#REF!</v>
      </c>
      <c r="Y12" s="26" t="e">
        <f>VLOOKUP($A12,'HALF YEARLY'!$1:$1048576,13,0)</f>
        <v>#REF!</v>
      </c>
      <c r="Z12" s="26" t="e">
        <f>VLOOKUP($A12,'HALF YEARLY'!$1:$1048576,14,0)</f>
        <v>#REF!</v>
      </c>
      <c r="AA12" s="31" t="e">
        <f>VLOOKUP($A12,'HALF YEARLY'!$1:$1048576,15,0)</f>
        <v>#REF!</v>
      </c>
    </row>
    <row r="13" spans="1:28" x14ac:dyDescent="0.3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B20" sqref="B20:C2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9"/>
      <c r="C1" s="79"/>
      <c r="D1" s="79"/>
      <c r="E1" s="79"/>
      <c r="F1" s="79"/>
      <c r="G1" s="79"/>
      <c r="H1" s="79"/>
      <c r="I1" s="79"/>
      <c r="J1" s="79"/>
      <c r="K1" s="79"/>
      <c r="L1" s="7"/>
      <c r="M1" s="7"/>
      <c r="N1" s="8"/>
    </row>
    <row r="2" spans="1:14" ht="32.4" x14ac:dyDescent="0.3">
      <c r="A2" s="9"/>
      <c r="B2" s="80" t="s">
        <v>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10"/>
    </row>
    <row r="3" spans="1:14" ht="18" customHeight="1" x14ac:dyDescent="0.3">
      <c r="A3" s="9"/>
      <c r="B3" s="81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10"/>
    </row>
    <row r="4" spans="1:14" ht="16.2" customHeight="1" x14ac:dyDescent="0.3">
      <c r="A4" s="9"/>
      <c r="B4" s="82" t="s">
        <v>58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10"/>
    </row>
    <row r="5" spans="1:14" ht="16.2" customHeight="1" x14ac:dyDescent="0.3">
      <c r="A5" s="9"/>
      <c r="B5" s="82" t="s">
        <v>2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10"/>
    </row>
    <row r="6" spans="1:14" ht="18" customHeight="1" x14ac:dyDescent="0.3">
      <c r="A6" s="9"/>
      <c r="B6" s="83" t="s">
        <v>68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10"/>
    </row>
    <row r="7" spans="1:14" ht="20.25" customHeight="1" x14ac:dyDescent="0.3">
      <c r="A7" s="9"/>
      <c r="B7" s="84" t="s">
        <v>72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10"/>
    </row>
    <row r="8" spans="1:14" ht="18" customHeight="1" x14ac:dyDescent="0.3">
      <c r="A8" s="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10"/>
    </row>
    <row r="9" spans="1:14" x14ac:dyDescent="0.3">
      <c r="A9" s="9"/>
      <c r="B9" s="4" t="s">
        <v>5</v>
      </c>
      <c r="C9" s="85" t="e">
        <f>":      "&amp;VLOOKUP($K$9,DETAILS!$1:$1048576,2,0)</f>
        <v>#N/A</v>
      </c>
      <c r="D9" s="85"/>
      <c r="E9" s="85"/>
      <c r="F9" s="85"/>
      <c r="G9" s="85"/>
      <c r="I9" s="85" t="s">
        <v>53</v>
      </c>
      <c r="J9" s="85"/>
      <c r="K9" s="85">
        <v>1</v>
      </c>
      <c r="L9" s="85"/>
      <c r="M9" s="86"/>
      <c r="N9" s="10"/>
    </row>
    <row r="10" spans="1:14" x14ac:dyDescent="0.3">
      <c r="A10" s="9"/>
      <c r="B10" s="4" t="s">
        <v>6</v>
      </c>
      <c r="C10" s="72" t="e">
        <f>":      "&amp;VLOOKUP($K$9,DETAILS!$1:$1048576,3,0)</f>
        <v>#N/A</v>
      </c>
      <c r="D10" s="72"/>
      <c r="E10" s="72"/>
      <c r="F10" s="72"/>
      <c r="G10" s="72"/>
      <c r="I10" s="72" t="s">
        <v>54</v>
      </c>
      <c r="J10" s="72"/>
      <c r="K10" s="72" t="e">
        <f>VLOOKUP($K$9,DETAILS!$1:$1048576,6,0)</f>
        <v>#N/A</v>
      </c>
      <c r="L10" s="72"/>
      <c r="M10" s="78"/>
      <c r="N10" s="10"/>
    </row>
    <row r="11" spans="1:14" x14ac:dyDescent="0.3">
      <c r="A11" s="9"/>
      <c r="B11" s="5" t="s">
        <v>7</v>
      </c>
      <c r="C11" s="76" t="e">
        <f>":      "&amp;VLOOKUP($K$9,DETAILS!$1:$1048576,4,0)</f>
        <v>#N/A</v>
      </c>
      <c r="D11" s="76"/>
      <c r="E11" s="76"/>
      <c r="F11" s="76"/>
      <c r="G11" s="76"/>
      <c r="H11" s="2"/>
      <c r="I11" s="76" t="s">
        <v>55</v>
      </c>
      <c r="J11" s="76"/>
      <c r="K11" s="76" t="e">
        <f>VLOOKUP($K$9,DETAILS!$1:$1048576,5,0)</f>
        <v>#N/A</v>
      </c>
      <c r="L11" s="76"/>
      <c r="M11" s="7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8" t="s">
        <v>56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10"/>
    </row>
    <row r="14" spans="1:14" ht="61.5" customHeight="1" x14ac:dyDescent="0.3">
      <c r="A14" s="9"/>
      <c r="B14" s="60" t="s">
        <v>31</v>
      </c>
      <c r="C14" s="60"/>
      <c r="D14" s="62" t="s">
        <v>74</v>
      </c>
      <c r="E14" s="62"/>
      <c r="F14" s="62"/>
      <c r="G14" s="62" t="s">
        <v>67</v>
      </c>
      <c r="H14" s="62"/>
      <c r="I14" s="62"/>
      <c r="J14" s="62"/>
      <c r="K14" s="62" t="s">
        <v>75</v>
      </c>
      <c r="L14" s="62"/>
      <c r="M14" s="62"/>
      <c r="N14" s="10"/>
    </row>
    <row r="15" spans="1:14" x14ac:dyDescent="0.3">
      <c r="A15" s="9"/>
      <c r="B15" s="61" t="s">
        <v>96</v>
      </c>
      <c r="C15" s="61"/>
      <c r="D15" s="63" t="e">
        <f>VLOOKUP($K$9,'HY Compile'!$1:$1048576,3,0)</f>
        <v>#N/A</v>
      </c>
      <c r="E15" s="63"/>
      <c r="F15" s="63"/>
      <c r="G15" s="63" t="e">
        <f>VLOOKUP($K$9,'HY Compile'!$1:$1048576,4,0)</f>
        <v>#N/A</v>
      </c>
      <c r="H15" s="63"/>
      <c r="I15" s="63"/>
      <c r="J15" s="63"/>
      <c r="K15" s="63" t="e">
        <f t="shared" ref="K15:K20" si="0">SUM(D15:J15)</f>
        <v>#N/A</v>
      </c>
      <c r="L15" s="63"/>
      <c r="M15" s="63"/>
      <c r="N15" s="10"/>
    </row>
    <row r="16" spans="1:14" x14ac:dyDescent="0.3">
      <c r="A16" s="9"/>
      <c r="B16" s="61" t="e">
        <f>VLOOKUP($K$9,DETAILS!$1:$1048576,7,0)</f>
        <v>#N/A</v>
      </c>
      <c r="C16" s="61"/>
      <c r="D16" s="63" t="e">
        <f>VLOOKUP($K$9,'HY Compile'!$1:$1048576,6,0)</f>
        <v>#N/A</v>
      </c>
      <c r="E16" s="63"/>
      <c r="F16" s="63"/>
      <c r="G16" s="63" t="e">
        <f>VLOOKUP($K$9,'HY Compile'!$1:$1048576,7,0)</f>
        <v>#N/A</v>
      </c>
      <c r="H16" s="63"/>
      <c r="I16" s="63"/>
      <c r="J16" s="63"/>
      <c r="K16" s="63" t="e">
        <f t="shared" si="0"/>
        <v>#N/A</v>
      </c>
      <c r="L16" s="63"/>
      <c r="M16" s="63"/>
      <c r="N16" s="10"/>
    </row>
    <row r="17" spans="1:14" x14ac:dyDescent="0.3">
      <c r="A17" s="9"/>
      <c r="B17" s="61" t="s">
        <v>98</v>
      </c>
      <c r="C17" s="61"/>
      <c r="D17" s="63" t="e">
        <f>VLOOKUP($K$9,'HY Compile'!$1:$1048576,9,0)</f>
        <v>#N/A</v>
      </c>
      <c r="E17" s="63"/>
      <c r="F17" s="63"/>
      <c r="G17" s="63" t="e">
        <f>VLOOKUP($K$9,'HY Compile'!$1:$1048576,10,0)</f>
        <v>#N/A</v>
      </c>
      <c r="H17" s="63"/>
      <c r="I17" s="63"/>
      <c r="J17" s="63"/>
      <c r="K17" s="63" t="e">
        <f t="shared" si="0"/>
        <v>#N/A</v>
      </c>
      <c r="L17" s="63"/>
      <c r="M17" s="63"/>
      <c r="N17" s="10"/>
    </row>
    <row r="18" spans="1:14" x14ac:dyDescent="0.3">
      <c r="A18" s="9"/>
      <c r="B18" s="61" t="s">
        <v>99</v>
      </c>
      <c r="C18" s="61"/>
      <c r="D18" s="63" t="e">
        <f>VLOOKUP($K$9,'HY Compile'!$1:$1048576,12,0)</f>
        <v>#N/A</v>
      </c>
      <c r="E18" s="63"/>
      <c r="F18" s="63"/>
      <c r="G18" s="63" t="e">
        <f>VLOOKUP($K$9,'HY Compile'!$1:$1048576,13,0)</f>
        <v>#N/A</v>
      </c>
      <c r="H18" s="63"/>
      <c r="I18" s="63"/>
      <c r="J18" s="63"/>
      <c r="K18" s="63" t="e">
        <f t="shared" si="0"/>
        <v>#N/A</v>
      </c>
      <c r="L18" s="63"/>
      <c r="M18" s="63"/>
      <c r="N18" s="10"/>
    </row>
    <row r="19" spans="1:14" x14ac:dyDescent="0.3">
      <c r="A19" s="9"/>
      <c r="B19" s="61" t="s">
        <v>100</v>
      </c>
      <c r="C19" s="61"/>
      <c r="D19" s="63" t="e">
        <f>VLOOKUP($K$9,'HY Compile'!$1:$1048576,15,0)</f>
        <v>#N/A</v>
      </c>
      <c r="E19" s="63"/>
      <c r="F19" s="63"/>
      <c r="G19" s="63" t="e">
        <f>VLOOKUP($K$9,'HY Compile'!$1:$1048576,16,0)</f>
        <v>#N/A</v>
      </c>
      <c r="H19" s="63"/>
      <c r="I19" s="63"/>
      <c r="J19" s="63"/>
      <c r="K19" s="63" t="e">
        <f t="shared" si="0"/>
        <v>#N/A</v>
      </c>
      <c r="L19" s="63"/>
      <c r="M19" s="63"/>
      <c r="N19" s="10"/>
    </row>
    <row r="20" spans="1:14" x14ac:dyDescent="0.3">
      <c r="A20" s="9"/>
      <c r="B20" s="61" t="s">
        <v>93</v>
      </c>
      <c r="C20" s="61"/>
      <c r="D20" s="63" t="e">
        <f>VLOOKUP($K$9,'HY Compile'!$1:$1048576,18,0)</f>
        <v>#N/A</v>
      </c>
      <c r="E20" s="63"/>
      <c r="F20" s="63"/>
      <c r="G20" s="63" t="e">
        <f>VLOOKUP($K$9,'HY Compile'!$1:$1048576,19,0)</f>
        <v>#N/A</v>
      </c>
      <c r="H20" s="63"/>
      <c r="I20" s="63"/>
      <c r="J20" s="63"/>
      <c r="K20" s="63" t="e">
        <f t="shared" si="0"/>
        <v>#N/A</v>
      </c>
      <c r="L20" s="63"/>
      <c r="M20" s="63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1" t="s">
        <v>10</v>
      </c>
      <c r="C22" s="63" t="e">
        <f>VLOOKUP($K$9,'HY Compile'!$1:$1048576,25,0)</f>
        <v>#N/A</v>
      </c>
      <c r="D22" s="63" t="e">
        <f>VLOOKUP($K$9,'HY Compile'!$1:$1048576,26,0)</f>
        <v>#N/A</v>
      </c>
      <c r="J22" s="19" t="s">
        <v>27</v>
      </c>
      <c r="K22" s="20"/>
      <c r="L22" s="73" t="e">
        <f>ROUND(SUM(K15:M20)/6,2)&amp;" %"</f>
        <v>#N/A</v>
      </c>
      <c r="M22" s="74"/>
      <c r="N22" s="10"/>
    </row>
    <row r="23" spans="1:14" ht="15.6" customHeight="1" x14ac:dyDescent="0.3">
      <c r="A23" s="9"/>
      <c r="B23" s="71"/>
      <c r="C23" s="63" t="e">
        <f>VLOOKUP($K$9,'HY Compile'!$1:$1048576,38,0)</f>
        <v>#N/A</v>
      </c>
      <c r="D23" s="63" t="e">
        <f>VLOOKUP($K$9,'HY Compile'!$1:$1048576,38,0)</f>
        <v>#N/A</v>
      </c>
      <c r="J23" s="19" t="s">
        <v>28</v>
      </c>
      <c r="K23" s="20"/>
      <c r="L23" s="73" t="e">
        <f>SUM(K15:M20)&amp; "/600"</f>
        <v>#N/A</v>
      </c>
      <c r="M23" s="74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8" t="s">
        <v>57</v>
      </c>
      <c r="C26" s="68"/>
      <c r="D26" s="68"/>
      <c r="E26" s="68"/>
      <c r="F26" s="68"/>
      <c r="G26" s="68"/>
      <c r="H26" s="68"/>
      <c r="I26" s="68"/>
      <c r="J26" s="68"/>
      <c r="K26" s="68" t="s">
        <v>11</v>
      </c>
      <c r="L26" s="68"/>
      <c r="M26" s="68"/>
      <c r="N26" s="10"/>
    </row>
    <row r="27" spans="1:14" x14ac:dyDescent="0.3">
      <c r="A27" s="9"/>
      <c r="B27" s="64" t="s">
        <v>12</v>
      </c>
      <c r="C27" s="64"/>
      <c r="D27" s="64"/>
      <c r="E27" s="64"/>
      <c r="F27" s="64"/>
      <c r="G27" s="64"/>
      <c r="H27" s="64"/>
      <c r="I27" s="64"/>
      <c r="J27" s="64"/>
      <c r="K27" s="65" t="e">
        <f>VLOOKUP($K$9,'HY Compile'!$1:$1048576,21,0)</f>
        <v>#N/A</v>
      </c>
      <c r="L27" s="66"/>
      <c r="M27" s="67"/>
      <c r="N27" s="10"/>
    </row>
    <row r="28" spans="1:14" x14ac:dyDescent="0.3">
      <c r="A28" s="9"/>
      <c r="B28" s="64" t="s">
        <v>13</v>
      </c>
      <c r="C28" s="64"/>
      <c r="D28" s="64"/>
      <c r="E28" s="64"/>
      <c r="F28" s="64"/>
      <c r="G28" s="64"/>
      <c r="H28" s="64"/>
      <c r="I28" s="64"/>
      <c r="J28" s="64"/>
      <c r="K28" s="65" t="e">
        <f>VLOOKUP($K$9,'HY Compile'!$1:$1048576,22,0)</f>
        <v>#N/A</v>
      </c>
      <c r="L28" s="66"/>
      <c r="M28" s="67"/>
      <c r="N28" s="10"/>
    </row>
    <row r="29" spans="1:14" x14ac:dyDescent="0.3">
      <c r="A29" s="9"/>
      <c r="B29" s="64" t="s">
        <v>14</v>
      </c>
      <c r="C29" s="64"/>
      <c r="D29" s="64"/>
      <c r="E29" s="64"/>
      <c r="F29" s="64"/>
      <c r="G29" s="64"/>
      <c r="H29" s="64"/>
      <c r="I29" s="64"/>
      <c r="J29" s="64"/>
      <c r="K29" s="65" t="e">
        <f>VLOOKUP($K$9,'HY Compile'!$1:$1048576,23,0)</f>
        <v>#N/A</v>
      </c>
      <c r="L29" s="66"/>
      <c r="M29" s="67"/>
      <c r="N29" s="10"/>
    </row>
    <row r="30" spans="1:14" x14ac:dyDescent="0.3">
      <c r="A30" s="9"/>
      <c r="B30" s="64" t="s">
        <v>15</v>
      </c>
      <c r="C30" s="64"/>
      <c r="D30" s="64"/>
      <c r="E30" s="64"/>
      <c r="F30" s="64"/>
      <c r="G30" s="64"/>
      <c r="H30" s="64"/>
      <c r="I30" s="64"/>
      <c r="J30" s="64"/>
      <c r="K30" s="65" t="e">
        <f>VLOOKUP($K$9,'HY Compile'!$1:$1048576,24,0)</f>
        <v>#N/A</v>
      </c>
      <c r="L30" s="66"/>
      <c r="M30" s="67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1" t="s">
        <v>16</v>
      </c>
      <c r="C32" s="71"/>
      <c r="D32" s="75" t="s">
        <v>17</v>
      </c>
      <c r="E32" s="75"/>
      <c r="F32" s="75" t="s">
        <v>18</v>
      </c>
      <c r="G32" s="75"/>
      <c r="H32" s="75" t="s">
        <v>19</v>
      </c>
      <c r="I32" s="75"/>
      <c r="J32" s="75" t="s">
        <v>20</v>
      </c>
      <c r="K32" s="75"/>
      <c r="L32" s="75" t="s">
        <v>73</v>
      </c>
      <c r="M32" s="75"/>
      <c r="N32" s="17"/>
    </row>
    <row r="33" spans="1:14" s="18" customFormat="1" ht="21" customHeight="1" x14ac:dyDescent="0.3">
      <c r="A33" s="16"/>
      <c r="B33" s="71" t="s">
        <v>21</v>
      </c>
      <c r="C33" s="71"/>
      <c r="D33" s="63" t="s">
        <v>22</v>
      </c>
      <c r="E33" s="63"/>
      <c r="F33" s="63" t="s">
        <v>23</v>
      </c>
      <c r="G33" s="63"/>
      <c r="H33" s="63" t="s">
        <v>24</v>
      </c>
      <c r="I33" s="63"/>
      <c r="J33" s="63" t="s">
        <v>25</v>
      </c>
      <c r="K33" s="63"/>
      <c r="L33" s="63" t="s">
        <v>26</v>
      </c>
      <c r="M33" s="63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69" t="e">
        <f>"Class Teacher's Remark: "&amp;VLOOKUP($K$9,'HY Compile'!$1:$1048576,27,0)</f>
        <v>#N/A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10"/>
    </row>
    <row r="37" spans="1:14" x14ac:dyDescent="0.3">
      <c r="A37" s="9"/>
      <c r="E37" s="11"/>
      <c r="N37" s="10"/>
    </row>
    <row r="38" spans="1:14" x14ac:dyDescent="0.3">
      <c r="A38" s="9"/>
      <c r="B38" s="72" t="s">
        <v>70</v>
      </c>
      <c r="C38" s="72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69" t="s">
        <v>29</v>
      </c>
      <c r="C41" s="69"/>
      <c r="D41" s="69"/>
      <c r="E41" s="18"/>
      <c r="F41" s="18"/>
      <c r="G41" s="18"/>
      <c r="H41" s="18"/>
      <c r="I41" s="18"/>
      <c r="J41" s="70" t="s">
        <v>30</v>
      </c>
      <c r="K41" s="70"/>
      <c r="L41" s="70"/>
      <c r="M41" s="7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886718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3" t="s">
        <v>103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x14ac:dyDescent="0.3">
      <c r="A2" s="47" t="s">
        <v>39</v>
      </c>
      <c r="B2" s="47" t="s">
        <v>40</v>
      </c>
      <c r="C2" s="47" t="s">
        <v>9</v>
      </c>
      <c r="D2" s="47" t="s">
        <v>92</v>
      </c>
      <c r="E2" s="55" t="s">
        <v>98</v>
      </c>
      <c r="F2" s="55" t="s">
        <v>99</v>
      </c>
      <c r="G2" s="45" t="s">
        <v>100</v>
      </c>
      <c r="H2" s="45" t="s">
        <v>93</v>
      </c>
      <c r="I2" s="47" t="s">
        <v>60</v>
      </c>
      <c r="J2" s="47"/>
    </row>
    <row r="3" spans="1:10" x14ac:dyDescent="0.3">
      <c r="A3" s="47"/>
      <c r="B3" s="47"/>
      <c r="C3" s="47"/>
      <c r="D3" s="47"/>
      <c r="E3" s="55"/>
      <c r="F3" s="55"/>
      <c r="G3" s="46"/>
      <c r="H3" s="46"/>
      <c r="I3" s="25" t="s">
        <v>61</v>
      </c>
      <c r="J3" s="25" t="s">
        <v>62</v>
      </c>
    </row>
    <row r="4" spans="1:10" x14ac:dyDescent="0.3">
      <c r="A4" s="27">
        <f>DETAILS!A3</f>
        <v>1925</v>
      </c>
      <c r="B4" s="28" t="str">
        <f>DETAILS!B3</f>
        <v>ARYAN GUPTA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1918</v>
      </c>
      <c r="B5" s="3" t="str">
        <f>DETAILS!B4</f>
        <v>SANJANA PATEL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3" t="s">
        <v>103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4.4" customHeight="1" x14ac:dyDescent="0.3">
      <c r="A2" s="50" t="s">
        <v>39</v>
      </c>
      <c r="B2" s="50" t="s">
        <v>40</v>
      </c>
      <c r="C2" s="47" t="s">
        <v>9</v>
      </c>
      <c r="D2" s="47" t="s">
        <v>92</v>
      </c>
      <c r="E2" s="55" t="s">
        <v>98</v>
      </c>
      <c r="F2" s="55" t="s">
        <v>99</v>
      </c>
      <c r="G2" s="45" t="s">
        <v>100</v>
      </c>
      <c r="H2" s="45" t="s">
        <v>93</v>
      </c>
      <c r="I2" s="48" t="s">
        <v>41</v>
      </c>
      <c r="J2" s="48" t="s">
        <v>63</v>
      </c>
      <c r="K2" s="47" t="s">
        <v>60</v>
      </c>
      <c r="L2" s="47"/>
    </row>
    <row r="3" spans="1:12" x14ac:dyDescent="0.3">
      <c r="A3" s="51"/>
      <c r="B3" s="51"/>
      <c r="C3" s="47"/>
      <c r="D3" s="47"/>
      <c r="E3" s="55"/>
      <c r="F3" s="55"/>
      <c r="G3" s="46"/>
      <c r="H3" s="46"/>
      <c r="I3" s="49"/>
      <c r="J3" s="49"/>
      <c r="K3" s="25" t="s">
        <v>61</v>
      </c>
      <c r="L3" s="25" t="s">
        <v>62</v>
      </c>
    </row>
    <row r="4" spans="1:12" x14ac:dyDescent="0.3">
      <c r="A4" s="22">
        <f>DETAILS!A3</f>
        <v>1925</v>
      </c>
      <c r="B4" s="3" t="str">
        <f>DETAILS!B3</f>
        <v>ARYAN GUPTA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1918</v>
      </c>
      <c r="B5" s="3" t="str">
        <f>DETAILS!B4</f>
        <v>SANJANA PATEL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 t="e">
        <f>DETAILS!#REF!</f>
        <v>#REF!</v>
      </c>
      <c r="B6" s="3" t="e">
        <f>DETAILS!#REF!</f>
        <v>#REF!</v>
      </c>
      <c r="C6" s="26" t="e">
        <f>IFERROR(ROUND((VLOOKUP(A6,'UT-2(Entry)'!$1:$1048576,3,0))/2.5,0),VLOOKUP(A6,'UT-2(Entry)'!$1:$1048576,3,0))</f>
        <v>#REF!</v>
      </c>
      <c r="D6" s="26" t="e">
        <f>IFERROR(ROUND((VLOOKUP(A6,'UT-2(Entry)'!$1:$1048576,4,0))/2.5,0),VLOOKUP(A6,'UT-2(Entry)'!$1:$1048576,4,0))</f>
        <v>#REF!</v>
      </c>
      <c r="E6" s="26" t="e">
        <f>IFERROR(ROUND((VLOOKUP(A6,'UT-2(Entry)'!$1:$1048576,5,0))/2.5,0),VLOOKUP(A6,'UT-2(Entry)'!$1:$1048576,5,0))</f>
        <v>#REF!</v>
      </c>
      <c r="F6" s="26" t="e">
        <f>IFERROR(ROUND((VLOOKUP(A6,'UT-2(Entry)'!$1:$1048576,6,0))/2.5,0),VLOOKUP(A6,'UT-2(Entry)'!$1:$1048576,6,0))</f>
        <v>#REF!</v>
      </c>
      <c r="G6" s="26" t="e">
        <f>IFERROR(ROUND((VLOOKUP($A6,'UT-2(Entry)'!$1:$1048576,7,0))/2.5,0),VLOOKUP($A6,'UT-2(Entry)'!$1:$1048576,7,0))</f>
        <v>#REF!</v>
      </c>
      <c r="H6" s="26" t="e">
        <f>IFERROR(ROUND((VLOOKUP($A6,'UT-2(Entry)'!$1:$1048576,8,0))/2.5,0),VLOOKUP($A6,'UT-2(Entry)'!$1:$1048576,8,0))</f>
        <v>#REF!</v>
      </c>
      <c r="I6" s="26" t="e">
        <f t="shared" si="0"/>
        <v>#REF!</v>
      </c>
      <c r="J6" s="26" t="e">
        <f t="shared" si="1"/>
        <v>#REF!</v>
      </c>
      <c r="K6" s="3" t="e">
        <f>VLOOKUP(A6,'UT-2(Entry)'!$1:$1048576,9,0)</f>
        <v>#REF!</v>
      </c>
      <c r="L6" s="3" t="e">
        <f>VLOOKUP(A6,'UT-2(Entry)'!$1:$1048576,10,0)</f>
        <v>#REF!</v>
      </c>
    </row>
    <row r="7" spans="1:12" x14ac:dyDescent="0.3">
      <c r="A7" s="22" t="e">
        <f>DETAILS!#REF!</f>
        <v>#REF!</v>
      </c>
      <c r="B7" s="3" t="e">
        <f>DETAILS!#REF!</f>
        <v>#REF!</v>
      </c>
      <c r="C7" s="26" t="e">
        <f>IFERROR(ROUND((VLOOKUP(A7,'UT-2(Entry)'!$1:$1048576,3,0))/2.5,0),VLOOKUP(A7,'UT-2(Entry)'!$1:$1048576,3,0))</f>
        <v>#REF!</v>
      </c>
      <c r="D7" s="26" t="e">
        <f>IFERROR(ROUND((VLOOKUP(A7,'UT-2(Entry)'!$1:$1048576,4,0))/2.5,0),VLOOKUP(A7,'UT-2(Entry)'!$1:$1048576,4,0))</f>
        <v>#REF!</v>
      </c>
      <c r="E7" s="26" t="e">
        <f>IFERROR(ROUND((VLOOKUP(A7,'UT-2(Entry)'!$1:$1048576,5,0))/2.5,0),VLOOKUP(A7,'UT-2(Entry)'!$1:$1048576,5,0))</f>
        <v>#REF!</v>
      </c>
      <c r="F7" s="26" t="e">
        <f>IFERROR(ROUND((VLOOKUP(A7,'UT-2(Entry)'!$1:$1048576,6,0))/2.5,0),VLOOKUP(A7,'UT-2(Entry)'!$1:$1048576,6,0))</f>
        <v>#REF!</v>
      </c>
      <c r="G7" s="26" t="e">
        <f>IFERROR(ROUND((VLOOKUP($A7,'UT-2(Entry)'!$1:$1048576,7,0))/2.5,0),VLOOKUP($A7,'UT-2(Entry)'!$1:$1048576,7,0))</f>
        <v>#REF!</v>
      </c>
      <c r="H7" s="26" t="e">
        <f>IFERROR(ROUND((VLOOKUP($A7,'UT-2(Entry)'!$1:$1048576,8,0))/2.5,0),VLOOKUP($A7,'UT-2(Entry)'!$1:$1048576,8,0))</f>
        <v>#REF!</v>
      </c>
      <c r="I7" s="26" t="e">
        <f t="shared" si="0"/>
        <v>#REF!</v>
      </c>
      <c r="J7" s="26" t="e">
        <f t="shared" si="1"/>
        <v>#REF!</v>
      </c>
      <c r="K7" s="3" t="e">
        <f>VLOOKUP(A7,'UT-2(Entry)'!$1:$1048576,9,0)</f>
        <v>#REF!</v>
      </c>
      <c r="L7" s="3" t="e">
        <f>VLOOKUP(A7,'UT-2(Entry)'!$1:$1048576,10,0)</f>
        <v>#REF!</v>
      </c>
    </row>
    <row r="8" spans="1:12" x14ac:dyDescent="0.3">
      <c r="A8" s="22" t="e">
        <f>DETAILS!#REF!</f>
        <v>#REF!</v>
      </c>
      <c r="B8" s="3" t="e">
        <f>DETAILS!#REF!</f>
        <v>#REF!</v>
      </c>
      <c r="C8" s="26" t="e">
        <f>IFERROR(ROUND((VLOOKUP(A8,'UT-2(Entry)'!$1:$1048576,3,0))/2.5,0),VLOOKUP(A8,'UT-2(Entry)'!$1:$1048576,3,0))</f>
        <v>#REF!</v>
      </c>
      <c r="D8" s="26" t="e">
        <f>IFERROR(ROUND((VLOOKUP(A8,'UT-2(Entry)'!$1:$1048576,4,0))/2.5,0),VLOOKUP(A8,'UT-2(Entry)'!$1:$1048576,4,0))</f>
        <v>#REF!</v>
      </c>
      <c r="E8" s="26" t="e">
        <f>IFERROR(ROUND((VLOOKUP(A8,'UT-2(Entry)'!$1:$1048576,5,0))/2.5,0),VLOOKUP(A8,'UT-2(Entry)'!$1:$1048576,5,0))</f>
        <v>#REF!</v>
      </c>
      <c r="F8" s="26" t="e">
        <f>IFERROR(ROUND((VLOOKUP(A8,'UT-2(Entry)'!$1:$1048576,6,0))/2.5,0),VLOOKUP(A8,'UT-2(Entry)'!$1:$1048576,6,0))</f>
        <v>#REF!</v>
      </c>
      <c r="G8" s="26" t="e">
        <f>IFERROR(ROUND((VLOOKUP($A8,'UT-2(Entry)'!$1:$1048576,7,0))/2.5,0),VLOOKUP($A8,'UT-2(Entry)'!$1:$1048576,7,0))</f>
        <v>#REF!</v>
      </c>
      <c r="H8" s="26" t="e">
        <f>IFERROR(ROUND((VLOOKUP($A8,'UT-2(Entry)'!$1:$1048576,8,0))/2.5,0),VLOOKUP($A8,'UT-2(Entry)'!$1:$1048576,8,0))</f>
        <v>#REF!</v>
      </c>
      <c r="I8" s="26" t="e">
        <f t="shared" si="0"/>
        <v>#REF!</v>
      </c>
      <c r="J8" s="26" t="e">
        <f t="shared" si="1"/>
        <v>#REF!</v>
      </c>
      <c r="K8" s="3" t="e">
        <f>VLOOKUP(A8,'UT-2(Entry)'!$1:$1048576,9,0)</f>
        <v>#REF!</v>
      </c>
      <c r="L8" s="3" t="e">
        <f>VLOOKUP(A8,'UT-2(Entry)'!$1:$1048576,10,0)</f>
        <v>#REF!</v>
      </c>
    </row>
    <row r="9" spans="1:12" x14ac:dyDescent="0.3">
      <c r="A9" s="22" t="e">
        <f>DETAILS!#REF!</f>
        <v>#REF!</v>
      </c>
      <c r="B9" s="3" t="e">
        <f>DETAILS!#REF!</f>
        <v>#REF!</v>
      </c>
      <c r="C9" s="26" t="e">
        <f>IFERROR(ROUND((VLOOKUP(A9,'UT-2(Entry)'!$1:$1048576,3,0))/2.5,0),VLOOKUP(A9,'UT-2(Entry)'!$1:$1048576,3,0))</f>
        <v>#REF!</v>
      </c>
      <c r="D9" s="26" t="e">
        <f>IFERROR(ROUND((VLOOKUP(A9,'UT-2(Entry)'!$1:$1048576,4,0))/2.5,0),VLOOKUP(A9,'UT-2(Entry)'!$1:$1048576,4,0))</f>
        <v>#REF!</v>
      </c>
      <c r="E9" s="26" t="e">
        <f>IFERROR(ROUND((VLOOKUP(A9,'UT-2(Entry)'!$1:$1048576,5,0))/2.5,0),VLOOKUP(A9,'UT-2(Entry)'!$1:$1048576,5,0))</f>
        <v>#REF!</v>
      </c>
      <c r="F9" s="26" t="e">
        <f>IFERROR(ROUND((VLOOKUP(A9,'UT-2(Entry)'!$1:$1048576,6,0))/2.5,0),VLOOKUP(A9,'UT-2(Entry)'!$1:$1048576,6,0))</f>
        <v>#REF!</v>
      </c>
      <c r="G9" s="26" t="e">
        <f>IFERROR(ROUND((VLOOKUP($A9,'UT-2(Entry)'!$1:$1048576,7,0))/2.5,0),VLOOKUP($A9,'UT-2(Entry)'!$1:$1048576,7,0))</f>
        <v>#REF!</v>
      </c>
      <c r="H9" s="26" t="e">
        <f>IFERROR(ROUND((VLOOKUP($A9,'UT-2(Entry)'!$1:$1048576,8,0))/2.5,0),VLOOKUP($A9,'UT-2(Entry)'!$1:$1048576,8,0))</f>
        <v>#REF!</v>
      </c>
      <c r="I9" s="26" t="e">
        <f t="shared" si="0"/>
        <v>#REF!</v>
      </c>
      <c r="J9" s="26" t="e">
        <f t="shared" si="1"/>
        <v>#REF!</v>
      </c>
      <c r="K9" s="3" t="e">
        <f>VLOOKUP(A9,'UT-2(Entry)'!$1:$1048576,9,0)</f>
        <v>#REF!</v>
      </c>
      <c r="L9" s="3" t="e">
        <f>VLOOKUP(A9,'UT-2(Entry)'!$1:$1048576,10,0)</f>
        <v>#REF!</v>
      </c>
    </row>
    <row r="10" spans="1:12" x14ac:dyDescent="0.3">
      <c r="A10" s="22" t="e">
        <f>DETAILS!#REF!</f>
        <v>#REF!</v>
      </c>
      <c r="B10" s="3" t="e">
        <f>DETAILS!#REF!</f>
        <v>#REF!</v>
      </c>
      <c r="C10" s="26" t="e">
        <f>IFERROR(ROUND((VLOOKUP(A10,'UT-2(Entry)'!$1:$1048576,3,0))/2.5,0),VLOOKUP(A10,'UT-2(Entry)'!$1:$1048576,3,0))</f>
        <v>#REF!</v>
      </c>
      <c r="D10" s="26" t="e">
        <f>IFERROR(ROUND((VLOOKUP(A10,'UT-2(Entry)'!$1:$1048576,4,0))/2.5,0),VLOOKUP(A10,'UT-2(Entry)'!$1:$1048576,4,0))</f>
        <v>#REF!</v>
      </c>
      <c r="E10" s="26" t="e">
        <f>IFERROR(ROUND((VLOOKUP(A10,'UT-2(Entry)'!$1:$1048576,5,0))/2.5,0),VLOOKUP(A10,'UT-2(Entry)'!$1:$1048576,5,0))</f>
        <v>#REF!</v>
      </c>
      <c r="F10" s="26" t="e">
        <f>IFERROR(ROUND((VLOOKUP(A10,'UT-2(Entry)'!$1:$1048576,6,0))/2.5,0),VLOOKUP(A10,'UT-2(Entry)'!$1:$1048576,6,0))</f>
        <v>#REF!</v>
      </c>
      <c r="G10" s="26" t="e">
        <f>IFERROR(ROUND((VLOOKUP($A10,'UT-2(Entry)'!$1:$1048576,7,0))/2.5,0),VLOOKUP($A10,'UT-2(Entry)'!$1:$1048576,7,0))</f>
        <v>#REF!</v>
      </c>
      <c r="H10" s="26" t="e">
        <f>IFERROR(ROUND((VLOOKUP($A10,'UT-2(Entry)'!$1:$1048576,8,0))/2.5,0),VLOOKUP($A10,'UT-2(Entry)'!$1:$1048576,8,0))</f>
        <v>#REF!</v>
      </c>
      <c r="I10" s="26" t="e">
        <f t="shared" si="0"/>
        <v>#REF!</v>
      </c>
      <c r="J10" s="26" t="e">
        <f t="shared" si="1"/>
        <v>#REF!</v>
      </c>
      <c r="K10" s="3" t="e">
        <f>VLOOKUP(A10,'UT-2(Entry)'!$1:$1048576,9,0)</f>
        <v>#REF!</v>
      </c>
      <c r="L10" s="3" t="e">
        <f>VLOOKUP(A10,'UT-2(Entry)'!$1:$1048576,10,0)</f>
        <v>#REF!</v>
      </c>
    </row>
    <row r="11" spans="1:12" x14ac:dyDescent="0.3">
      <c r="A11" s="22" t="e">
        <f>DETAILS!#REF!</f>
        <v>#REF!</v>
      </c>
      <c r="B11" s="3" t="e">
        <f>DETAILS!#REF!</f>
        <v>#REF!</v>
      </c>
      <c r="C11" s="26" t="e">
        <f>IFERROR(ROUND((VLOOKUP(A11,'UT-2(Entry)'!$1:$1048576,3,0))/2.5,0),VLOOKUP(A11,'UT-2(Entry)'!$1:$1048576,3,0))</f>
        <v>#REF!</v>
      </c>
      <c r="D11" s="26" t="e">
        <f>IFERROR(ROUND((VLOOKUP(A11,'UT-2(Entry)'!$1:$1048576,4,0))/2.5,0),VLOOKUP(A11,'UT-2(Entry)'!$1:$1048576,4,0))</f>
        <v>#REF!</v>
      </c>
      <c r="E11" s="26" t="e">
        <f>IFERROR(ROUND((VLOOKUP(A11,'UT-2(Entry)'!$1:$1048576,5,0))/2.5,0),VLOOKUP(A11,'UT-2(Entry)'!$1:$1048576,5,0))</f>
        <v>#REF!</v>
      </c>
      <c r="F11" s="26" t="e">
        <f>IFERROR(ROUND((VLOOKUP(A11,'UT-2(Entry)'!$1:$1048576,6,0))/2.5,0),VLOOKUP(A11,'UT-2(Entry)'!$1:$1048576,6,0))</f>
        <v>#REF!</v>
      </c>
      <c r="G11" s="26" t="e">
        <f>IFERROR(ROUND((VLOOKUP($A11,'UT-2(Entry)'!$1:$1048576,7,0))/2.5,0),VLOOKUP($A11,'UT-2(Entry)'!$1:$1048576,7,0))</f>
        <v>#REF!</v>
      </c>
      <c r="H11" s="26" t="e">
        <f>IFERROR(ROUND((VLOOKUP($A11,'UT-2(Entry)'!$1:$1048576,8,0))/2.5,0),VLOOKUP($A11,'UT-2(Entry)'!$1:$1048576,8,0))</f>
        <v>#REF!</v>
      </c>
      <c r="I11" s="26" t="e">
        <f t="shared" si="0"/>
        <v>#REF!</v>
      </c>
      <c r="J11" s="26" t="e">
        <f t="shared" si="1"/>
        <v>#REF!</v>
      </c>
      <c r="K11" s="3" t="e">
        <f>VLOOKUP(A11,'UT-2(Entry)'!$1:$1048576,9,0)</f>
        <v>#REF!</v>
      </c>
      <c r="L11" s="3" t="e">
        <f>VLOOKUP(A11,'UT-2(Entry)'!$1:$1048576,10,0)</f>
        <v>#REF!</v>
      </c>
    </row>
    <row r="12" spans="1:12" x14ac:dyDescent="0.3">
      <c r="A12" s="22" t="e">
        <f>DETAILS!#REF!</f>
        <v>#REF!</v>
      </c>
      <c r="B12" s="3" t="e">
        <f>DETAILS!#REF!</f>
        <v>#REF!</v>
      </c>
      <c r="C12" s="26" t="e">
        <f>IFERROR(ROUND((VLOOKUP(A12,'UT-2(Entry)'!$1:$1048576,3,0))/2.5,0),VLOOKUP(A12,'UT-2(Entry)'!$1:$1048576,3,0))</f>
        <v>#REF!</v>
      </c>
      <c r="D12" s="26" t="e">
        <f>IFERROR(ROUND((VLOOKUP(A12,'UT-2(Entry)'!$1:$1048576,4,0))/2.5,0),VLOOKUP(A12,'UT-2(Entry)'!$1:$1048576,4,0))</f>
        <v>#REF!</v>
      </c>
      <c r="E12" s="26" t="e">
        <f>IFERROR(ROUND((VLOOKUP(A12,'UT-2(Entry)'!$1:$1048576,5,0))/2.5,0),VLOOKUP(A12,'UT-2(Entry)'!$1:$1048576,5,0))</f>
        <v>#REF!</v>
      </c>
      <c r="F12" s="26" t="e">
        <f>IFERROR(ROUND((VLOOKUP(A12,'UT-2(Entry)'!$1:$1048576,6,0))/2.5,0),VLOOKUP(A12,'UT-2(Entry)'!$1:$1048576,6,0))</f>
        <v>#REF!</v>
      </c>
      <c r="G12" s="26" t="e">
        <f>IFERROR(ROUND((VLOOKUP($A12,'UT-2(Entry)'!$1:$1048576,7,0))/2.5,0),VLOOKUP($A12,'UT-2(Entry)'!$1:$1048576,7,0))</f>
        <v>#REF!</v>
      </c>
      <c r="H12" s="26" t="e">
        <f>IFERROR(ROUND((VLOOKUP($A12,'UT-2(Entry)'!$1:$1048576,8,0))/2.5,0),VLOOKUP($A12,'UT-2(Entry)'!$1:$1048576,8,0))</f>
        <v>#REF!</v>
      </c>
      <c r="I12" s="26" t="e">
        <f t="shared" si="0"/>
        <v>#REF!</v>
      </c>
      <c r="J12" s="26" t="e">
        <f t="shared" si="1"/>
        <v>#REF!</v>
      </c>
      <c r="K12" s="3" t="e">
        <f>VLOOKUP(A12,'UT-2(Entry)'!$1:$1048576,9,0)</f>
        <v>#REF!</v>
      </c>
      <c r="L12" s="3" t="e">
        <f>VLOOKUP(A12,'UT-2(Entry)'!$1:$1048576,10,0)</f>
        <v>#REF!</v>
      </c>
    </row>
    <row r="13" spans="1:12" x14ac:dyDescent="0.3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52" t="s">
        <v>102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52" t="s">
        <v>102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92</v>
      </c>
      <c r="E2" s="29" t="s">
        <v>98</v>
      </c>
      <c r="F2" s="29" t="s">
        <v>99</v>
      </c>
      <c r="G2" s="29" t="s">
        <v>100</v>
      </c>
      <c r="H2" s="24" t="s">
        <v>93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1925</v>
      </c>
      <c r="B3" s="3" t="str">
        <f>DETAILS!B3</f>
        <v>ARYAN GUPTA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1918</v>
      </c>
      <c r="B4" s="3" t="str">
        <f>DETAILS!B4</f>
        <v>SANJANA PATEL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 t="e">
        <f>DETAILS!#REF!</f>
        <v>#REF!</v>
      </c>
      <c r="B5" s="3" t="e">
        <f>DETAILS!#REF!</f>
        <v>#REF!</v>
      </c>
      <c r="C5" s="26" t="e">
        <f>VLOOKUP($A5,'Annual(Entry)'!$1:$1048576,3,0)</f>
        <v>#REF!</v>
      </c>
      <c r="D5" s="26" t="e">
        <f>VLOOKUP($A5,'Annual(Entry)'!$1:$1048576,4,0)</f>
        <v>#REF!</v>
      </c>
      <c r="E5" s="26" t="e">
        <f>VLOOKUP($A5,'Annual(Entry)'!$1:$1048576,5,0)</f>
        <v>#REF!</v>
      </c>
      <c r="F5" s="26" t="e">
        <f>VLOOKUP($A5,'Annual(Entry)'!$1:$1048576,6,0)</f>
        <v>#REF!</v>
      </c>
      <c r="G5" s="26" t="e">
        <f>VLOOKUP($A5,'Annual(Entry)'!$1:$1048576,7,0)</f>
        <v>#REF!</v>
      </c>
      <c r="H5" s="26" t="e">
        <f>VLOOKUP($A5,'Annual(Entry)'!$1:$1048576,8,0)</f>
        <v>#REF!</v>
      </c>
      <c r="I5" s="26" t="e">
        <f>VLOOKUP($A5,'Annual(Entry)'!$1:$1048576,9,0)</f>
        <v>#REF!</v>
      </c>
      <c r="J5" s="26" t="e">
        <f>VLOOKUP($A5,'Annual(Entry)'!$1:$1048576,10,0)</f>
        <v>#REF!</v>
      </c>
      <c r="K5" s="26" t="e">
        <f>VLOOKUP($A5,'Annual(Entry)'!$1:$1048576,11,0)</f>
        <v>#REF!</v>
      </c>
      <c r="L5" s="26" t="e">
        <f>VLOOKUP($A5,'Annual(Entry)'!$1:$1048576,12,0)</f>
        <v>#REF!</v>
      </c>
      <c r="M5" s="26" t="e">
        <f>VLOOKUP($A5,'Annual(Entry)'!$1:$1048576,13,0)</f>
        <v>#REF!</v>
      </c>
      <c r="N5" s="26" t="e">
        <f>VLOOKUP($A5,'Annual(Entry)'!$1:$1048576,14,0)</f>
        <v>#REF!</v>
      </c>
      <c r="O5" s="31" t="e">
        <f>VLOOKUP($A5,'Annual(Entry)'!$1:$1048576,15,0)</f>
        <v>#REF!</v>
      </c>
      <c r="P5" s="26" t="e">
        <f t="shared" ref="P5:P41" si="1">SUM(C5:H5)</f>
        <v>#REF!</v>
      </c>
      <c r="Q5" s="26" t="e">
        <f t="shared" si="0"/>
        <v>#REF!</v>
      </c>
    </row>
    <row r="6" spans="1:17" x14ac:dyDescent="0.3">
      <c r="A6" s="22" t="e">
        <f>DETAILS!#REF!</f>
        <v>#REF!</v>
      </c>
      <c r="B6" s="3" t="e">
        <f>DETAILS!#REF!</f>
        <v>#REF!</v>
      </c>
      <c r="C6" s="26" t="e">
        <f>VLOOKUP($A6,'Annual(Entry)'!$1:$1048576,3,0)</f>
        <v>#REF!</v>
      </c>
      <c r="D6" s="26" t="e">
        <f>VLOOKUP($A6,'Annual(Entry)'!$1:$1048576,4,0)</f>
        <v>#REF!</v>
      </c>
      <c r="E6" s="26" t="e">
        <f>VLOOKUP($A6,'Annual(Entry)'!$1:$1048576,5,0)</f>
        <v>#REF!</v>
      </c>
      <c r="F6" s="26" t="e">
        <f>VLOOKUP($A6,'Annual(Entry)'!$1:$1048576,6,0)</f>
        <v>#REF!</v>
      </c>
      <c r="G6" s="26" t="e">
        <f>VLOOKUP($A6,'Annual(Entry)'!$1:$1048576,7,0)</f>
        <v>#REF!</v>
      </c>
      <c r="H6" s="26" t="e">
        <f>VLOOKUP($A6,'Annual(Entry)'!$1:$1048576,8,0)</f>
        <v>#REF!</v>
      </c>
      <c r="I6" s="26" t="e">
        <f>VLOOKUP($A6,'Annual(Entry)'!$1:$1048576,9,0)</f>
        <v>#REF!</v>
      </c>
      <c r="J6" s="26" t="e">
        <f>VLOOKUP($A6,'Annual(Entry)'!$1:$1048576,10,0)</f>
        <v>#REF!</v>
      </c>
      <c r="K6" s="26" t="e">
        <f>VLOOKUP($A6,'Annual(Entry)'!$1:$1048576,11,0)</f>
        <v>#REF!</v>
      </c>
      <c r="L6" s="26" t="e">
        <f>VLOOKUP($A6,'Annual(Entry)'!$1:$1048576,12,0)</f>
        <v>#REF!</v>
      </c>
      <c r="M6" s="26" t="e">
        <f>VLOOKUP($A6,'Annual(Entry)'!$1:$1048576,13,0)</f>
        <v>#REF!</v>
      </c>
      <c r="N6" s="26" t="e">
        <f>VLOOKUP($A6,'Annual(Entry)'!$1:$1048576,14,0)</f>
        <v>#REF!</v>
      </c>
      <c r="O6" s="31" t="e">
        <f>VLOOKUP($A6,'Annual(Entry)'!$1:$1048576,15,0)</f>
        <v>#REF!</v>
      </c>
      <c r="P6" s="26" t="e">
        <f t="shared" si="1"/>
        <v>#REF!</v>
      </c>
      <c r="Q6" s="26" t="e">
        <f t="shared" si="0"/>
        <v>#REF!</v>
      </c>
    </row>
    <row r="7" spans="1:17" x14ac:dyDescent="0.3">
      <c r="A7" s="22" t="e">
        <f>DETAILS!#REF!</f>
        <v>#REF!</v>
      </c>
      <c r="B7" s="3" t="e">
        <f>DETAILS!#REF!</f>
        <v>#REF!</v>
      </c>
      <c r="C7" s="26" t="e">
        <f>VLOOKUP($A7,'Annual(Entry)'!$1:$1048576,3,0)</f>
        <v>#REF!</v>
      </c>
      <c r="D7" s="26" t="e">
        <f>VLOOKUP($A7,'Annual(Entry)'!$1:$1048576,4,0)</f>
        <v>#REF!</v>
      </c>
      <c r="E7" s="26" t="e">
        <f>VLOOKUP($A7,'Annual(Entry)'!$1:$1048576,5,0)</f>
        <v>#REF!</v>
      </c>
      <c r="F7" s="26" t="e">
        <f>VLOOKUP($A7,'Annual(Entry)'!$1:$1048576,6,0)</f>
        <v>#REF!</v>
      </c>
      <c r="G7" s="26" t="e">
        <f>VLOOKUP($A7,'Annual(Entry)'!$1:$1048576,7,0)</f>
        <v>#REF!</v>
      </c>
      <c r="H7" s="26" t="e">
        <f>VLOOKUP($A7,'Annual(Entry)'!$1:$1048576,8,0)</f>
        <v>#REF!</v>
      </c>
      <c r="I7" s="26" t="e">
        <f>VLOOKUP($A7,'Annual(Entry)'!$1:$1048576,9,0)</f>
        <v>#REF!</v>
      </c>
      <c r="J7" s="26" t="e">
        <f>VLOOKUP($A7,'Annual(Entry)'!$1:$1048576,10,0)</f>
        <v>#REF!</v>
      </c>
      <c r="K7" s="26" t="e">
        <f>VLOOKUP($A7,'Annual(Entry)'!$1:$1048576,11,0)</f>
        <v>#REF!</v>
      </c>
      <c r="L7" s="26" t="e">
        <f>VLOOKUP($A7,'Annual(Entry)'!$1:$1048576,12,0)</f>
        <v>#REF!</v>
      </c>
      <c r="M7" s="26" t="e">
        <f>VLOOKUP($A7,'Annual(Entry)'!$1:$1048576,13,0)</f>
        <v>#REF!</v>
      </c>
      <c r="N7" s="26" t="e">
        <f>VLOOKUP($A7,'Annual(Entry)'!$1:$1048576,14,0)</f>
        <v>#REF!</v>
      </c>
      <c r="O7" s="31" t="e">
        <f>VLOOKUP($A7,'Annual(Entry)'!$1:$1048576,15,0)</f>
        <v>#REF!</v>
      </c>
      <c r="P7" s="26" t="e">
        <f t="shared" si="1"/>
        <v>#REF!</v>
      </c>
      <c r="Q7" s="26" t="e">
        <f t="shared" si="0"/>
        <v>#REF!</v>
      </c>
    </row>
    <row r="8" spans="1:17" x14ac:dyDescent="0.3">
      <c r="A8" s="22" t="e">
        <f>DETAILS!#REF!</f>
        <v>#REF!</v>
      </c>
      <c r="B8" s="3" t="e">
        <f>DETAILS!#REF!</f>
        <v>#REF!</v>
      </c>
      <c r="C8" s="26" t="e">
        <f>VLOOKUP($A8,'Annual(Entry)'!$1:$1048576,3,0)</f>
        <v>#REF!</v>
      </c>
      <c r="D8" s="26" t="e">
        <f>VLOOKUP($A8,'Annual(Entry)'!$1:$1048576,4,0)</f>
        <v>#REF!</v>
      </c>
      <c r="E8" s="26" t="e">
        <f>VLOOKUP($A8,'Annual(Entry)'!$1:$1048576,5,0)</f>
        <v>#REF!</v>
      </c>
      <c r="F8" s="26" t="e">
        <f>VLOOKUP($A8,'Annual(Entry)'!$1:$1048576,6,0)</f>
        <v>#REF!</v>
      </c>
      <c r="G8" s="26" t="e">
        <f>VLOOKUP($A8,'Annual(Entry)'!$1:$1048576,7,0)</f>
        <v>#REF!</v>
      </c>
      <c r="H8" s="26" t="e">
        <f>VLOOKUP($A8,'Annual(Entry)'!$1:$1048576,8,0)</f>
        <v>#REF!</v>
      </c>
      <c r="I8" s="26" t="e">
        <f>VLOOKUP($A8,'Annual(Entry)'!$1:$1048576,9,0)</f>
        <v>#REF!</v>
      </c>
      <c r="J8" s="26" t="e">
        <f>VLOOKUP($A8,'Annual(Entry)'!$1:$1048576,10,0)</f>
        <v>#REF!</v>
      </c>
      <c r="K8" s="26" t="e">
        <f>VLOOKUP($A8,'Annual(Entry)'!$1:$1048576,11,0)</f>
        <v>#REF!</v>
      </c>
      <c r="L8" s="26" t="e">
        <f>VLOOKUP($A8,'Annual(Entry)'!$1:$1048576,12,0)</f>
        <v>#REF!</v>
      </c>
      <c r="M8" s="26" t="e">
        <f>VLOOKUP($A8,'Annual(Entry)'!$1:$1048576,13,0)</f>
        <v>#REF!</v>
      </c>
      <c r="N8" s="26" t="e">
        <f>VLOOKUP($A8,'Annual(Entry)'!$1:$1048576,14,0)</f>
        <v>#REF!</v>
      </c>
      <c r="O8" s="31" t="e">
        <f>VLOOKUP($A8,'Annual(Entry)'!$1:$1048576,15,0)</f>
        <v>#REF!</v>
      </c>
      <c r="P8" s="26" t="e">
        <f t="shared" si="1"/>
        <v>#REF!</v>
      </c>
      <c r="Q8" s="26" t="e">
        <f t="shared" si="0"/>
        <v>#REF!</v>
      </c>
    </row>
    <row r="9" spans="1:17" x14ac:dyDescent="0.3">
      <c r="A9" s="22" t="e">
        <f>DETAILS!#REF!</f>
        <v>#REF!</v>
      </c>
      <c r="B9" s="3" t="e">
        <f>DETAILS!#REF!</f>
        <v>#REF!</v>
      </c>
      <c r="C9" s="26" t="e">
        <f>VLOOKUP($A9,'Annual(Entry)'!$1:$1048576,3,0)</f>
        <v>#REF!</v>
      </c>
      <c r="D9" s="26" t="e">
        <f>VLOOKUP($A9,'Annual(Entry)'!$1:$1048576,4,0)</f>
        <v>#REF!</v>
      </c>
      <c r="E9" s="26" t="e">
        <f>VLOOKUP($A9,'Annual(Entry)'!$1:$1048576,5,0)</f>
        <v>#REF!</v>
      </c>
      <c r="F9" s="26" t="e">
        <f>VLOOKUP($A9,'Annual(Entry)'!$1:$1048576,6,0)</f>
        <v>#REF!</v>
      </c>
      <c r="G9" s="26" t="e">
        <f>VLOOKUP($A9,'Annual(Entry)'!$1:$1048576,7,0)</f>
        <v>#REF!</v>
      </c>
      <c r="H9" s="26" t="e">
        <f>VLOOKUP($A9,'Annual(Entry)'!$1:$1048576,8,0)</f>
        <v>#REF!</v>
      </c>
      <c r="I9" s="26" t="e">
        <f>VLOOKUP($A9,'Annual(Entry)'!$1:$1048576,9,0)</f>
        <v>#REF!</v>
      </c>
      <c r="J9" s="26" t="e">
        <f>VLOOKUP($A9,'Annual(Entry)'!$1:$1048576,10,0)</f>
        <v>#REF!</v>
      </c>
      <c r="K9" s="26" t="e">
        <f>VLOOKUP($A9,'Annual(Entry)'!$1:$1048576,11,0)</f>
        <v>#REF!</v>
      </c>
      <c r="L9" s="26" t="e">
        <f>VLOOKUP($A9,'Annual(Entry)'!$1:$1048576,12,0)</f>
        <v>#REF!</v>
      </c>
      <c r="M9" s="26" t="e">
        <f>VLOOKUP($A9,'Annual(Entry)'!$1:$1048576,13,0)</f>
        <v>#REF!</v>
      </c>
      <c r="N9" s="26" t="e">
        <f>VLOOKUP($A9,'Annual(Entry)'!$1:$1048576,14,0)</f>
        <v>#REF!</v>
      </c>
      <c r="O9" s="31" t="e">
        <f>VLOOKUP($A9,'Annual(Entry)'!$1:$1048576,15,0)</f>
        <v>#REF!</v>
      </c>
      <c r="P9" s="26" t="e">
        <f t="shared" si="1"/>
        <v>#REF!</v>
      </c>
      <c r="Q9" s="26" t="e">
        <f t="shared" si="0"/>
        <v>#REF!</v>
      </c>
    </row>
    <row r="10" spans="1:17" x14ac:dyDescent="0.3">
      <c r="A10" s="22" t="e">
        <f>DETAILS!#REF!</f>
        <v>#REF!</v>
      </c>
      <c r="B10" s="3" t="e">
        <f>DETAILS!#REF!</f>
        <v>#REF!</v>
      </c>
      <c r="C10" s="26" t="e">
        <f>VLOOKUP($A10,'Annual(Entry)'!$1:$1048576,3,0)</f>
        <v>#REF!</v>
      </c>
      <c r="D10" s="26" t="e">
        <f>VLOOKUP($A10,'Annual(Entry)'!$1:$1048576,4,0)</f>
        <v>#REF!</v>
      </c>
      <c r="E10" s="26" t="e">
        <f>VLOOKUP($A10,'Annual(Entry)'!$1:$1048576,5,0)</f>
        <v>#REF!</v>
      </c>
      <c r="F10" s="26" t="e">
        <f>VLOOKUP($A10,'Annual(Entry)'!$1:$1048576,6,0)</f>
        <v>#REF!</v>
      </c>
      <c r="G10" s="26" t="e">
        <f>VLOOKUP($A10,'Annual(Entry)'!$1:$1048576,7,0)</f>
        <v>#REF!</v>
      </c>
      <c r="H10" s="26" t="e">
        <f>VLOOKUP($A10,'Annual(Entry)'!$1:$1048576,8,0)</f>
        <v>#REF!</v>
      </c>
      <c r="I10" s="26" t="e">
        <f>VLOOKUP($A10,'Annual(Entry)'!$1:$1048576,9,0)</f>
        <v>#REF!</v>
      </c>
      <c r="J10" s="26" t="e">
        <f>VLOOKUP($A10,'Annual(Entry)'!$1:$1048576,10,0)</f>
        <v>#REF!</v>
      </c>
      <c r="K10" s="26" t="e">
        <f>VLOOKUP($A10,'Annual(Entry)'!$1:$1048576,11,0)</f>
        <v>#REF!</v>
      </c>
      <c r="L10" s="26" t="e">
        <f>VLOOKUP($A10,'Annual(Entry)'!$1:$1048576,12,0)</f>
        <v>#REF!</v>
      </c>
      <c r="M10" s="26" t="e">
        <f>VLOOKUP($A10,'Annual(Entry)'!$1:$1048576,13,0)</f>
        <v>#REF!</v>
      </c>
      <c r="N10" s="26" t="e">
        <f>VLOOKUP($A10,'Annual(Entry)'!$1:$1048576,14,0)</f>
        <v>#REF!</v>
      </c>
      <c r="O10" s="31" t="e">
        <f>VLOOKUP($A10,'Annual(Entry)'!$1:$1048576,15,0)</f>
        <v>#REF!</v>
      </c>
      <c r="P10" s="26" t="e">
        <f t="shared" si="1"/>
        <v>#REF!</v>
      </c>
      <c r="Q10" s="26" t="e">
        <f t="shared" si="0"/>
        <v>#REF!</v>
      </c>
    </row>
    <row r="11" spans="1:17" x14ac:dyDescent="0.3">
      <c r="A11" s="22" t="e">
        <f>DETAILS!#REF!</f>
        <v>#REF!</v>
      </c>
      <c r="B11" s="3" t="e">
        <f>DETAILS!#REF!</f>
        <v>#REF!</v>
      </c>
      <c r="C11" s="26" t="e">
        <f>VLOOKUP($A11,'Annual(Entry)'!$1:$1048576,3,0)</f>
        <v>#REF!</v>
      </c>
      <c r="D11" s="26" t="e">
        <f>VLOOKUP($A11,'Annual(Entry)'!$1:$1048576,4,0)</f>
        <v>#REF!</v>
      </c>
      <c r="E11" s="26" t="e">
        <f>VLOOKUP($A11,'Annual(Entry)'!$1:$1048576,5,0)</f>
        <v>#REF!</v>
      </c>
      <c r="F11" s="26" t="e">
        <f>VLOOKUP($A11,'Annual(Entry)'!$1:$1048576,6,0)</f>
        <v>#REF!</v>
      </c>
      <c r="G11" s="26" t="e">
        <f>VLOOKUP($A11,'Annual(Entry)'!$1:$1048576,7,0)</f>
        <v>#REF!</v>
      </c>
      <c r="H11" s="26" t="e">
        <f>VLOOKUP($A11,'Annual(Entry)'!$1:$1048576,8,0)</f>
        <v>#REF!</v>
      </c>
      <c r="I11" s="26" t="e">
        <f>VLOOKUP($A11,'Annual(Entry)'!$1:$1048576,9,0)</f>
        <v>#REF!</v>
      </c>
      <c r="J11" s="26" t="e">
        <f>VLOOKUP($A11,'Annual(Entry)'!$1:$1048576,10,0)</f>
        <v>#REF!</v>
      </c>
      <c r="K11" s="26" t="e">
        <f>VLOOKUP($A11,'Annual(Entry)'!$1:$1048576,11,0)</f>
        <v>#REF!</v>
      </c>
      <c r="L11" s="26" t="e">
        <f>VLOOKUP($A11,'Annual(Entry)'!$1:$1048576,12,0)</f>
        <v>#REF!</v>
      </c>
      <c r="M11" s="26" t="e">
        <f>VLOOKUP($A11,'Annual(Entry)'!$1:$1048576,13,0)</f>
        <v>#REF!</v>
      </c>
      <c r="N11" s="26" t="e">
        <f>VLOOKUP($A11,'Annual(Entry)'!$1:$1048576,14,0)</f>
        <v>#REF!</v>
      </c>
      <c r="O11" s="31" t="e">
        <f>VLOOKUP($A11,'Annual(Entry)'!$1:$1048576,15,0)</f>
        <v>#REF!</v>
      </c>
      <c r="P11" s="26" t="e">
        <f t="shared" si="1"/>
        <v>#REF!</v>
      </c>
      <c r="Q11" s="26" t="e">
        <f t="shared" si="0"/>
        <v>#REF!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52" t="s">
        <v>101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</row>
    <row r="2" spans="1:47" ht="20.399999999999999" customHeight="1" x14ac:dyDescent="0.3">
      <c r="A2" s="47" t="s">
        <v>32</v>
      </c>
      <c r="B2" s="47" t="s">
        <v>40</v>
      </c>
      <c r="C2" s="47" t="s">
        <v>9</v>
      </c>
      <c r="D2" s="47"/>
      <c r="E2" s="47"/>
      <c r="F2" s="47"/>
      <c r="G2" s="47"/>
      <c r="H2" s="47"/>
      <c r="I2" s="47" t="s">
        <v>92</v>
      </c>
      <c r="J2" s="47"/>
      <c r="K2" s="47"/>
      <c r="L2" s="47"/>
      <c r="M2" s="47"/>
      <c r="N2" s="47"/>
      <c r="O2" s="47" t="s">
        <v>98</v>
      </c>
      <c r="P2" s="47"/>
      <c r="Q2" s="47"/>
      <c r="R2" s="47"/>
      <c r="S2" s="47"/>
      <c r="T2" s="47"/>
      <c r="U2" s="47" t="s">
        <v>99</v>
      </c>
      <c r="V2" s="47"/>
      <c r="W2" s="47"/>
      <c r="X2" s="47"/>
      <c r="Y2" s="47"/>
      <c r="Z2" s="47"/>
      <c r="AA2" s="47" t="s">
        <v>100</v>
      </c>
      <c r="AB2" s="47"/>
      <c r="AC2" s="47"/>
      <c r="AD2" s="47"/>
      <c r="AE2" s="47"/>
      <c r="AF2" s="47"/>
      <c r="AG2" s="57" t="s">
        <v>93</v>
      </c>
      <c r="AH2" s="58"/>
      <c r="AI2" s="58"/>
      <c r="AJ2" s="58"/>
      <c r="AK2" s="58"/>
      <c r="AL2" s="59"/>
      <c r="AM2" s="55" t="s">
        <v>42</v>
      </c>
      <c r="AN2" s="55" t="s">
        <v>43</v>
      </c>
      <c r="AO2" s="55" t="s">
        <v>44</v>
      </c>
      <c r="AP2" s="55" t="s">
        <v>45</v>
      </c>
      <c r="AQ2" s="55" t="s">
        <v>46</v>
      </c>
      <c r="AR2" s="55" t="s">
        <v>47</v>
      </c>
      <c r="AS2" s="55" t="s">
        <v>48</v>
      </c>
      <c r="AT2" s="87" t="s">
        <v>69</v>
      </c>
      <c r="AU2" s="88" t="s">
        <v>59</v>
      </c>
    </row>
    <row r="3" spans="1:47" ht="20.399999999999999" customHeight="1" x14ac:dyDescent="0.3">
      <c r="A3" s="47"/>
      <c r="B3" s="47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55"/>
      <c r="AN3" s="55"/>
      <c r="AO3" s="55"/>
      <c r="AP3" s="55"/>
      <c r="AQ3" s="55"/>
      <c r="AR3" s="55"/>
      <c r="AS3" s="55"/>
      <c r="AT3" s="87"/>
      <c r="AU3" s="88"/>
    </row>
    <row r="4" spans="1:47" x14ac:dyDescent="0.3">
      <c r="A4" s="22">
        <f>DETAILS!A3</f>
        <v>1925</v>
      </c>
      <c r="B4" s="22" t="str">
        <f>DETAILS!B3</f>
        <v>ARYAN GUPTA</v>
      </c>
      <c r="C4" s="26">
        <f>VLOOKUP($A4,'HY Compile'!$1:$1048576,3,0)</f>
        <v>0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0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0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0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0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0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1918</v>
      </c>
      <c r="B5" s="22" t="str">
        <f>DETAILS!B4</f>
        <v>SANJANA PATEL</v>
      </c>
      <c r="C5" s="26">
        <f>VLOOKUP($A5,'HY Compile'!$1:$1048576,3,0)</f>
        <v>0</v>
      </c>
      <c r="D5" s="26">
        <f>VLOOKUP($A5,'HY Compile'!$1:$1048576,4,0)</f>
        <v>0</v>
      </c>
      <c r="E5" s="32">
        <f t="shared" si="0"/>
        <v>0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0</v>
      </c>
      <c r="J5" s="26">
        <f>VLOOKUP($A5,'HY Compile'!$1:$1048576,7,0)</f>
        <v>0</v>
      </c>
      <c r="K5" s="32">
        <f t="shared" si="2"/>
        <v>0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0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0</v>
      </c>
      <c r="V5" s="26">
        <f>VLOOKUP($A5,'HY Compile'!$1:$1048576,13,0)</f>
        <v>0</v>
      </c>
      <c r="W5" s="32">
        <f t="shared" si="6"/>
        <v>0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0</v>
      </c>
      <c r="AB5" s="26">
        <f>VLOOKUP($A5,'HY Compile'!$1:$1048576,16,0)</f>
        <v>0</v>
      </c>
      <c r="AC5" s="32">
        <f t="shared" si="8"/>
        <v>0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0</v>
      </c>
      <c r="AH5" s="26">
        <f>VLOOKUP($A5,'HY Compile'!$1:$1048576,19,0)</f>
        <v>0</v>
      </c>
      <c r="AI5" s="32">
        <f t="shared" ref="AI5:AI42" si="10">SUM(AG5:AH5)</f>
        <v>0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0</v>
      </c>
      <c r="AU5" s="26" t="str">
        <f t="shared" ref="AU5:AU42" si="12">ROUND(AT5/12,2)&amp;" %"</f>
        <v>0 %</v>
      </c>
    </row>
    <row r="6" spans="1:47" x14ac:dyDescent="0.3">
      <c r="A6" s="22" t="e">
        <f>DETAILS!#REF!</f>
        <v>#REF!</v>
      </c>
      <c r="B6" s="22" t="e">
        <f>DETAILS!#REF!</f>
        <v>#REF!</v>
      </c>
      <c r="C6" s="26" t="e">
        <f>VLOOKUP($A6,'HY Compile'!$1:$1048576,3,0)</f>
        <v>#REF!</v>
      </c>
      <c r="D6" s="26" t="e">
        <f>VLOOKUP($A6,'HY Compile'!$1:$1048576,4,0)</f>
        <v>#REF!</v>
      </c>
      <c r="E6" s="32" t="e">
        <f t="shared" si="0"/>
        <v>#REF!</v>
      </c>
      <c r="F6" s="26" t="e">
        <f>VLOOKUP($A6,'UT-2'!$1:$1048576,3,0)</f>
        <v>#REF!</v>
      </c>
      <c r="G6" s="26" t="e">
        <f>IFERROR(ROUND(VLOOKUP($A6,ANNUAL!$1:$1048576,3,0)*0.8,0),VLOOKUP($A6,ANNUAL!$1:$1048576,3,0))</f>
        <v>#REF!</v>
      </c>
      <c r="H6" s="32" t="e">
        <f t="shared" si="1"/>
        <v>#REF!</v>
      </c>
      <c r="I6" s="26" t="e">
        <f>VLOOKUP($A6,'HY Compile'!$1:$1048576,6,0)</f>
        <v>#REF!</v>
      </c>
      <c r="J6" s="26" t="e">
        <f>VLOOKUP($A6,'HY Compile'!$1:$1048576,7,0)</f>
        <v>#REF!</v>
      </c>
      <c r="K6" s="32" t="e">
        <f t="shared" si="2"/>
        <v>#REF!</v>
      </c>
      <c r="L6" s="26" t="e">
        <f>VLOOKUP($A6,'UT-2'!$1:$1048576,4,0)</f>
        <v>#REF!</v>
      </c>
      <c r="M6" s="26" t="e">
        <f>IFERROR(ROUND(VLOOKUP($A6,ANNUAL!$1:$1048576,4,0)*0.8,0),VLOOKUP($A6,ANNUAL!$1:$1048576,4,0))</f>
        <v>#REF!</v>
      </c>
      <c r="N6" s="32" t="e">
        <f t="shared" si="3"/>
        <v>#REF!</v>
      </c>
      <c r="O6" s="26" t="e">
        <f>VLOOKUP($A6,'HY Compile'!$1:$1048576,9,0)</f>
        <v>#REF!</v>
      </c>
      <c r="P6" s="26" t="e">
        <f>VLOOKUP($A6,'HY Compile'!$1:$1048576,10,0)</f>
        <v>#REF!</v>
      </c>
      <c r="Q6" s="32" t="e">
        <f t="shared" si="4"/>
        <v>#REF!</v>
      </c>
      <c r="R6" s="26" t="e">
        <f>VLOOKUP($A6,'UT-2'!$1:$1048576,5,0)</f>
        <v>#REF!</v>
      </c>
      <c r="S6" s="26" t="e">
        <f>IFERROR(ROUND(VLOOKUP($A6,ANNUAL!$1:$1048576,5,0)*0.8,0),VLOOKUP($A6,ANNUAL!$1:$1048576,5,0))</f>
        <v>#REF!</v>
      </c>
      <c r="T6" s="32" t="e">
        <f t="shared" si="5"/>
        <v>#REF!</v>
      </c>
      <c r="U6" s="26" t="e">
        <f>VLOOKUP($A6,'HY Compile'!$1:$1048576,12,0)</f>
        <v>#REF!</v>
      </c>
      <c r="V6" s="26" t="e">
        <f>VLOOKUP($A6,'HY Compile'!$1:$1048576,13,0)</f>
        <v>#REF!</v>
      </c>
      <c r="W6" s="32" t="e">
        <f t="shared" si="6"/>
        <v>#REF!</v>
      </c>
      <c r="X6" s="26" t="e">
        <f>VLOOKUP($A6,'UT-2'!$1:$1048576,6,0)</f>
        <v>#REF!</v>
      </c>
      <c r="Y6" s="26" t="e">
        <f>IFERROR(ROUND(VLOOKUP($A6,ANNUAL!$1:$1048576,6,0)*0.8,0),VLOOKUP($A6,ANNUAL!$1:$1048576,6,0))</f>
        <v>#REF!</v>
      </c>
      <c r="Z6" s="32" t="e">
        <f t="shared" si="7"/>
        <v>#REF!</v>
      </c>
      <c r="AA6" s="26" t="e">
        <f>VLOOKUP($A6,'HY Compile'!$1:$1048576,15,0)</f>
        <v>#REF!</v>
      </c>
      <c r="AB6" s="26" t="e">
        <f>VLOOKUP($A6,'HY Compile'!$1:$1048576,16,0)</f>
        <v>#REF!</v>
      </c>
      <c r="AC6" s="32" t="e">
        <f t="shared" si="8"/>
        <v>#REF!</v>
      </c>
      <c r="AD6" s="26" t="e">
        <f>VLOOKUP($A6,'UT-2'!$1:$1048576,7,0)</f>
        <v>#REF!</v>
      </c>
      <c r="AE6" s="26" t="e">
        <f>IFERROR(ROUND(VLOOKUP($A6,ANNUAL!$1:$1048576,7,0)*0.8,0),VLOOKUP($A6,ANNUAL!$1:$1048576,7,0))</f>
        <v>#REF!</v>
      </c>
      <c r="AF6" s="32" t="e">
        <f t="shared" si="9"/>
        <v>#REF!</v>
      </c>
      <c r="AG6" s="26" t="e">
        <f>VLOOKUP($A6,'HY Compile'!$1:$1048576,18,0)</f>
        <v>#REF!</v>
      </c>
      <c r="AH6" s="26" t="e">
        <f>VLOOKUP($A6,'HY Compile'!$1:$1048576,19,0)</f>
        <v>#REF!</v>
      </c>
      <c r="AI6" s="32" t="e">
        <f t="shared" si="10"/>
        <v>#REF!</v>
      </c>
      <c r="AJ6" s="26" t="e">
        <f>VLOOKUP($A6,'UT-2'!$1:$1048576,8,0)</f>
        <v>#REF!</v>
      </c>
      <c r="AK6" s="26" t="e">
        <f>IFERROR(ROUND(VLOOKUP($A6,ANNUAL!$1:$1048576,8,0)*0.8,0),VLOOKUP($A6,ANNUAL!$1:$1048576,8,0))</f>
        <v>#REF!</v>
      </c>
      <c r="AL6" s="32" t="e">
        <f t="shared" si="11"/>
        <v>#REF!</v>
      </c>
      <c r="AM6" s="26" t="e">
        <f>VLOOKUP($A6,ANNUAL!$1:$1048576,9,0)</f>
        <v>#REF!</v>
      </c>
      <c r="AN6" s="26" t="e">
        <f>VLOOKUP($A6,ANNUAL!$1:$1048576,10,0)</f>
        <v>#REF!</v>
      </c>
      <c r="AO6" s="26" t="e">
        <f>VLOOKUP($A6,ANNUAL!$1:$1048576,11,0)</f>
        <v>#REF!</v>
      </c>
      <c r="AP6" s="26" t="e">
        <f>VLOOKUP($A6,ANNUAL!$1:$1048576,12,0)</f>
        <v>#REF!</v>
      </c>
      <c r="AQ6" s="26" t="e">
        <f>VLOOKUP($A6,ANNUAL!$1:$1048576,13,0)</f>
        <v>#REF!</v>
      </c>
      <c r="AR6" s="26" t="e">
        <f>VLOOKUP($A6,ANNUAL!$1:$1048576,14,0)</f>
        <v>#REF!</v>
      </c>
      <c r="AS6" s="31" t="e">
        <f>VLOOKUP($A6,ANNUAL!$1:$1048576,15,0)</f>
        <v>#REF!</v>
      </c>
      <c r="AT6" s="26" t="e">
        <f t="shared" ref="AT6:AT42" si="13">SUM(E6,H6,K6,N6,Q6,T6,W6,Z6,AC6,AF6,AI6,AL6)</f>
        <v>#REF!</v>
      </c>
      <c r="AU6" s="26" t="e">
        <f t="shared" si="12"/>
        <v>#REF!</v>
      </c>
    </row>
    <row r="7" spans="1:47" x14ac:dyDescent="0.3">
      <c r="A7" s="22" t="e">
        <f>DETAILS!#REF!</f>
        <v>#REF!</v>
      </c>
      <c r="B7" s="22" t="e">
        <f>DETAILS!#REF!</f>
        <v>#REF!</v>
      </c>
      <c r="C7" s="26" t="e">
        <f>VLOOKUP($A7,'HY Compile'!$1:$1048576,3,0)</f>
        <v>#REF!</v>
      </c>
      <c r="D7" s="26" t="e">
        <f>VLOOKUP($A7,'HY Compile'!$1:$1048576,4,0)</f>
        <v>#REF!</v>
      </c>
      <c r="E7" s="32" t="e">
        <f t="shared" si="0"/>
        <v>#REF!</v>
      </c>
      <c r="F7" s="26" t="e">
        <f>VLOOKUP($A7,'UT-2'!$1:$1048576,3,0)</f>
        <v>#REF!</v>
      </c>
      <c r="G7" s="26" t="e">
        <f>IFERROR(ROUND(VLOOKUP($A7,ANNUAL!$1:$1048576,3,0)*0.8,0),VLOOKUP($A7,ANNUAL!$1:$1048576,3,0))</f>
        <v>#REF!</v>
      </c>
      <c r="H7" s="32" t="e">
        <f t="shared" si="1"/>
        <v>#REF!</v>
      </c>
      <c r="I7" s="26" t="e">
        <f>VLOOKUP($A7,'HY Compile'!$1:$1048576,6,0)</f>
        <v>#REF!</v>
      </c>
      <c r="J7" s="26" t="e">
        <f>VLOOKUP($A7,'HY Compile'!$1:$1048576,7,0)</f>
        <v>#REF!</v>
      </c>
      <c r="K7" s="32" t="e">
        <f t="shared" si="2"/>
        <v>#REF!</v>
      </c>
      <c r="L7" s="26" t="e">
        <f>VLOOKUP($A7,'UT-2'!$1:$1048576,4,0)</f>
        <v>#REF!</v>
      </c>
      <c r="M7" s="26" t="e">
        <f>IFERROR(ROUND(VLOOKUP($A7,ANNUAL!$1:$1048576,4,0)*0.8,0),VLOOKUP($A7,ANNUAL!$1:$1048576,4,0))</f>
        <v>#REF!</v>
      </c>
      <c r="N7" s="32" t="e">
        <f t="shared" si="3"/>
        <v>#REF!</v>
      </c>
      <c r="O7" s="26" t="e">
        <f>VLOOKUP($A7,'HY Compile'!$1:$1048576,9,0)</f>
        <v>#REF!</v>
      </c>
      <c r="P7" s="26" t="e">
        <f>VLOOKUP($A7,'HY Compile'!$1:$1048576,10,0)</f>
        <v>#REF!</v>
      </c>
      <c r="Q7" s="32" t="e">
        <f t="shared" si="4"/>
        <v>#REF!</v>
      </c>
      <c r="R7" s="26" t="e">
        <f>VLOOKUP($A7,'UT-2'!$1:$1048576,5,0)</f>
        <v>#REF!</v>
      </c>
      <c r="S7" s="26" t="e">
        <f>IFERROR(ROUND(VLOOKUP($A7,ANNUAL!$1:$1048576,5,0)*0.8,0),VLOOKUP($A7,ANNUAL!$1:$1048576,5,0))</f>
        <v>#REF!</v>
      </c>
      <c r="T7" s="32" t="e">
        <f t="shared" si="5"/>
        <v>#REF!</v>
      </c>
      <c r="U7" s="26" t="e">
        <f>VLOOKUP($A7,'HY Compile'!$1:$1048576,12,0)</f>
        <v>#REF!</v>
      </c>
      <c r="V7" s="26" t="e">
        <f>VLOOKUP($A7,'HY Compile'!$1:$1048576,13,0)</f>
        <v>#REF!</v>
      </c>
      <c r="W7" s="32" t="e">
        <f t="shared" si="6"/>
        <v>#REF!</v>
      </c>
      <c r="X7" s="26" t="e">
        <f>VLOOKUP($A7,'UT-2'!$1:$1048576,6,0)</f>
        <v>#REF!</v>
      </c>
      <c r="Y7" s="26" t="e">
        <f>IFERROR(ROUND(VLOOKUP($A7,ANNUAL!$1:$1048576,6,0)*0.8,0),VLOOKUP($A7,ANNUAL!$1:$1048576,6,0))</f>
        <v>#REF!</v>
      </c>
      <c r="Z7" s="32" t="e">
        <f t="shared" si="7"/>
        <v>#REF!</v>
      </c>
      <c r="AA7" s="26" t="e">
        <f>VLOOKUP($A7,'HY Compile'!$1:$1048576,15,0)</f>
        <v>#REF!</v>
      </c>
      <c r="AB7" s="26" t="e">
        <f>VLOOKUP($A7,'HY Compile'!$1:$1048576,16,0)</f>
        <v>#REF!</v>
      </c>
      <c r="AC7" s="32" t="e">
        <f t="shared" si="8"/>
        <v>#REF!</v>
      </c>
      <c r="AD7" s="26" t="e">
        <f>VLOOKUP($A7,'UT-2'!$1:$1048576,7,0)</f>
        <v>#REF!</v>
      </c>
      <c r="AE7" s="26" t="e">
        <f>IFERROR(ROUND(VLOOKUP($A7,ANNUAL!$1:$1048576,7,0)*0.8,0),VLOOKUP($A7,ANNUAL!$1:$1048576,7,0))</f>
        <v>#REF!</v>
      </c>
      <c r="AF7" s="32" t="e">
        <f t="shared" si="9"/>
        <v>#REF!</v>
      </c>
      <c r="AG7" s="26" t="e">
        <f>VLOOKUP($A7,'HY Compile'!$1:$1048576,18,0)</f>
        <v>#REF!</v>
      </c>
      <c r="AH7" s="26" t="e">
        <f>VLOOKUP($A7,'HY Compile'!$1:$1048576,19,0)</f>
        <v>#REF!</v>
      </c>
      <c r="AI7" s="32" t="e">
        <f t="shared" si="10"/>
        <v>#REF!</v>
      </c>
      <c r="AJ7" s="26" t="e">
        <f>VLOOKUP($A7,'UT-2'!$1:$1048576,8,0)</f>
        <v>#REF!</v>
      </c>
      <c r="AK7" s="26" t="e">
        <f>IFERROR(ROUND(VLOOKUP($A7,ANNUAL!$1:$1048576,8,0)*0.8,0),VLOOKUP($A7,ANNUAL!$1:$1048576,8,0))</f>
        <v>#REF!</v>
      </c>
      <c r="AL7" s="32" t="e">
        <f t="shared" si="11"/>
        <v>#REF!</v>
      </c>
      <c r="AM7" s="26" t="e">
        <f>VLOOKUP($A7,ANNUAL!$1:$1048576,9,0)</f>
        <v>#REF!</v>
      </c>
      <c r="AN7" s="26" t="e">
        <f>VLOOKUP($A7,ANNUAL!$1:$1048576,10,0)</f>
        <v>#REF!</v>
      </c>
      <c r="AO7" s="26" t="e">
        <f>VLOOKUP($A7,ANNUAL!$1:$1048576,11,0)</f>
        <v>#REF!</v>
      </c>
      <c r="AP7" s="26" t="e">
        <f>VLOOKUP($A7,ANNUAL!$1:$1048576,12,0)</f>
        <v>#REF!</v>
      </c>
      <c r="AQ7" s="26" t="e">
        <f>VLOOKUP($A7,ANNUAL!$1:$1048576,13,0)</f>
        <v>#REF!</v>
      </c>
      <c r="AR7" s="26" t="e">
        <f>VLOOKUP($A7,ANNUAL!$1:$1048576,14,0)</f>
        <v>#REF!</v>
      </c>
      <c r="AS7" s="31" t="e">
        <f>VLOOKUP($A7,ANNUAL!$1:$1048576,15,0)</f>
        <v>#REF!</v>
      </c>
      <c r="AT7" s="26" t="e">
        <f t="shared" si="13"/>
        <v>#REF!</v>
      </c>
      <c r="AU7" s="26" t="e">
        <f t="shared" si="12"/>
        <v>#REF!</v>
      </c>
    </row>
    <row r="8" spans="1:47" x14ac:dyDescent="0.3">
      <c r="A8" s="22" t="e">
        <f>DETAILS!#REF!</f>
        <v>#REF!</v>
      </c>
      <c r="B8" s="22" t="e">
        <f>DETAILS!#REF!</f>
        <v>#REF!</v>
      </c>
      <c r="C8" s="26" t="e">
        <f>VLOOKUP($A8,'HY Compile'!$1:$1048576,3,0)</f>
        <v>#REF!</v>
      </c>
      <c r="D8" s="26" t="e">
        <f>VLOOKUP($A8,'HY Compile'!$1:$1048576,4,0)</f>
        <v>#REF!</v>
      </c>
      <c r="E8" s="32" t="e">
        <f t="shared" si="0"/>
        <v>#REF!</v>
      </c>
      <c r="F8" s="26" t="e">
        <f>VLOOKUP($A8,'UT-2'!$1:$1048576,3,0)</f>
        <v>#REF!</v>
      </c>
      <c r="G8" s="26" t="e">
        <f>IFERROR(ROUND(VLOOKUP($A8,ANNUAL!$1:$1048576,3,0)*0.8,0),VLOOKUP($A8,ANNUAL!$1:$1048576,3,0))</f>
        <v>#REF!</v>
      </c>
      <c r="H8" s="32" t="e">
        <f t="shared" si="1"/>
        <v>#REF!</v>
      </c>
      <c r="I8" s="26" t="e">
        <f>VLOOKUP($A8,'HY Compile'!$1:$1048576,6,0)</f>
        <v>#REF!</v>
      </c>
      <c r="J8" s="26" t="e">
        <f>VLOOKUP($A8,'HY Compile'!$1:$1048576,7,0)</f>
        <v>#REF!</v>
      </c>
      <c r="K8" s="32" t="e">
        <f t="shared" si="2"/>
        <v>#REF!</v>
      </c>
      <c r="L8" s="26" t="e">
        <f>VLOOKUP($A8,'UT-2'!$1:$1048576,4,0)</f>
        <v>#REF!</v>
      </c>
      <c r="M8" s="26" t="e">
        <f>IFERROR(ROUND(VLOOKUP($A8,ANNUAL!$1:$1048576,4,0)*0.8,0),VLOOKUP($A8,ANNUAL!$1:$1048576,4,0))</f>
        <v>#REF!</v>
      </c>
      <c r="N8" s="32" t="e">
        <f t="shared" si="3"/>
        <v>#REF!</v>
      </c>
      <c r="O8" s="26" t="e">
        <f>VLOOKUP($A8,'HY Compile'!$1:$1048576,9,0)</f>
        <v>#REF!</v>
      </c>
      <c r="P8" s="26" t="e">
        <f>VLOOKUP($A8,'HY Compile'!$1:$1048576,10,0)</f>
        <v>#REF!</v>
      </c>
      <c r="Q8" s="32" t="e">
        <f t="shared" si="4"/>
        <v>#REF!</v>
      </c>
      <c r="R8" s="26" t="e">
        <f>VLOOKUP($A8,'UT-2'!$1:$1048576,5,0)</f>
        <v>#REF!</v>
      </c>
      <c r="S8" s="26" t="e">
        <f>IFERROR(ROUND(VLOOKUP($A8,ANNUAL!$1:$1048576,5,0)*0.8,0),VLOOKUP($A8,ANNUAL!$1:$1048576,5,0))</f>
        <v>#REF!</v>
      </c>
      <c r="T8" s="32" t="e">
        <f t="shared" si="5"/>
        <v>#REF!</v>
      </c>
      <c r="U8" s="26" t="e">
        <f>VLOOKUP($A8,'HY Compile'!$1:$1048576,12,0)</f>
        <v>#REF!</v>
      </c>
      <c r="V8" s="26" t="e">
        <f>VLOOKUP($A8,'HY Compile'!$1:$1048576,13,0)</f>
        <v>#REF!</v>
      </c>
      <c r="W8" s="32" t="e">
        <f t="shared" si="6"/>
        <v>#REF!</v>
      </c>
      <c r="X8" s="26" t="e">
        <f>VLOOKUP($A8,'UT-2'!$1:$1048576,6,0)</f>
        <v>#REF!</v>
      </c>
      <c r="Y8" s="26" t="e">
        <f>IFERROR(ROUND(VLOOKUP($A8,ANNUAL!$1:$1048576,6,0)*0.8,0),VLOOKUP($A8,ANNUAL!$1:$1048576,6,0))</f>
        <v>#REF!</v>
      </c>
      <c r="Z8" s="32" t="e">
        <f t="shared" si="7"/>
        <v>#REF!</v>
      </c>
      <c r="AA8" s="26" t="e">
        <f>VLOOKUP($A8,'HY Compile'!$1:$1048576,15,0)</f>
        <v>#REF!</v>
      </c>
      <c r="AB8" s="26" t="e">
        <f>VLOOKUP($A8,'HY Compile'!$1:$1048576,16,0)</f>
        <v>#REF!</v>
      </c>
      <c r="AC8" s="32" t="e">
        <f t="shared" si="8"/>
        <v>#REF!</v>
      </c>
      <c r="AD8" s="26" t="e">
        <f>VLOOKUP($A8,'UT-2'!$1:$1048576,7,0)</f>
        <v>#REF!</v>
      </c>
      <c r="AE8" s="26" t="e">
        <f>IFERROR(ROUND(VLOOKUP($A8,ANNUAL!$1:$1048576,7,0)*0.8,0),VLOOKUP($A8,ANNUAL!$1:$1048576,7,0))</f>
        <v>#REF!</v>
      </c>
      <c r="AF8" s="32" t="e">
        <f t="shared" si="9"/>
        <v>#REF!</v>
      </c>
      <c r="AG8" s="26" t="e">
        <f>VLOOKUP($A8,'HY Compile'!$1:$1048576,18,0)</f>
        <v>#REF!</v>
      </c>
      <c r="AH8" s="26" t="e">
        <f>VLOOKUP($A8,'HY Compile'!$1:$1048576,19,0)</f>
        <v>#REF!</v>
      </c>
      <c r="AI8" s="32" t="e">
        <f t="shared" si="10"/>
        <v>#REF!</v>
      </c>
      <c r="AJ8" s="26" t="e">
        <f>VLOOKUP($A8,'UT-2'!$1:$1048576,8,0)</f>
        <v>#REF!</v>
      </c>
      <c r="AK8" s="26" t="e">
        <f>IFERROR(ROUND(VLOOKUP($A8,ANNUAL!$1:$1048576,8,0)*0.8,0),VLOOKUP($A8,ANNUAL!$1:$1048576,8,0))</f>
        <v>#REF!</v>
      </c>
      <c r="AL8" s="32" t="e">
        <f t="shared" si="11"/>
        <v>#REF!</v>
      </c>
      <c r="AM8" s="26" t="e">
        <f>VLOOKUP($A8,ANNUAL!$1:$1048576,9,0)</f>
        <v>#REF!</v>
      </c>
      <c r="AN8" s="26" t="e">
        <f>VLOOKUP($A8,ANNUAL!$1:$1048576,10,0)</f>
        <v>#REF!</v>
      </c>
      <c r="AO8" s="26" t="e">
        <f>VLOOKUP($A8,ANNUAL!$1:$1048576,11,0)</f>
        <v>#REF!</v>
      </c>
      <c r="AP8" s="26" t="e">
        <f>VLOOKUP($A8,ANNUAL!$1:$1048576,12,0)</f>
        <v>#REF!</v>
      </c>
      <c r="AQ8" s="26" t="e">
        <f>VLOOKUP($A8,ANNUAL!$1:$1048576,13,0)</f>
        <v>#REF!</v>
      </c>
      <c r="AR8" s="26" t="e">
        <f>VLOOKUP($A8,ANNUAL!$1:$1048576,14,0)</f>
        <v>#REF!</v>
      </c>
      <c r="AS8" s="31" t="e">
        <f>VLOOKUP($A8,ANNUAL!$1:$1048576,15,0)</f>
        <v>#REF!</v>
      </c>
      <c r="AT8" s="26" t="e">
        <f t="shared" si="13"/>
        <v>#REF!</v>
      </c>
      <c r="AU8" s="26" t="e">
        <f t="shared" si="12"/>
        <v>#REF!</v>
      </c>
    </row>
    <row r="9" spans="1:47" x14ac:dyDescent="0.3">
      <c r="A9" s="22" t="e">
        <f>DETAILS!#REF!</f>
        <v>#REF!</v>
      </c>
      <c r="B9" s="22" t="e">
        <f>DETAILS!#REF!</f>
        <v>#REF!</v>
      </c>
      <c r="C9" s="26" t="e">
        <f>VLOOKUP($A9,'HY Compile'!$1:$1048576,3,0)</f>
        <v>#REF!</v>
      </c>
      <c r="D9" s="26" t="e">
        <f>VLOOKUP($A9,'HY Compile'!$1:$1048576,4,0)</f>
        <v>#REF!</v>
      </c>
      <c r="E9" s="32" t="e">
        <f t="shared" si="0"/>
        <v>#REF!</v>
      </c>
      <c r="F9" s="26" t="e">
        <f>VLOOKUP($A9,'UT-2'!$1:$1048576,3,0)</f>
        <v>#REF!</v>
      </c>
      <c r="G9" s="26" t="e">
        <f>IFERROR(ROUND(VLOOKUP($A9,ANNUAL!$1:$1048576,3,0)*0.8,0),VLOOKUP($A9,ANNUAL!$1:$1048576,3,0))</f>
        <v>#REF!</v>
      </c>
      <c r="H9" s="32" t="e">
        <f t="shared" si="1"/>
        <v>#REF!</v>
      </c>
      <c r="I9" s="26" t="e">
        <f>VLOOKUP($A9,'HY Compile'!$1:$1048576,6,0)</f>
        <v>#REF!</v>
      </c>
      <c r="J9" s="26" t="e">
        <f>VLOOKUP($A9,'HY Compile'!$1:$1048576,7,0)</f>
        <v>#REF!</v>
      </c>
      <c r="K9" s="32" t="e">
        <f t="shared" si="2"/>
        <v>#REF!</v>
      </c>
      <c r="L9" s="26" t="e">
        <f>VLOOKUP($A9,'UT-2'!$1:$1048576,4,0)</f>
        <v>#REF!</v>
      </c>
      <c r="M9" s="26" t="e">
        <f>IFERROR(ROUND(VLOOKUP($A9,ANNUAL!$1:$1048576,4,0)*0.8,0),VLOOKUP($A9,ANNUAL!$1:$1048576,4,0))</f>
        <v>#REF!</v>
      </c>
      <c r="N9" s="32" t="e">
        <f t="shared" si="3"/>
        <v>#REF!</v>
      </c>
      <c r="O9" s="26" t="e">
        <f>VLOOKUP($A9,'HY Compile'!$1:$1048576,9,0)</f>
        <v>#REF!</v>
      </c>
      <c r="P9" s="26" t="e">
        <f>VLOOKUP($A9,'HY Compile'!$1:$1048576,10,0)</f>
        <v>#REF!</v>
      </c>
      <c r="Q9" s="32" t="e">
        <f t="shared" si="4"/>
        <v>#REF!</v>
      </c>
      <c r="R9" s="26" t="e">
        <f>VLOOKUP($A9,'UT-2'!$1:$1048576,5,0)</f>
        <v>#REF!</v>
      </c>
      <c r="S9" s="26" t="e">
        <f>IFERROR(ROUND(VLOOKUP($A9,ANNUAL!$1:$1048576,5,0)*0.8,0),VLOOKUP($A9,ANNUAL!$1:$1048576,5,0))</f>
        <v>#REF!</v>
      </c>
      <c r="T9" s="32" t="e">
        <f t="shared" si="5"/>
        <v>#REF!</v>
      </c>
      <c r="U9" s="26" t="e">
        <f>VLOOKUP($A9,'HY Compile'!$1:$1048576,12,0)</f>
        <v>#REF!</v>
      </c>
      <c r="V9" s="26" t="e">
        <f>VLOOKUP($A9,'HY Compile'!$1:$1048576,13,0)</f>
        <v>#REF!</v>
      </c>
      <c r="W9" s="32" t="e">
        <f t="shared" si="6"/>
        <v>#REF!</v>
      </c>
      <c r="X9" s="26" t="e">
        <f>VLOOKUP($A9,'UT-2'!$1:$1048576,6,0)</f>
        <v>#REF!</v>
      </c>
      <c r="Y9" s="26" t="e">
        <f>IFERROR(ROUND(VLOOKUP($A9,ANNUAL!$1:$1048576,6,0)*0.8,0),VLOOKUP($A9,ANNUAL!$1:$1048576,6,0))</f>
        <v>#REF!</v>
      </c>
      <c r="Z9" s="32" t="e">
        <f t="shared" si="7"/>
        <v>#REF!</v>
      </c>
      <c r="AA9" s="26" t="e">
        <f>VLOOKUP($A9,'HY Compile'!$1:$1048576,15,0)</f>
        <v>#REF!</v>
      </c>
      <c r="AB9" s="26" t="e">
        <f>VLOOKUP($A9,'HY Compile'!$1:$1048576,16,0)</f>
        <v>#REF!</v>
      </c>
      <c r="AC9" s="32" t="e">
        <f t="shared" si="8"/>
        <v>#REF!</v>
      </c>
      <c r="AD9" s="26" t="e">
        <f>VLOOKUP($A9,'UT-2'!$1:$1048576,7,0)</f>
        <v>#REF!</v>
      </c>
      <c r="AE9" s="26" t="e">
        <f>IFERROR(ROUND(VLOOKUP($A9,ANNUAL!$1:$1048576,7,0)*0.8,0),VLOOKUP($A9,ANNUAL!$1:$1048576,7,0))</f>
        <v>#REF!</v>
      </c>
      <c r="AF9" s="32" t="e">
        <f t="shared" si="9"/>
        <v>#REF!</v>
      </c>
      <c r="AG9" s="26" t="e">
        <f>VLOOKUP($A9,'HY Compile'!$1:$1048576,18,0)</f>
        <v>#REF!</v>
      </c>
      <c r="AH9" s="26" t="e">
        <f>VLOOKUP($A9,'HY Compile'!$1:$1048576,19,0)</f>
        <v>#REF!</v>
      </c>
      <c r="AI9" s="32" t="e">
        <f t="shared" si="10"/>
        <v>#REF!</v>
      </c>
      <c r="AJ9" s="26" t="e">
        <f>VLOOKUP($A9,'UT-2'!$1:$1048576,8,0)</f>
        <v>#REF!</v>
      </c>
      <c r="AK9" s="26" t="e">
        <f>IFERROR(ROUND(VLOOKUP($A9,ANNUAL!$1:$1048576,8,0)*0.8,0),VLOOKUP($A9,ANNUAL!$1:$1048576,8,0))</f>
        <v>#REF!</v>
      </c>
      <c r="AL9" s="32" t="e">
        <f t="shared" si="11"/>
        <v>#REF!</v>
      </c>
      <c r="AM9" s="26" t="e">
        <f>VLOOKUP($A9,ANNUAL!$1:$1048576,9,0)</f>
        <v>#REF!</v>
      </c>
      <c r="AN9" s="26" t="e">
        <f>VLOOKUP($A9,ANNUAL!$1:$1048576,10,0)</f>
        <v>#REF!</v>
      </c>
      <c r="AO9" s="26" t="e">
        <f>VLOOKUP($A9,ANNUAL!$1:$1048576,11,0)</f>
        <v>#REF!</v>
      </c>
      <c r="AP9" s="26" t="e">
        <f>VLOOKUP($A9,ANNUAL!$1:$1048576,12,0)</f>
        <v>#REF!</v>
      </c>
      <c r="AQ9" s="26" t="e">
        <f>VLOOKUP($A9,ANNUAL!$1:$1048576,13,0)</f>
        <v>#REF!</v>
      </c>
      <c r="AR9" s="26" t="e">
        <f>VLOOKUP($A9,ANNUAL!$1:$1048576,14,0)</f>
        <v>#REF!</v>
      </c>
      <c r="AS9" s="31" t="e">
        <f>VLOOKUP($A9,ANNUAL!$1:$1048576,15,0)</f>
        <v>#REF!</v>
      </c>
      <c r="AT9" s="26" t="e">
        <f t="shared" si="13"/>
        <v>#REF!</v>
      </c>
      <c r="AU9" s="26" t="e">
        <f t="shared" si="12"/>
        <v>#REF!</v>
      </c>
    </row>
    <row r="10" spans="1:47" x14ac:dyDescent="0.3">
      <c r="A10" s="22" t="e">
        <f>DETAILS!#REF!</f>
        <v>#REF!</v>
      </c>
      <c r="B10" s="22" t="e">
        <f>DETAILS!#REF!</f>
        <v>#REF!</v>
      </c>
      <c r="C10" s="26" t="e">
        <f>VLOOKUP($A10,'HY Compile'!$1:$1048576,3,0)</f>
        <v>#REF!</v>
      </c>
      <c r="D10" s="26" t="e">
        <f>VLOOKUP($A10,'HY Compile'!$1:$1048576,4,0)</f>
        <v>#REF!</v>
      </c>
      <c r="E10" s="32" t="e">
        <f t="shared" si="0"/>
        <v>#REF!</v>
      </c>
      <c r="F10" s="26" t="e">
        <f>VLOOKUP($A10,'UT-2'!$1:$1048576,3,0)</f>
        <v>#REF!</v>
      </c>
      <c r="G10" s="26" t="e">
        <f>IFERROR(ROUND(VLOOKUP($A10,ANNUAL!$1:$1048576,3,0)*0.8,0),VLOOKUP($A10,ANNUAL!$1:$1048576,3,0))</f>
        <v>#REF!</v>
      </c>
      <c r="H10" s="32" t="e">
        <f t="shared" si="1"/>
        <v>#REF!</v>
      </c>
      <c r="I10" s="26" t="e">
        <f>VLOOKUP($A10,'HY Compile'!$1:$1048576,6,0)</f>
        <v>#REF!</v>
      </c>
      <c r="J10" s="26" t="e">
        <f>VLOOKUP($A10,'HY Compile'!$1:$1048576,7,0)</f>
        <v>#REF!</v>
      </c>
      <c r="K10" s="32" t="e">
        <f t="shared" si="2"/>
        <v>#REF!</v>
      </c>
      <c r="L10" s="26" t="e">
        <f>VLOOKUP($A10,'UT-2'!$1:$1048576,4,0)</f>
        <v>#REF!</v>
      </c>
      <c r="M10" s="26" t="e">
        <f>IFERROR(ROUND(VLOOKUP($A10,ANNUAL!$1:$1048576,4,0)*0.8,0),VLOOKUP($A10,ANNUAL!$1:$1048576,4,0))</f>
        <v>#REF!</v>
      </c>
      <c r="N10" s="32" t="e">
        <f t="shared" si="3"/>
        <v>#REF!</v>
      </c>
      <c r="O10" s="26" t="e">
        <f>VLOOKUP($A10,'HY Compile'!$1:$1048576,9,0)</f>
        <v>#REF!</v>
      </c>
      <c r="P10" s="26" t="e">
        <f>VLOOKUP($A10,'HY Compile'!$1:$1048576,10,0)</f>
        <v>#REF!</v>
      </c>
      <c r="Q10" s="32" t="e">
        <f t="shared" si="4"/>
        <v>#REF!</v>
      </c>
      <c r="R10" s="26" t="e">
        <f>VLOOKUP($A10,'UT-2'!$1:$1048576,5,0)</f>
        <v>#REF!</v>
      </c>
      <c r="S10" s="26" t="e">
        <f>IFERROR(ROUND(VLOOKUP($A10,ANNUAL!$1:$1048576,5,0)*0.8,0),VLOOKUP($A10,ANNUAL!$1:$1048576,5,0))</f>
        <v>#REF!</v>
      </c>
      <c r="T10" s="32" t="e">
        <f t="shared" si="5"/>
        <v>#REF!</v>
      </c>
      <c r="U10" s="26" t="e">
        <f>VLOOKUP($A10,'HY Compile'!$1:$1048576,12,0)</f>
        <v>#REF!</v>
      </c>
      <c r="V10" s="26" t="e">
        <f>VLOOKUP($A10,'HY Compile'!$1:$1048576,13,0)</f>
        <v>#REF!</v>
      </c>
      <c r="W10" s="32" t="e">
        <f t="shared" si="6"/>
        <v>#REF!</v>
      </c>
      <c r="X10" s="26" t="e">
        <f>VLOOKUP($A10,'UT-2'!$1:$1048576,6,0)</f>
        <v>#REF!</v>
      </c>
      <c r="Y10" s="26" t="e">
        <f>IFERROR(ROUND(VLOOKUP($A10,ANNUAL!$1:$1048576,6,0)*0.8,0),VLOOKUP($A10,ANNUAL!$1:$1048576,6,0))</f>
        <v>#REF!</v>
      </c>
      <c r="Z10" s="32" t="e">
        <f t="shared" si="7"/>
        <v>#REF!</v>
      </c>
      <c r="AA10" s="26" t="e">
        <f>VLOOKUP($A10,'HY Compile'!$1:$1048576,15,0)</f>
        <v>#REF!</v>
      </c>
      <c r="AB10" s="26" t="e">
        <f>VLOOKUP($A10,'HY Compile'!$1:$1048576,16,0)</f>
        <v>#REF!</v>
      </c>
      <c r="AC10" s="32" t="e">
        <f t="shared" si="8"/>
        <v>#REF!</v>
      </c>
      <c r="AD10" s="26" t="e">
        <f>VLOOKUP($A10,'UT-2'!$1:$1048576,7,0)</f>
        <v>#REF!</v>
      </c>
      <c r="AE10" s="26" t="e">
        <f>IFERROR(ROUND(VLOOKUP($A10,ANNUAL!$1:$1048576,7,0)*0.8,0),VLOOKUP($A10,ANNUAL!$1:$1048576,7,0))</f>
        <v>#REF!</v>
      </c>
      <c r="AF10" s="32" t="e">
        <f t="shared" si="9"/>
        <v>#REF!</v>
      </c>
      <c r="AG10" s="26" t="e">
        <f>VLOOKUP($A10,'HY Compile'!$1:$1048576,18,0)</f>
        <v>#REF!</v>
      </c>
      <c r="AH10" s="26" t="e">
        <f>VLOOKUP($A10,'HY Compile'!$1:$1048576,19,0)</f>
        <v>#REF!</v>
      </c>
      <c r="AI10" s="32" t="e">
        <f t="shared" si="10"/>
        <v>#REF!</v>
      </c>
      <c r="AJ10" s="26" t="e">
        <f>VLOOKUP($A10,'UT-2'!$1:$1048576,8,0)</f>
        <v>#REF!</v>
      </c>
      <c r="AK10" s="26" t="e">
        <f>IFERROR(ROUND(VLOOKUP($A10,ANNUAL!$1:$1048576,8,0)*0.8,0),VLOOKUP($A10,ANNUAL!$1:$1048576,8,0))</f>
        <v>#REF!</v>
      </c>
      <c r="AL10" s="32" t="e">
        <f t="shared" si="11"/>
        <v>#REF!</v>
      </c>
      <c r="AM10" s="26" t="e">
        <f>VLOOKUP($A10,ANNUAL!$1:$1048576,9,0)</f>
        <v>#REF!</v>
      </c>
      <c r="AN10" s="26" t="e">
        <f>VLOOKUP($A10,ANNUAL!$1:$1048576,10,0)</f>
        <v>#REF!</v>
      </c>
      <c r="AO10" s="26" t="e">
        <f>VLOOKUP($A10,ANNUAL!$1:$1048576,11,0)</f>
        <v>#REF!</v>
      </c>
      <c r="AP10" s="26" t="e">
        <f>VLOOKUP($A10,ANNUAL!$1:$1048576,12,0)</f>
        <v>#REF!</v>
      </c>
      <c r="AQ10" s="26" t="e">
        <f>VLOOKUP($A10,ANNUAL!$1:$1048576,13,0)</f>
        <v>#REF!</v>
      </c>
      <c r="AR10" s="26" t="e">
        <f>VLOOKUP($A10,ANNUAL!$1:$1048576,14,0)</f>
        <v>#REF!</v>
      </c>
      <c r="AS10" s="31" t="e">
        <f>VLOOKUP($A10,ANNUAL!$1:$1048576,15,0)</f>
        <v>#REF!</v>
      </c>
      <c r="AT10" s="26" t="e">
        <f t="shared" si="13"/>
        <v>#REF!</v>
      </c>
      <c r="AU10" s="26" t="e">
        <f t="shared" si="12"/>
        <v>#REF!</v>
      </c>
    </row>
    <row r="11" spans="1:47" x14ac:dyDescent="0.3">
      <c r="A11" s="22" t="e">
        <f>DETAILS!#REF!</f>
        <v>#REF!</v>
      </c>
      <c r="B11" s="22" t="e">
        <f>DETAILS!#REF!</f>
        <v>#REF!</v>
      </c>
      <c r="C11" s="26" t="e">
        <f>VLOOKUP($A11,'HY Compile'!$1:$1048576,3,0)</f>
        <v>#REF!</v>
      </c>
      <c r="D11" s="26" t="e">
        <f>VLOOKUP($A11,'HY Compile'!$1:$1048576,4,0)</f>
        <v>#REF!</v>
      </c>
      <c r="E11" s="32" t="e">
        <f t="shared" si="0"/>
        <v>#REF!</v>
      </c>
      <c r="F11" s="26" t="e">
        <f>VLOOKUP($A11,'UT-2'!$1:$1048576,3,0)</f>
        <v>#REF!</v>
      </c>
      <c r="G11" s="26" t="e">
        <f>IFERROR(ROUND(VLOOKUP($A11,ANNUAL!$1:$1048576,3,0)*0.8,0),VLOOKUP($A11,ANNUAL!$1:$1048576,3,0))</f>
        <v>#REF!</v>
      </c>
      <c r="H11" s="32" t="e">
        <f t="shared" si="1"/>
        <v>#REF!</v>
      </c>
      <c r="I11" s="26" t="e">
        <f>VLOOKUP($A11,'HY Compile'!$1:$1048576,6,0)</f>
        <v>#REF!</v>
      </c>
      <c r="J11" s="26" t="e">
        <f>VLOOKUP($A11,'HY Compile'!$1:$1048576,7,0)</f>
        <v>#REF!</v>
      </c>
      <c r="K11" s="32" t="e">
        <f t="shared" si="2"/>
        <v>#REF!</v>
      </c>
      <c r="L11" s="26" t="e">
        <f>VLOOKUP($A11,'UT-2'!$1:$1048576,4,0)</f>
        <v>#REF!</v>
      </c>
      <c r="M11" s="26" t="e">
        <f>IFERROR(ROUND(VLOOKUP($A11,ANNUAL!$1:$1048576,4,0)*0.8,0),VLOOKUP($A11,ANNUAL!$1:$1048576,4,0))</f>
        <v>#REF!</v>
      </c>
      <c r="N11" s="32" t="e">
        <f t="shared" si="3"/>
        <v>#REF!</v>
      </c>
      <c r="O11" s="26" t="e">
        <f>VLOOKUP($A11,'HY Compile'!$1:$1048576,9,0)</f>
        <v>#REF!</v>
      </c>
      <c r="P11" s="26" t="e">
        <f>VLOOKUP($A11,'HY Compile'!$1:$1048576,10,0)</f>
        <v>#REF!</v>
      </c>
      <c r="Q11" s="32" t="e">
        <f t="shared" si="4"/>
        <v>#REF!</v>
      </c>
      <c r="R11" s="26" t="e">
        <f>VLOOKUP($A11,'UT-2'!$1:$1048576,5,0)</f>
        <v>#REF!</v>
      </c>
      <c r="S11" s="26" t="e">
        <f>IFERROR(ROUND(VLOOKUP($A11,ANNUAL!$1:$1048576,5,0)*0.8,0),VLOOKUP($A11,ANNUAL!$1:$1048576,5,0))</f>
        <v>#REF!</v>
      </c>
      <c r="T11" s="32" t="e">
        <f t="shared" si="5"/>
        <v>#REF!</v>
      </c>
      <c r="U11" s="26" t="e">
        <f>VLOOKUP($A11,'HY Compile'!$1:$1048576,12,0)</f>
        <v>#REF!</v>
      </c>
      <c r="V11" s="26" t="e">
        <f>VLOOKUP($A11,'HY Compile'!$1:$1048576,13,0)</f>
        <v>#REF!</v>
      </c>
      <c r="W11" s="32" t="e">
        <f t="shared" si="6"/>
        <v>#REF!</v>
      </c>
      <c r="X11" s="26" t="e">
        <f>VLOOKUP($A11,'UT-2'!$1:$1048576,6,0)</f>
        <v>#REF!</v>
      </c>
      <c r="Y11" s="26" t="e">
        <f>IFERROR(ROUND(VLOOKUP($A11,ANNUAL!$1:$1048576,6,0)*0.8,0),VLOOKUP($A11,ANNUAL!$1:$1048576,6,0))</f>
        <v>#REF!</v>
      </c>
      <c r="Z11" s="32" t="e">
        <f t="shared" si="7"/>
        <v>#REF!</v>
      </c>
      <c r="AA11" s="26" t="e">
        <f>VLOOKUP($A11,'HY Compile'!$1:$1048576,15,0)</f>
        <v>#REF!</v>
      </c>
      <c r="AB11" s="26" t="e">
        <f>VLOOKUP($A11,'HY Compile'!$1:$1048576,16,0)</f>
        <v>#REF!</v>
      </c>
      <c r="AC11" s="32" t="e">
        <f t="shared" si="8"/>
        <v>#REF!</v>
      </c>
      <c r="AD11" s="26" t="e">
        <f>VLOOKUP($A11,'UT-2'!$1:$1048576,7,0)</f>
        <v>#REF!</v>
      </c>
      <c r="AE11" s="26" t="e">
        <f>IFERROR(ROUND(VLOOKUP($A11,ANNUAL!$1:$1048576,7,0)*0.8,0),VLOOKUP($A11,ANNUAL!$1:$1048576,7,0))</f>
        <v>#REF!</v>
      </c>
      <c r="AF11" s="32" t="e">
        <f t="shared" si="9"/>
        <v>#REF!</v>
      </c>
      <c r="AG11" s="26" t="e">
        <f>VLOOKUP($A11,'HY Compile'!$1:$1048576,18,0)</f>
        <v>#REF!</v>
      </c>
      <c r="AH11" s="26" t="e">
        <f>VLOOKUP($A11,'HY Compile'!$1:$1048576,19,0)</f>
        <v>#REF!</v>
      </c>
      <c r="AI11" s="32" t="e">
        <f t="shared" si="10"/>
        <v>#REF!</v>
      </c>
      <c r="AJ11" s="26" t="e">
        <f>VLOOKUP($A11,'UT-2'!$1:$1048576,8,0)</f>
        <v>#REF!</v>
      </c>
      <c r="AK11" s="26" t="e">
        <f>IFERROR(ROUND(VLOOKUP($A11,ANNUAL!$1:$1048576,8,0)*0.8,0),VLOOKUP($A11,ANNUAL!$1:$1048576,8,0))</f>
        <v>#REF!</v>
      </c>
      <c r="AL11" s="32" t="e">
        <f t="shared" si="11"/>
        <v>#REF!</v>
      </c>
      <c r="AM11" s="26" t="e">
        <f>VLOOKUP($A11,ANNUAL!$1:$1048576,9,0)</f>
        <v>#REF!</v>
      </c>
      <c r="AN11" s="26" t="e">
        <f>VLOOKUP($A11,ANNUAL!$1:$1048576,10,0)</f>
        <v>#REF!</v>
      </c>
      <c r="AO11" s="26" t="e">
        <f>VLOOKUP($A11,ANNUAL!$1:$1048576,11,0)</f>
        <v>#REF!</v>
      </c>
      <c r="AP11" s="26" t="e">
        <f>VLOOKUP($A11,ANNUAL!$1:$1048576,12,0)</f>
        <v>#REF!</v>
      </c>
      <c r="AQ11" s="26" t="e">
        <f>VLOOKUP($A11,ANNUAL!$1:$1048576,13,0)</f>
        <v>#REF!</v>
      </c>
      <c r="AR11" s="26" t="e">
        <f>VLOOKUP($A11,ANNUAL!$1:$1048576,14,0)</f>
        <v>#REF!</v>
      </c>
      <c r="AS11" s="31" t="e">
        <f>VLOOKUP($A11,ANNUAL!$1:$1048576,15,0)</f>
        <v>#REF!</v>
      </c>
      <c r="AT11" s="26" t="e">
        <f t="shared" si="13"/>
        <v>#REF!</v>
      </c>
      <c r="AU11" s="26" t="e">
        <f t="shared" si="12"/>
        <v>#REF!</v>
      </c>
    </row>
    <row r="12" spans="1:47" x14ac:dyDescent="0.3">
      <c r="A12" s="22" t="e">
        <f>DETAILS!#REF!</f>
        <v>#REF!</v>
      </c>
      <c r="B12" s="22" t="e">
        <f>DETAILS!#REF!</f>
        <v>#REF!</v>
      </c>
      <c r="C12" s="26" t="e">
        <f>VLOOKUP($A12,'HY Compile'!$1:$1048576,3,0)</f>
        <v>#REF!</v>
      </c>
      <c r="D12" s="26" t="e">
        <f>VLOOKUP($A12,'HY Compile'!$1:$1048576,4,0)</f>
        <v>#REF!</v>
      </c>
      <c r="E12" s="32" t="e">
        <f t="shared" si="0"/>
        <v>#REF!</v>
      </c>
      <c r="F12" s="26" t="e">
        <f>VLOOKUP($A12,'UT-2'!$1:$1048576,3,0)</f>
        <v>#REF!</v>
      </c>
      <c r="G12" s="26" t="e">
        <f>IFERROR(ROUND(VLOOKUP($A12,ANNUAL!$1:$1048576,3,0)*0.8,0),VLOOKUP($A12,ANNUAL!$1:$1048576,3,0))</f>
        <v>#REF!</v>
      </c>
      <c r="H12" s="32" t="e">
        <f t="shared" si="1"/>
        <v>#REF!</v>
      </c>
      <c r="I12" s="26" t="e">
        <f>VLOOKUP($A12,'HY Compile'!$1:$1048576,6,0)</f>
        <v>#REF!</v>
      </c>
      <c r="J12" s="26" t="e">
        <f>VLOOKUP($A12,'HY Compile'!$1:$1048576,7,0)</f>
        <v>#REF!</v>
      </c>
      <c r="K12" s="32" t="e">
        <f t="shared" si="2"/>
        <v>#REF!</v>
      </c>
      <c r="L12" s="26" t="e">
        <f>VLOOKUP($A12,'UT-2'!$1:$1048576,4,0)</f>
        <v>#REF!</v>
      </c>
      <c r="M12" s="26" t="e">
        <f>IFERROR(ROUND(VLOOKUP($A12,ANNUAL!$1:$1048576,4,0)*0.8,0),VLOOKUP($A12,ANNUAL!$1:$1048576,4,0))</f>
        <v>#REF!</v>
      </c>
      <c r="N12" s="32" t="e">
        <f t="shared" si="3"/>
        <v>#REF!</v>
      </c>
      <c r="O12" s="26" t="e">
        <f>VLOOKUP($A12,'HY Compile'!$1:$1048576,9,0)</f>
        <v>#REF!</v>
      </c>
      <c r="P12" s="26" t="e">
        <f>VLOOKUP($A12,'HY Compile'!$1:$1048576,10,0)</f>
        <v>#REF!</v>
      </c>
      <c r="Q12" s="32" t="e">
        <f t="shared" si="4"/>
        <v>#REF!</v>
      </c>
      <c r="R12" s="26" t="e">
        <f>VLOOKUP($A12,'UT-2'!$1:$1048576,5,0)</f>
        <v>#REF!</v>
      </c>
      <c r="S12" s="26" t="e">
        <f>IFERROR(ROUND(VLOOKUP($A12,ANNUAL!$1:$1048576,5,0)*0.8,0),VLOOKUP($A12,ANNUAL!$1:$1048576,5,0))</f>
        <v>#REF!</v>
      </c>
      <c r="T12" s="32" t="e">
        <f t="shared" si="5"/>
        <v>#REF!</v>
      </c>
      <c r="U12" s="26" t="e">
        <f>VLOOKUP($A12,'HY Compile'!$1:$1048576,12,0)</f>
        <v>#REF!</v>
      </c>
      <c r="V12" s="26" t="e">
        <f>VLOOKUP($A12,'HY Compile'!$1:$1048576,13,0)</f>
        <v>#REF!</v>
      </c>
      <c r="W12" s="32" t="e">
        <f t="shared" si="6"/>
        <v>#REF!</v>
      </c>
      <c r="X12" s="26" t="e">
        <f>VLOOKUP($A12,'UT-2'!$1:$1048576,6,0)</f>
        <v>#REF!</v>
      </c>
      <c r="Y12" s="26" t="e">
        <f>IFERROR(ROUND(VLOOKUP($A12,ANNUAL!$1:$1048576,6,0)*0.8,0),VLOOKUP($A12,ANNUAL!$1:$1048576,6,0))</f>
        <v>#REF!</v>
      </c>
      <c r="Z12" s="32" t="e">
        <f t="shared" si="7"/>
        <v>#REF!</v>
      </c>
      <c r="AA12" s="26" t="e">
        <f>VLOOKUP($A12,'HY Compile'!$1:$1048576,15,0)</f>
        <v>#REF!</v>
      </c>
      <c r="AB12" s="26" t="e">
        <f>VLOOKUP($A12,'HY Compile'!$1:$1048576,16,0)</f>
        <v>#REF!</v>
      </c>
      <c r="AC12" s="32" t="e">
        <f t="shared" si="8"/>
        <v>#REF!</v>
      </c>
      <c r="AD12" s="26" t="e">
        <f>VLOOKUP($A12,'UT-2'!$1:$1048576,7,0)</f>
        <v>#REF!</v>
      </c>
      <c r="AE12" s="26" t="e">
        <f>IFERROR(ROUND(VLOOKUP($A12,ANNUAL!$1:$1048576,7,0)*0.8,0),VLOOKUP($A12,ANNUAL!$1:$1048576,7,0))</f>
        <v>#REF!</v>
      </c>
      <c r="AF12" s="32" t="e">
        <f t="shared" si="9"/>
        <v>#REF!</v>
      </c>
      <c r="AG12" s="26" t="e">
        <f>VLOOKUP($A12,'HY Compile'!$1:$1048576,18,0)</f>
        <v>#REF!</v>
      </c>
      <c r="AH12" s="26" t="e">
        <f>VLOOKUP($A12,'HY Compile'!$1:$1048576,19,0)</f>
        <v>#REF!</v>
      </c>
      <c r="AI12" s="32" t="e">
        <f t="shared" si="10"/>
        <v>#REF!</v>
      </c>
      <c r="AJ12" s="26" t="e">
        <f>VLOOKUP($A12,'UT-2'!$1:$1048576,8,0)</f>
        <v>#REF!</v>
      </c>
      <c r="AK12" s="26" t="e">
        <f>IFERROR(ROUND(VLOOKUP($A12,ANNUAL!$1:$1048576,8,0)*0.8,0),VLOOKUP($A12,ANNUAL!$1:$1048576,8,0))</f>
        <v>#REF!</v>
      </c>
      <c r="AL12" s="32" t="e">
        <f t="shared" si="11"/>
        <v>#REF!</v>
      </c>
      <c r="AM12" s="26" t="e">
        <f>VLOOKUP($A12,ANNUAL!$1:$1048576,9,0)</f>
        <v>#REF!</v>
      </c>
      <c r="AN12" s="26" t="e">
        <f>VLOOKUP($A12,ANNUAL!$1:$1048576,10,0)</f>
        <v>#REF!</v>
      </c>
      <c r="AO12" s="26" t="e">
        <f>VLOOKUP($A12,ANNUAL!$1:$1048576,11,0)</f>
        <v>#REF!</v>
      </c>
      <c r="AP12" s="26" t="e">
        <f>VLOOKUP($A12,ANNUAL!$1:$1048576,12,0)</f>
        <v>#REF!</v>
      </c>
      <c r="AQ12" s="26" t="e">
        <f>VLOOKUP($A12,ANNUAL!$1:$1048576,13,0)</f>
        <v>#REF!</v>
      </c>
      <c r="AR12" s="26" t="e">
        <f>VLOOKUP($A12,ANNUAL!$1:$1048576,14,0)</f>
        <v>#REF!</v>
      </c>
      <c r="AS12" s="31" t="e">
        <f>VLOOKUP($A12,ANNUAL!$1:$1048576,15,0)</f>
        <v>#REF!</v>
      </c>
      <c r="AT12" s="26" t="e">
        <f t="shared" si="13"/>
        <v>#REF!</v>
      </c>
      <c r="AU12" s="26" t="e">
        <f t="shared" si="12"/>
        <v>#REF!</v>
      </c>
    </row>
    <row r="13" spans="1:47" x14ac:dyDescent="0.3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  <mergeCell ref="C2:H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zoomScale="160" zoomScaleNormal="160" workbookViewId="0">
      <selection activeCell="L18" sqref="L18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79"/>
      <c r="C1" s="79"/>
      <c r="D1" s="79"/>
      <c r="E1" s="79"/>
      <c r="F1" s="79"/>
      <c r="G1" s="79"/>
      <c r="H1" s="79"/>
      <c r="I1" s="7"/>
      <c r="J1" s="7"/>
      <c r="K1" s="8"/>
    </row>
    <row r="2" spans="1:13" ht="32.4" x14ac:dyDescent="0.3">
      <c r="A2" s="9"/>
      <c r="B2" s="80" t="s">
        <v>0</v>
      </c>
      <c r="C2" s="80"/>
      <c r="D2" s="80"/>
      <c r="E2" s="80"/>
      <c r="F2" s="80"/>
      <c r="G2" s="80"/>
      <c r="H2" s="80"/>
      <c r="I2" s="80"/>
      <c r="J2" s="80"/>
      <c r="K2" s="10"/>
    </row>
    <row r="3" spans="1:13" ht="15.6" x14ac:dyDescent="0.3">
      <c r="A3" s="9"/>
      <c r="B3" s="81" t="s">
        <v>1</v>
      </c>
      <c r="C3" s="81"/>
      <c r="D3" s="81"/>
      <c r="E3" s="81"/>
      <c r="F3" s="81"/>
      <c r="G3" s="81"/>
      <c r="H3" s="81"/>
      <c r="I3" s="81"/>
      <c r="J3" s="81"/>
      <c r="K3" s="10"/>
    </row>
    <row r="4" spans="1:13" ht="15.6" x14ac:dyDescent="0.3">
      <c r="A4" s="9"/>
      <c r="B4" s="82" t="s">
        <v>58</v>
      </c>
      <c r="C4" s="82"/>
      <c r="D4" s="82"/>
      <c r="E4" s="82"/>
      <c r="F4" s="82"/>
      <c r="G4" s="82"/>
      <c r="H4" s="82"/>
      <c r="I4" s="82"/>
      <c r="J4" s="82"/>
      <c r="K4" s="10"/>
    </row>
    <row r="5" spans="1:13" ht="15.6" x14ac:dyDescent="0.3">
      <c r="A5" s="9"/>
      <c r="B5" s="82" t="s">
        <v>2</v>
      </c>
      <c r="C5" s="82"/>
      <c r="D5" s="82"/>
      <c r="E5" s="82"/>
      <c r="F5" s="82"/>
      <c r="G5" s="82"/>
      <c r="H5" s="82"/>
      <c r="I5" s="82"/>
      <c r="J5" s="82"/>
      <c r="K5" s="10"/>
    </row>
    <row r="6" spans="1:13" ht="15.6" x14ac:dyDescent="0.3">
      <c r="A6" s="9"/>
      <c r="B6" s="83" t="s">
        <v>3</v>
      </c>
      <c r="C6" s="83"/>
      <c r="D6" s="83"/>
      <c r="E6" s="83"/>
      <c r="F6" s="83"/>
      <c r="G6" s="83"/>
      <c r="H6" s="83"/>
      <c r="I6" s="83"/>
      <c r="J6" s="83"/>
      <c r="K6" s="10"/>
    </row>
    <row r="7" spans="1:13" ht="20.25" customHeight="1" x14ac:dyDescent="0.3">
      <c r="A7" s="9"/>
      <c r="B7" s="84" t="s">
        <v>72</v>
      </c>
      <c r="C7" s="84"/>
      <c r="D7" s="84"/>
      <c r="E7" s="84"/>
      <c r="F7" s="84"/>
      <c r="G7" s="84"/>
      <c r="H7" s="84"/>
      <c r="I7" s="84"/>
      <c r="J7" s="84"/>
      <c r="K7" s="10"/>
    </row>
    <row r="8" spans="1:13" ht="18" customHeight="1" x14ac:dyDescent="0.3">
      <c r="A8" s="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10"/>
    </row>
    <row r="9" spans="1:13" x14ac:dyDescent="0.3">
      <c r="A9" s="9"/>
      <c r="B9" s="98" t="s">
        <v>76</v>
      </c>
      <c r="C9" s="85"/>
      <c r="D9" s="72" t="e">
        <f>":      "&amp;VLOOKUP($I$9,DETAILS!$1:$1048576,2,0)</f>
        <v>#N/A</v>
      </c>
      <c r="E9" s="72"/>
      <c r="F9" s="72"/>
      <c r="G9" s="85" t="s">
        <v>77</v>
      </c>
      <c r="H9" s="85"/>
      <c r="I9" s="85">
        <v>1</v>
      </c>
      <c r="J9" s="86"/>
      <c r="K9" s="10"/>
    </row>
    <row r="10" spans="1:13" x14ac:dyDescent="0.3">
      <c r="A10" s="9"/>
      <c r="B10" s="89" t="s">
        <v>78</v>
      </c>
      <c r="C10" s="72"/>
      <c r="D10" s="72" t="e">
        <f>":      "&amp;VLOOKUP($I$9,DETAILS!$1:$1048576,3,0)</f>
        <v>#N/A</v>
      </c>
      <c r="E10" s="72"/>
      <c r="F10" s="72"/>
      <c r="G10" s="72" t="s">
        <v>79</v>
      </c>
      <c r="H10" s="72"/>
      <c r="I10" s="72" t="e">
        <f>VLOOKUP($I$9,DETAILS!$1:$1048576,6,0)</f>
        <v>#N/A</v>
      </c>
      <c r="J10" s="78"/>
      <c r="K10" s="10"/>
    </row>
    <row r="11" spans="1:13" x14ac:dyDescent="0.3">
      <c r="A11" s="9"/>
      <c r="B11" s="90" t="s">
        <v>80</v>
      </c>
      <c r="C11" s="76"/>
      <c r="D11" s="76" t="e">
        <f>":      "&amp;VLOOKUP($I$9,DETAILS!$1:$1048576,4,0)</f>
        <v>#N/A</v>
      </c>
      <c r="E11" s="76"/>
      <c r="F11" s="76"/>
      <c r="G11" s="76" t="s">
        <v>81</v>
      </c>
      <c r="H11" s="76"/>
      <c r="I11" s="76" t="e">
        <f>VLOOKUP($I$9,DETAILS!$1:$1048576,5,0)</f>
        <v>#N/A</v>
      </c>
      <c r="J11" s="77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1" t="s">
        <v>56</v>
      </c>
      <c r="C13" s="92"/>
      <c r="D13" s="92"/>
      <c r="E13" s="92"/>
      <c r="F13" s="92"/>
      <c r="G13" s="92"/>
      <c r="H13" s="92"/>
      <c r="I13" s="92"/>
      <c r="J13" s="93"/>
      <c r="K13" s="10"/>
    </row>
    <row r="14" spans="1:13" ht="61.5" customHeight="1" x14ac:dyDescent="0.3">
      <c r="A14" s="9"/>
      <c r="B14" s="94" t="s">
        <v>31</v>
      </c>
      <c r="C14" s="95"/>
      <c r="D14" s="15" t="s">
        <v>82</v>
      </c>
      <c r="E14" s="15" t="s">
        <v>8</v>
      </c>
      <c r="F14" s="15" t="s">
        <v>83</v>
      </c>
      <c r="G14" s="15" t="s">
        <v>84</v>
      </c>
      <c r="H14" s="15" t="s">
        <v>85</v>
      </c>
      <c r="I14" s="15" t="s">
        <v>86</v>
      </c>
      <c r="J14" s="15" t="s">
        <v>87</v>
      </c>
      <c r="K14" s="10"/>
      <c r="M14" s="36"/>
    </row>
    <row r="15" spans="1:13" x14ac:dyDescent="0.3">
      <c r="A15" s="9"/>
      <c r="B15" s="96" t="s">
        <v>96</v>
      </c>
      <c r="C15" s="97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6" t="e">
        <f>VLOOKUP($I$9,DETAILS!$1:$1048576,7,0)</f>
        <v>#N/A</v>
      </c>
      <c r="C16" s="97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6" t="s">
        <v>98</v>
      </c>
      <c r="C17" s="97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6" t="s">
        <v>99</v>
      </c>
      <c r="C18" s="97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6" t="s">
        <v>97</v>
      </c>
      <c r="C19" s="97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6" t="s">
        <v>93</v>
      </c>
      <c r="C20" s="97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5" t="s">
        <v>10</v>
      </c>
      <c r="C22" s="63" t="e">
        <f>VLOOKUP($I$9,'COMPILE REPORT'!$1:$1048576,43,0)</f>
        <v>#N/A</v>
      </c>
      <c r="D22" s="63" t="e">
        <f>VLOOKUP($I$9,'COMPILE REPORT'!$1:$1048576,44,0)</f>
        <v>#N/A</v>
      </c>
      <c r="H22" s="73" t="s">
        <v>88</v>
      </c>
      <c r="I22" s="74"/>
      <c r="J22" s="37" t="e">
        <f>ROUND((SUM(J15:J20))/12,2)&amp;" %"</f>
        <v>#N/A</v>
      </c>
      <c r="K22" s="10"/>
    </row>
    <row r="23" spans="1:11" x14ac:dyDescent="0.3">
      <c r="A23" s="9"/>
      <c r="B23" s="75"/>
      <c r="C23" s="63"/>
      <c r="D23" s="63"/>
      <c r="H23" s="64" t="s">
        <v>89</v>
      </c>
      <c r="I23" s="64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8" t="s">
        <v>57</v>
      </c>
      <c r="C26" s="68"/>
      <c r="D26" s="68"/>
      <c r="E26" s="68"/>
      <c r="F26" s="68"/>
      <c r="G26" s="68"/>
      <c r="H26" s="68" t="s">
        <v>11</v>
      </c>
      <c r="I26" s="68"/>
      <c r="J26" s="68"/>
      <c r="K26" s="10"/>
    </row>
    <row r="27" spans="1:11" x14ac:dyDescent="0.3">
      <c r="A27" s="9"/>
      <c r="B27" s="64" t="s">
        <v>12</v>
      </c>
      <c r="C27" s="64"/>
      <c r="D27" s="64"/>
      <c r="E27" s="64"/>
      <c r="F27" s="64"/>
      <c r="G27" s="64"/>
      <c r="H27" s="99" t="e">
        <f>VLOOKUP($I$9,'COMPILE REPORT'!$1:$1048576,39,0)</f>
        <v>#N/A</v>
      </c>
      <c r="I27" s="99" t="e">
        <f>VLOOKUP($I$9,'COMPILE REPORT'!$1:$1048576,37,0)</f>
        <v>#N/A</v>
      </c>
      <c r="J27" s="99" t="e">
        <f>VLOOKUP($I$9,'COMPILE REPORT'!$1:$1048576,37,0)</f>
        <v>#N/A</v>
      </c>
      <c r="K27" s="10"/>
    </row>
    <row r="28" spans="1:11" x14ac:dyDescent="0.3">
      <c r="A28" s="9"/>
      <c r="B28" s="64" t="s">
        <v>13</v>
      </c>
      <c r="C28" s="64"/>
      <c r="D28" s="64"/>
      <c r="E28" s="64"/>
      <c r="F28" s="64"/>
      <c r="G28" s="64"/>
      <c r="H28" s="99" t="e">
        <f>VLOOKUP($I$9,'COMPILE REPORT'!$1:$1048576,40,0)</f>
        <v>#N/A</v>
      </c>
      <c r="I28" s="99" t="e">
        <f>VLOOKUP($I$9,'COMPILE REPORT'!$1:$1048576,37,0)</f>
        <v>#N/A</v>
      </c>
      <c r="J28" s="99" t="e">
        <f>VLOOKUP($I$9,'COMPILE REPORT'!$1:$1048576,37,0)</f>
        <v>#N/A</v>
      </c>
      <c r="K28" s="10"/>
    </row>
    <row r="29" spans="1:11" x14ac:dyDescent="0.3">
      <c r="A29" s="9"/>
      <c r="B29" s="64" t="s">
        <v>14</v>
      </c>
      <c r="C29" s="64"/>
      <c r="D29" s="64"/>
      <c r="E29" s="64"/>
      <c r="F29" s="64"/>
      <c r="G29" s="64"/>
      <c r="H29" s="99" t="e">
        <f>VLOOKUP($I$9,'COMPILE REPORT'!$1:$1048576,41,0)</f>
        <v>#N/A</v>
      </c>
      <c r="I29" s="99" t="e">
        <f>VLOOKUP($I$9,'COMPILE REPORT'!$1:$1048576,37,0)</f>
        <v>#N/A</v>
      </c>
      <c r="J29" s="99" t="e">
        <f>VLOOKUP($I$9,'COMPILE REPORT'!$1:$1048576,37,0)</f>
        <v>#N/A</v>
      </c>
      <c r="K29" s="10"/>
    </row>
    <row r="30" spans="1:11" x14ac:dyDescent="0.3">
      <c r="A30" s="9"/>
      <c r="B30" s="64" t="s">
        <v>15</v>
      </c>
      <c r="C30" s="64"/>
      <c r="D30" s="64"/>
      <c r="E30" s="64"/>
      <c r="F30" s="64"/>
      <c r="G30" s="64"/>
      <c r="H30" s="99" t="e">
        <f>VLOOKUP($I$9,'COMPILE REPORT'!$1:$1048576,42,0)</f>
        <v>#N/A</v>
      </c>
      <c r="I30" s="99" t="e">
        <f>VLOOKUP($I$9,'COMPILE REPORT'!$1:$1048576,37,0)</f>
        <v>#N/A</v>
      </c>
      <c r="J30" s="99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69" t="e">
        <f>"Class Teacher's Remark: "&amp;VLOOKUP($I$9,'COMPILE REPORT'!$1:$1048576,45,0)</f>
        <v>#N/A</v>
      </c>
      <c r="C36" s="69"/>
      <c r="D36" s="69"/>
      <c r="E36" s="69"/>
      <c r="F36" s="69"/>
      <c r="G36" s="69"/>
      <c r="H36" s="69"/>
      <c r="I36" s="69"/>
      <c r="J36" s="69"/>
      <c r="K36" s="10"/>
    </row>
    <row r="37" spans="1:11" x14ac:dyDescent="0.3">
      <c r="A37" s="9"/>
      <c r="H37" s="100" t="s">
        <v>91</v>
      </c>
      <c r="I37" s="100"/>
      <c r="J37" s="100"/>
      <c r="K37" s="10"/>
    </row>
    <row r="38" spans="1:11" x14ac:dyDescent="0.3">
      <c r="A38" s="9"/>
      <c r="B38" s="72" t="s">
        <v>71</v>
      </c>
      <c r="C38" s="72"/>
      <c r="H38" s="100" t="s">
        <v>90</v>
      </c>
      <c r="I38" s="100"/>
      <c r="J38" s="100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69" t="s">
        <v>29</v>
      </c>
      <c r="C43" s="69"/>
      <c r="D43" s="69"/>
      <c r="E43" s="18"/>
      <c r="F43" s="18"/>
      <c r="G43" s="18"/>
      <c r="H43" s="70" t="s">
        <v>30</v>
      </c>
      <c r="I43" s="70"/>
      <c r="J43" s="70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2025-07-30T05:12:16Z</dcterms:modified>
</cp:coreProperties>
</file>